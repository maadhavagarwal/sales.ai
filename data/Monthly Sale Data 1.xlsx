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kbtco\Documents\Sales Data\"/>
    </mc:Choice>
  </mc:AlternateContent>
  <xr:revisionPtr revIDLastSave="0" documentId="11_4B822B5B8DCB81C105BBCD62C57F7B8913A5198E" xr6:coauthVersionLast="47" xr6:coauthVersionMax="47" xr10:uidLastSave="{00000000-0000-0000-0000-000000000000}"/>
  <bookViews>
    <workbookView xWindow="-120" yWindow="-120" windowWidth="29040" windowHeight="15720" firstSheet="18" activeTab="26" xr2:uid="{00000000-000D-0000-FFFF-FFFF00000000}"/>
  </bookViews>
  <sheets>
    <sheet name="Jan 2023" sheetId="1" r:id="rId1"/>
    <sheet name="Feb 2023" sheetId="2" r:id="rId2"/>
    <sheet name="March 2023" sheetId="3" r:id="rId3"/>
    <sheet name="April 2023" sheetId="4" r:id="rId4"/>
    <sheet name="May 2023" sheetId="5" r:id="rId5"/>
    <sheet name="June 2023" sheetId="6" r:id="rId6"/>
    <sheet name="July 2023" sheetId="7" r:id="rId7"/>
    <sheet name="Aug 2023" sheetId="8" r:id="rId8"/>
    <sheet name="Sept 2023" sheetId="9" r:id="rId9"/>
    <sheet name="Oct 2023" sheetId="10" r:id="rId10"/>
    <sheet name="Nov 2023" sheetId="11" r:id="rId11"/>
    <sheet name="Dec 2023" sheetId="12" r:id="rId12"/>
    <sheet name="Jan 2024" sheetId="13" r:id="rId13"/>
    <sheet name="Feb 24" sheetId="14" r:id="rId14"/>
    <sheet name="Mar 24" sheetId="15" r:id="rId15"/>
    <sheet name="April 24" sheetId="16" r:id="rId16"/>
    <sheet name="May 2024" sheetId="17" r:id="rId17"/>
    <sheet name="June 24" sheetId="18" r:id="rId18"/>
    <sheet name="July 24" sheetId="19" r:id="rId19"/>
    <sheet name="Aug 24" sheetId="20" r:id="rId20"/>
    <sheet name="Sept 24" sheetId="21" r:id="rId21"/>
    <sheet name="Oct 24" sheetId="22" r:id="rId22"/>
    <sheet name="Nov 24" sheetId="23" r:id="rId23"/>
    <sheet name="Dec 24" sheetId="24" r:id="rId24"/>
    <sheet name="Jan 25" sheetId="25" r:id="rId25"/>
    <sheet name="Feb 25" sheetId="26" r:id="rId26"/>
    <sheet name="March 25" sheetId="28" r:id="rId27"/>
    <sheet name="Sheet2" sheetId="27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9" roundtripDataChecksum="m0UNbOybV+CLmIX1qhVQ7X8FuPt9LU5ND2cVxaN7cLA="/>
    </ext>
  </extLst>
</workbook>
</file>

<file path=xl/calcChain.xml><?xml version="1.0" encoding="utf-8"?>
<calcChain xmlns="http://schemas.openxmlformats.org/spreadsheetml/2006/main">
  <c r="Q103" i="28" l="1"/>
  <c r="M8" i="28" s="1"/>
  <c r="P103" i="28"/>
  <c r="O103" i="28"/>
  <c r="N103" i="28"/>
  <c r="M103" i="28"/>
  <c r="L103" i="28"/>
  <c r="K103" i="28"/>
  <c r="J103" i="28"/>
  <c r="I103" i="28"/>
  <c r="G103" i="28"/>
  <c r="W32" i="28"/>
  <c r="W34" i="28" s="1"/>
  <c r="Z30" i="28"/>
  <c r="Z29" i="28"/>
  <c r="Z28" i="28"/>
  <c r="Z27" i="28"/>
  <c r="Z26" i="28"/>
  <c r="Z25" i="28"/>
  <c r="Z24" i="28"/>
  <c r="Z23" i="28"/>
  <c r="M18" i="28"/>
  <c r="M7" i="28" s="1"/>
  <c r="L18" i="28"/>
  <c r="L7" i="28" s="1"/>
  <c r="L9" i="28" s="1"/>
  <c r="K18" i="28"/>
  <c r="K7" i="28" s="1"/>
  <c r="K9" i="28" s="1"/>
  <c r="J18" i="28"/>
  <c r="J7" i="28" s="1"/>
  <c r="J9" i="28" s="1"/>
  <c r="I18" i="28"/>
  <c r="I7" i="28" s="1"/>
  <c r="I9" i="28" s="1"/>
  <c r="H18" i="28"/>
  <c r="H7" i="28" s="1"/>
  <c r="H9" i="28" s="1"/>
  <c r="G18" i="28"/>
  <c r="G7" i="28" s="1"/>
  <c r="G9" i="28" s="1"/>
  <c r="F18" i="28"/>
  <c r="N12" i="28"/>
  <c r="F7" i="28"/>
  <c r="N6" i="28"/>
  <c r="N18" i="28" l="1"/>
  <c r="M9" i="28"/>
  <c r="O8" i="28"/>
  <c r="F9" i="28"/>
  <c r="O9" i="28" s="1"/>
  <c r="W35" i="28"/>
  <c r="W37" i="28" s="1"/>
  <c r="E8" i="28"/>
  <c r="P8" i="28" s="1"/>
  <c r="Q8" i="28" s="1"/>
  <c r="Z31" i="28"/>
  <c r="Z32" i="28" s="1"/>
  <c r="I105" i="28"/>
  <c r="O7" i="28"/>
  <c r="E7" i="28"/>
  <c r="N6" i="26"/>
  <c r="Q103" i="26"/>
  <c r="M8" i="26" s="1"/>
  <c r="P103" i="26"/>
  <c r="O103" i="26"/>
  <c r="K8" i="26" s="1"/>
  <c r="N103" i="26"/>
  <c r="J8" i="26" s="1"/>
  <c r="M103" i="26"/>
  <c r="I8" i="26" s="1"/>
  <c r="L103" i="26"/>
  <c r="K103" i="26"/>
  <c r="G8" i="26" s="1"/>
  <c r="J103" i="26"/>
  <c r="F8" i="26" s="1"/>
  <c r="I103" i="26"/>
  <c r="E8" i="26" s="1"/>
  <c r="P8" i="26" s="1"/>
  <c r="G103" i="26"/>
  <c r="W32" i="26"/>
  <c r="W34" i="26" s="1"/>
  <c r="Z30" i="26"/>
  <c r="Z29" i="26"/>
  <c r="Z28" i="26"/>
  <c r="Z27" i="26"/>
  <c r="Z26" i="26"/>
  <c r="Z25" i="26"/>
  <c r="Z24" i="26"/>
  <c r="Z23" i="26"/>
  <c r="M18" i="26"/>
  <c r="M7" i="26" s="1"/>
  <c r="L18" i="26"/>
  <c r="L7" i="26" s="1"/>
  <c r="K18" i="26"/>
  <c r="K7" i="26" s="1"/>
  <c r="J18" i="26"/>
  <c r="J7" i="26" s="1"/>
  <c r="I18" i="26"/>
  <c r="I7" i="26" s="1"/>
  <c r="H18" i="26"/>
  <c r="H7" i="26" s="1"/>
  <c r="G18" i="26"/>
  <c r="G7" i="26" s="1"/>
  <c r="F18" i="26"/>
  <c r="N12" i="26"/>
  <c r="L8" i="26"/>
  <c r="H8" i="26"/>
  <c r="F7" i="26"/>
  <c r="E9" i="28" l="1"/>
  <c r="P9" i="28" s="1"/>
  <c r="Q9" i="28" s="1"/>
  <c r="P7" i="28"/>
  <c r="Q7" i="28" s="1"/>
  <c r="N7" i="28"/>
  <c r="N9" i="28" s="1"/>
  <c r="F9" i="26"/>
  <c r="W35" i="26"/>
  <c r="W37" i="26" s="1"/>
  <c r="I105" i="26"/>
  <c r="G9" i="26"/>
  <c r="K9" i="26"/>
  <c r="H9" i="26"/>
  <c r="L9" i="26"/>
  <c r="O8" i="26"/>
  <c r="Q8" i="26" s="1"/>
  <c r="I9" i="26"/>
  <c r="M9" i="26"/>
  <c r="J9" i="26"/>
  <c r="Z31" i="26"/>
  <c r="Z32" i="26" s="1"/>
  <c r="N18" i="26"/>
  <c r="O7" i="26"/>
  <c r="N8" i="26"/>
  <c r="E7" i="26"/>
  <c r="Z28" i="25"/>
  <c r="O9" i="26" l="1"/>
  <c r="P7" i="26"/>
  <c r="Q7" i="26" s="1"/>
  <c r="E9" i="26"/>
  <c r="P9" i="26" s="1"/>
  <c r="N7" i="26"/>
  <c r="N9" i="26" s="1"/>
  <c r="Q103" i="25"/>
  <c r="M8" i="25" s="1"/>
  <c r="P103" i="25"/>
  <c r="L8" i="25" s="1"/>
  <c r="O103" i="25"/>
  <c r="K8" i="25" s="1"/>
  <c r="N103" i="25"/>
  <c r="J8" i="25" s="1"/>
  <c r="M103" i="25"/>
  <c r="I8" i="25" s="1"/>
  <c r="L103" i="25"/>
  <c r="H8" i="25" s="1"/>
  <c r="K103" i="25"/>
  <c r="G8" i="25" s="1"/>
  <c r="J103" i="25"/>
  <c r="F8" i="25" s="1"/>
  <c r="I103" i="25"/>
  <c r="G103" i="25"/>
  <c r="W32" i="25"/>
  <c r="W34" i="25" s="1"/>
  <c r="Z30" i="25"/>
  <c r="Z29" i="25"/>
  <c r="Z27" i="25"/>
  <c r="Z26" i="25"/>
  <c r="Z25" i="25"/>
  <c r="Z24" i="25"/>
  <c r="Z23" i="25"/>
  <c r="M18" i="25"/>
  <c r="M7" i="25" s="1"/>
  <c r="L18" i="25"/>
  <c r="L7" i="25" s="1"/>
  <c r="K18" i="25"/>
  <c r="J18" i="25"/>
  <c r="J7" i="25" s="1"/>
  <c r="I18" i="25"/>
  <c r="I7" i="25" s="1"/>
  <c r="H18" i="25"/>
  <c r="G18" i="25"/>
  <c r="F18" i="25"/>
  <c r="N17" i="25"/>
  <c r="N16" i="25"/>
  <c r="N14" i="25"/>
  <c r="N13" i="25"/>
  <c r="N12" i="25"/>
  <c r="K7" i="25"/>
  <c r="H7" i="25"/>
  <c r="G7" i="25"/>
  <c r="Q9" i="26" l="1"/>
  <c r="Z31" i="25"/>
  <c r="Z32" i="25" s="1"/>
  <c r="E7" i="25"/>
  <c r="P7" i="25" s="1"/>
  <c r="L9" i="25"/>
  <c r="I105" i="25"/>
  <c r="E8" i="25"/>
  <c r="W35" i="25"/>
  <c r="W37" i="25" s="1"/>
  <c r="G9" i="25"/>
  <c r="H9" i="25"/>
  <c r="O8" i="25"/>
  <c r="I9" i="25"/>
  <c r="M9" i="25"/>
  <c r="K9" i="25"/>
  <c r="J9" i="25"/>
  <c r="N18" i="25"/>
  <c r="F7" i="25"/>
  <c r="O7" i="25" s="1"/>
  <c r="Q104" i="24"/>
  <c r="M8" i="24" s="1"/>
  <c r="P104" i="24"/>
  <c r="L8" i="24" s="1"/>
  <c r="O104" i="24"/>
  <c r="K8" i="24" s="1"/>
  <c r="N104" i="24"/>
  <c r="J8" i="24" s="1"/>
  <c r="M104" i="24"/>
  <c r="I8" i="24" s="1"/>
  <c r="I9" i="24" s="1"/>
  <c r="L104" i="24"/>
  <c r="H8" i="24" s="1"/>
  <c r="K104" i="24"/>
  <c r="G8" i="24" s="1"/>
  <c r="J104" i="24"/>
  <c r="F8" i="24" s="1"/>
  <c r="I104" i="24"/>
  <c r="E8" i="24" s="1"/>
  <c r="G104" i="24"/>
  <c r="W32" i="24"/>
  <c r="W34" i="24" s="1"/>
  <c r="Z30" i="24"/>
  <c r="Z29" i="24"/>
  <c r="Z28" i="24"/>
  <c r="Z27" i="24"/>
  <c r="Z26" i="24"/>
  <c r="Z25" i="24"/>
  <c r="Z24" i="24"/>
  <c r="Z23" i="24"/>
  <c r="M18" i="24"/>
  <c r="L18" i="24"/>
  <c r="K18" i="24"/>
  <c r="J18" i="24"/>
  <c r="I18" i="24"/>
  <c r="H18" i="24"/>
  <c r="G18" i="24"/>
  <c r="F18" i="24"/>
  <c r="N17" i="24"/>
  <c r="N16" i="24"/>
  <c r="N15" i="24"/>
  <c r="N14" i="24"/>
  <c r="N13" i="24"/>
  <c r="N12" i="24"/>
  <c r="M7" i="24"/>
  <c r="L7" i="24"/>
  <c r="K7" i="24"/>
  <c r="J7" i="24"/>
  <c r="I7" i="24"/>
  <c r="H7" i="24"/>
  <c r="G7" i="24"/>
  <c r="F7" i="24"/>
  <c r="E7" i="24"/>
  <c r="Q102" i="23"/>
  <c r="M8" i="23" s="1"/>
  <c r="M9" i="23" s="1"/>
  <c r="P102" i="23"/>
  <c r="O102" i="23"/>
  <c r="N102" i="23"/>
  <c r="J8" i="23" s="1"/>
  <c r="M102" i="23"/>
  <c r="L102" i="23"/>
  <c r="K102" i="23"/>
  <c r="G8" i="23" s="1"/>
  <c r="J102" i="23"/>
  <c r="I102" i="23"/>
  <c r="E8" i="23" s="1"/>
  <c r="P8" i="23" s="1"/>
  <c r="G102" i="23"/>
  <c r="W34" i="23"/>
  <c r="W32" i="23"/>
  <c r="E7" i="23" s="1"/>
  <c r="Z30" i="23"/>
  <c r="Z29" i="23"/>
  <c r="Z28" i="23"/>
  <c r="Z27" i="23"/>
  <c r="Z26" i="23"/>
  <c r="Z25" i="23"/>
  <c r="Z24" i="23"/>
  <c r="Z23" i="23"/>
  <c r="M18" i="23"/>
  <c r="L18" i="23"/>
  <c r="K18" i="23"/>
  <c r="K7" i="23" s="1"/>
  <c r="J18" i="23"/>
  <c r="J7" i="23" s="1"/>
  <c r="J9" i="23" s="1"/>
  <c r="I18" i="23"/>
  <c r="H18" i="23"/>
  <c r="G18" i="23"/>
  <c r="G7" i="23" s="1"/>
  <c r="F18" i="23"/>
  <c r="N17" i="23"/>
  <c r="N16" i="23"/>
  <c r="N15" i="23"/>
  <c r="N14" i="23"/>
  <c r="N13" i="23"/>
  <c r="N12" i="23"/>
  <c r="L8" i="23"/>
  <c r="K8" i="23"/>
  <c r="I8" i="23"/>
  <c r="H8" i="23"/>
  <c r="M7" i="23"/>
  <c r="L7" i="23"/>
  <c r="L9" i="23" s="1"/>
  <c r="I7" i="23"/>
  <c r="I9" i="23" s="1"/>
  <c r="H7" i="23"/>
  <c r="H9" i="23" s="1"/>
  <c r="F7" i="23"/>
  <c r="Q102" i="22"/>
  <c r="P102" i="22"/>
  <c r="O102" i="22"/>
  <c r="N102" i="22"/>
  <c r="M102" i="22"/>
  <c r="I8" i="22" s="1"/>
  <c r="I9" i="22" s="1"/>
  <c r="L102" i="22"/>
  <c r="K102" i="22"/>
  <c r="G8" i="22" s="1"/>
  <c r="J102" i="22"/>
  <c r="F8" i="22" s="1"/>
  <c r="I102" i="22"/>
  <c r="G102" i="22"/>
  <c r="W32" i="22"/>
  <c r="E7" i="22" s="1"/>
  <c r="P7" i="22" s="1"/>
  <c r="Z30" i="22"/>
  <c r="Z29" i="22"/>
  <c r="Z28" i="22"/>
  <c r="Z27" i="22"/>
  <c r="Z26" i="22"/>
  <c r="Z25" i="22"/>
  <c r="Z24" i="22"/>
  <c r="Z23" i="22"/>
  <c r="M18" i="22"/>
  <c r="M7" i="22" s="1"/>
  <c r="L18" i="22"/>
  <c r="L7" i="22" s="1"/>
  <c r="L9" i="22" s="1"/>
  <c r="K18" i="22"/>
  <c r="J18" i="22"/>
  <c r="J7" i="22" s="1"/>
  <c r="I18" i="22"/>
  <c r="H18" i="22"/>
  <c r="G18" i="22"/>
  <c r="F18" i="22"/>
  <c r="N14" i="22"/>
  <c r="N12" i="22"/>
  <c r="M8" i="22"/>
  <c r="L8" i="22"/>
  <c r="K8" i="22"/>
  <c r="J8" i="22"/>
  <c r="H8" i="22"/>
  <c r="E8" i="22"/>
  <c r="K7" i="22"/>
  <c r="K9" i="22" s="1"/>
  <c r="I7" i="22"/>
  <c r="H7" i="22"/>
  <c r="H9" i="22" s="1"/>
  <c r="G7" i="22"/>
  <c r="Q6" i="22"/>
  <c r="P6" i="22"/>
  <c r="O6" i="22"/>
  <c r="Q102" i="21"/>
  <c r="M8" i="21" s="1"/>
  <c r="M9" i="21" s="1"/>
  <c r="P102" i="21"/>
  <c r="L8" i="21" s="1"/>
  <c r="O102" i="21"/>
  <c r="N102" i="21"/>
  <c r="M102" i="21"/>
  <c r="L102" i="21"/>
  <c r="H8" i="21" s="1"/>
  <c r="K102" i="21"/>
  <c r="J102" i="21"/>
  <c r="F8" i="21" s="1"/>
  <c r="I102" i="21"/>
  <c r="E8" i="21" s="1"/>
  <c r="P8" i="21" s="1"/>
  <c r="G102" i="21"/>
  <c r="W32" i="21"/>
  <c r="Z30" i="21"/>
  <c r="Z29" i="21"/>
  <c r="Z28" i="21"/>
  <c r="Z27" i="21"/>
  <c r="Z26" i="21"/>
  <c r="Z25" i="21"/>
  <c r="Z24" i="21"/>
  <c r="Z23" i="21"/>
  <c r="M18" i="21"/>
  <c r="M7" i="21" s="1"/>
  <c r="L18" i="21"/>
  <c r="K18" i="21"/>
  <c r="J18" i="21"/>
  <c r="I18" i="21"/>
  <c r="I7" i="21" s="1"/>
  <c r="I9" i="21" s="1"/>
  <c r="H18" i="21"/>
  <c r="G18" i="21"/>
  <c r="F18" i="21"/>
  <c r="N12" i="21"/>
  <c r="K8" i="21"/>
  <c r="J8" i="21"/>
  <c r="I8" i="21"/>
  <c r="G8" i="21"/>
  <c r="L7" i="21"/>
  <c r="K7" i="21"/>
  <c r="J7" i="21"/>
  <c r="H7" i="21"/>
  <c r="H9" i="21" s="1"/>
  <c r="G7" i="21"/>
  <c r="G9" i="21" s="1"/>
  <c r="F7" i="21"/>
  <c r="Q6" i="21"/>
  <c r="P6" i="21"/>
  <c r="O6" i="21"/>
  <c r="Q102" i="20"/>
  <c r="P102" i="20"/>
  <c r="O102" i="20"/>
  <c r="N102" i="20"/>
  <c r="J8" i="20" s="1"/>
  <c r="J9" i="20" s="1"/>
  <c r="M102" i="20"/>
  <c r="L102" i="20"/>
  <c r="K102" i="20"/>
  <c r="J102" i="20"/>
  <c r="F8" i="20" s="1"/>
  <c r="I102" i="20"/>
  <c r="G102" i="20"/>
  <c r="W35" i="20"/>
  <c r="W34" i="20"/>
  <c r="W37" i="20" s="1"/>
  <c r="W32" i="20"/>
  <c r="Z30" i="20"/>
  <c r="Z29" i="20"/>
  <c r="Z28" i="20"/>
  <c r="Z27" i="20"/>
  <c r="Z26" i="20"/>
  <c r="Z25" i="20"/>
  <c r="Z24" i="20"/>
  <c r="Z23" i="20"/>
  <c r="M18" i="20"/>
  <c r="L18" i="20"/>
  <c r="K18" i="20"/>
  <c r="K7" i="20" s="1"/>
  <c r="J18" i="20"/>
  <c r="J7" i="20" s="1"/>
  <c r="I18" i="20"/>
  <c r="I7" i="20" s="1"/>
  <c r="I9" i="20" s="1"/>
  <c r="H18" i="20"/>
  <c r="G18" i="20"/>
  <c r="G7" i="20" s="1"/>
  <c r="F18" i="20"/>
  <c r="F7" i="20" s="1"/>
  <c r="N12" i="20"/>
  <c r="M8" i="20"/>
  <c r="L8" i="20"/>
  <c r="K8" i="20"/>
  <c r="I8" i="20"/>
  <c r="H8" i="20"/>
  <c r="G8" i="20"/>
  <c r="E8" i="20"/>
  <c r="P8" i="20" s="1"/>
  <c r="M7" i="20"/>
  <c r="M9" i="20" s="1"/>
  <c r="L7" i="20"/>
  <c r="H7" i="20"/>
  <c r="H9" i="20" s="1"/>
  <c r="E7" i="20"/>
  <c r="Q6" i="20"/>
  <c r="P6" i="20"/>
  <c r="O6" i="20"/>
  <c r="Q102" i="19"/>
  <c r="M8" i="19" s="1"/>
  <c r="P102" i="19"/>
  <c r="O102" i="19"/>
  <c r="K8" i="19" s="1"/>
  <c r="N102" i="19"/>
  <c r="J8" i="19" s="1"/>
  <c r="M102" i="19"/>
  <c r="I8" i="19" s="1"/>
  <c r="L102" i="19"/>
  <c r="H8" i="19" s="1"/>
  <c r="K102" i="19"/>
  <c r="G8" i="19" s="1"/>
  <c r="J102" i="19"/>
  <c r="I102" i="19"/>
  <c r="G102" i="19"/>
  <c r="W32" i="19"/>
  <c r="E7" i="19" s="1"/>
  <c r="Z30" i="19"/>
  <c r="Z29" i="19"/>
  <c r="Z28" i="19"/>
  <c r="Z27" i="19"/>
  <c r="Z26" i="19"/>
  <c r="Z25" i="19"/>
  <c r="Z24" i="19"/>
  <c r="Z23" i="19"/>
  <c r="Z31" i="19" s="1"/>
  <c r="Z32" i="19" s="1"/>
  <c r="M18" i="19"/>
  <c r="L18" i="19"/>
  <c r="L7" i="19" s="1"/>
  <c r="L9" i="19" s="1"/>
  <c r="K18" i="19"/>
  <c r="K7" i="19" s="1"/>
  <c r="K9" i="19" s="1"/>
  <c r="J18" i="19"/>
  <c r="I18" i="19"/>
  <c r="H18" i="19"/>
  <c r="H7" i="19" s="1"/>
  <c r="G18" i="19"/>
  <c r="F18" i="19"/>
  <c r="F7" i="19" s="1"/>
  <c r="N12" i="19"/>
  <c r="G9" i="19"/>
  <c r="L8" i="19"/>
  <c r="F8" i="19"/>
  <c r="E8" i="19"/>
  <c r="P8" i="19" s="1"/>
  <c r="M7" i="19"/>
  <c r="M9" i="19" s="1"/>
  <c r="J7" i="19"/>
  <c r="I7" i="19"/>
  <c r="G7" i="19"/>
  <c r="Q6" i="19"/>
  <c r="P6" i="19"/>
  <c r="O6" i="19"/>
  <c r="Q102" i="18"/>
  <c r="P102" i="18"/>
  <c r="L8" i="18" s="1"/>
  <c r="O102" i="18"/>
  <c r="N102" i="18"/>
  <c r="M102" i="18"/>
  <c r="L102" i="18"/>
  <c r="H8" i="18" s="1"/>
  <c r="K102" i="18"/>
  <c r="J102" i="18"/>
  <c r="F8" i="18" s="1"/>
  <c r="I102" i="18"/>
  <c r="E8" i="18" s="1"/>
  <c r="P8" i="18" s="1"/>
  <c r="G102" i="18"/>
  <c r="W32" i="18"/>
  <c r="Z30" i="18"/>
  <c r="Z29" i="18"/>
  <c r="Z28" i="18"/>
  <c r="Z27" i="18"/>
  <c r="Z26" i="18"/>
  <c r="Z25" i="18"/>
  <c r="Z24" i="18"/>
  <c r="Z23" i="18"/>
  <c r="M18" i="18"/>
  <c r="M7" i="18" s="1"/>
  <c r="L18" i="18"/>
  <c r="K18" i="18"/>
  <c r="K7" i="18" s="1"/>
  <c r="J18" i="18"/>
  <c r="J7" i="18" s="1"/>
  <c r="J9" i="18" s="1"/>
  <c r="I18" i="18"/>
  <c r="I7" i="18" s="1"/>
  <c r="I9" i="18" s="1"/>
  <c r="H18" i="18"/>
  <c r="H7" i="18" s="1"/>
  <c r="G18" i="18"/>
  <c r="G7" i="18" s="1"/>
  <c r="F18" i="18"/>
  <c r="N12" i="18"/>
  <c r="M8" i="18"/>
  <c r="M9" i="18" s="1"/>
  <c r="K8" i="18"/>
  <c r="J8" i="18"/>
  <c r="I8" i="18"/>
  <c r="G8" i="18"/>
  <c r="L7" i="18"/>
  <c r="F7" i="18"/>
  <c r="Q6" i="18"/>
  <c r="P6" i="18"/>
  <c r="O6" i="18"/>
  <c r="Q101" i="17"/>
  <c r="P101" i="17"/>
  <c r="O101" i="17"/>
  <c r="K8" i="17" s="1"/>
  <c r="N101" i="17"/>
  <c r="J8" i="17" s="1"/>
  <c r="M101" i="17"/>
  <c r="L101" i="17"/>
  <c r="H8" i="17" s="1"/>
  <c r="K101" i="17"/>
  <c r="G8" i="17" s="1"/>
  <c r="J101" i="17"/>
  <c r="I101" i="17"/>
  <c r="G101" i="17"/>
  <c r="W34" i="17"/>
  <c r="W32" i="17"/>
  <c r="E7" i="17" s="1"/>
  <c r="P7" i="17" s="1"/>
  <c r="M18" i="17"/>
  <c r="M7" i="17" s="1"/>
  <c r="M9" i="17" s="1"/>
  <c r="L18" i="17"/>
  <c r="L7" i="17" s="1"/>
  <c r="K18" i="17"/>
  <c r="J18" i="17"/>
  <c r="J7" i="17" s="1"/>
  <c r="I18" i="17"/>
  <c r="H18" i="17"/>
  <c r="H7" i="17" s="1"/>
  <c r="G18" i="17"/>
  <c r="G7" i="17" s="1"/>
  <c r="G9" i="17" s="1"/>
  <c r="F18" i="17"/>
  <c r="F7" i="17" s="1"/>
  <c r="N12" i="17"/>
  <c r="H9" i="17"/>
  <c r="M8" i="17"/>
  <c r="L8" i="17"/>
  <c r="I8" i="17"/>
  <c r="F8" i="17"/>
  <c r="E8" i="17"/>
  <c r="P8" i="17" s="1"/>
  <c r="K7" i="17"/>
  <c r="I7" i="17"/>
  <c r="Q6" i="17"/>
  <c r="P6" i="17"/>
  <c r="O6" i="17"/>
  <c r="Q101" i="16"/>
  <c r="P101" i="16"/>
  <c r="O101" i="16"/>
  <c r="N101" i="16"/>
  <c r="J8" i="16" s="1"/>
  <c r="M101" i="16"/>
  <c r="L101" i="16"/>
  <c r="H8" i="16" s="1"/>
  <c r="K101" i="16"/>
  <c r="G8" i="16" s="1"/>
  <c r="O8" i="16" s="1"/>
  <c r="J101" i="16"/>
  <c r="F8" i="16" s="1"/>
  <c r="I101" i="16"/>
  <c r="W35" i="16" s="1"/>
  <c r="G101" i="16"/>
  <c r="W32" i="16"/>
  <c r="M18" i="16"/>
  <c r="L18" i="16"/>
  <c r="L7" i="16" s="1"/>
  <c r="L9" i="16" s="1"/>
  <c r="K18" i="16"/>
  <c r="K7" i="16" s="1"/>
  <c r="K9" i="16" s="1"/>
  <c r="J18" i="16"/>
  <c r="J7" i="16" s="1"/>
  <c r="I18" i="16"/>
  <c r="H18" i="16"/>
  <c r="G18" i="16"/>
  <c r="G7" i="16" s="1"/>
  <c r="F18" i="16"/>
  <c r="F7" i="16" s="1"/>
  <c r="N12" i="16"/>
  <c r="J9" i="16"/>
  <c r="M8" i="16"/>
  <c r="L8" i="16"/>
  <c r="K8" i="16"/>
  <c r="I8" i="16"/>
  <c r="M7" i="16"/>
  <c r="M9" i="16" s="1"/>
  <c r="I7" i="16"/>
  <c r="I9" i="16" s="1"/>
  <c r="H7" i="16"/>
  <c r="Q6" i="16"/>
  <c r="P6" i="16"/>
  <c r="O6" i="16"/>
  <c r="N6" i="16"/>
  <c r="Q101" i="15"/>
  <c r="M8" i="15" s="1"/>
  <c r="M9" i="15" s="1"/>
  <c r="P101" i="15"/>
  <c r="O101" i="15"/>
  <c r="K8" i="15" s="1"/>
  <c r="K9" i="15" s="1"/>
  <c r="N101" i="15"/>
  <c r="J8" i="15" s="1"/>
  <c r="J9" i="15" s="1"/>
  <c r="M101" i="15"/>
  <c r="L101" i="15"/>
  <c r="K101" i="15"/>
  <c r="J101" i="15"/>
  <c r="F8" i="15" s="1"/>
  <c r="I101" i="15"/>
  <c r="E8" i="15" s="1"/>
  <c r="P8" i="15" s="1"/>
  <c r="G101" i="15"/>
  <c r="W32" i="15"/>
  <c r="M18" i="15"/>
  <c r="L18" i="15"/>
  <c r="K18" i="15"/>
  <c r="J18" i="15"/>
  <c r="I18" i="15"/>
  <c r="H18" i="15"/>
  <c r="G18" i="15"/>
  <c r="F18" i="15"/>
  <c r="N12" i="15"/>
  <c r="N9" i="15"/>
  <c r="L8" i="15"/>
  <c r="L9" i="15" s="1"/>
  <c r="I8" i="15"/>
  <c r="I9" i="15" s="1"/>
  <c r="H8" i="15"/>
  <c r="H9" i="15" s="1"/>
  <c r="G8" i="15"/>
  <c r="G9" i="15" s="1"/>
  <c r="O7" i="15"/>
  <c r="P6" i="15"/>
  <c r="O6" i="15"/>
  <c r="Q101" i="14"/>
  <c r="P101" i="14"/>
  <c r="L8" i="14" s="1"/>
  <c r="L9" i="14" s="1"/>
  <c r="O101" i="14"/>
  <c r="N101" i="14"/>
  <c r="M101" i="14"/>
  <c r="L101" i="14"/>
  <c r="H8" i="14" s="1"/>
  <c r="H9" i="14" s="1"/>
  <c r="K101" i="14"/>
  <c r="G8" i="14" s="1"/>
  <c r="G9" i="14" s="1"/>
  <c r="J101" i="14"/>
  <c r="F8" i="14" s="1"/>
  <c r="O8" i="14" s="1"/>
  <c r="Q8" i="14" s="1"/>
  <c r="I101" i="14"/>
  <c r="G101" i="14"/>
  <c r="W32" i="14"/>
  <c r="W34" i="14" s="1"/>
  <c r="M18" i="14"/>
  <c r="L18" i="14"/>
  <c r="K18" i="14"/>
  <c r="J18" i="14"/>
  <c r="I18" i="14"/>
  <c r="H18" i="14"/>
  <c r="G18" i="14"/>
  <c r="F18" i="14"/>
  <c r="N12" i="14"/>
  <c r="I9" i="14"/>
  <c r="M8" i="14"/>
  <c r="M9" i="14" s="1"/>
  <c r="K8" i="14"/>
  <c r="K9" i="14" s="1"/>
  <c r="J8" i="14"/>
  <c r="J9" i="14" s="1"/>
  <c r="I8" i="14"/>
  <c r="E8" i="14"/>
  <c r="P8" i="14" s="1"/>
  <c r="O7" i="14"/>
  <c r="E7" i="14"/>
  <c r="E9" i="14" s="1"/>
  <c r="O6" i="14"/>
  <c r="Q6" i="14" s="1"/>
  <c r="N6" i="14"/>
  <c r="Q101" i="13"/>
  <c r="P101" i="13"/>
  <c r="L8" i="13" s="1"/>
  <c r="L9" i="13" s="1"/>
  <c r="O101" i="13"/>
  <c r="K8" i="13" s="1"/>
  <c r="K9" i="13" s="1"/>
  <c r="N101" i="13"/>
  <c r="M101" i="13"/>
  <c r="I8" i="13" s="1"/>
  <c r="I9" i="13" s="1"/>
  <c r="L101" i="13"/>
  <c r="H8" i="13" s="1"/>
  <c r="H9" i="13" s="1"/>
  <c r="K101" i="13"/>
  <c r="G8" i="13" s="1"/>
  <c r="G9" i="13" s="1"/>
  <c r="J101" i="13"/>
  <c r="I101" i="13"/>
  <c r="G101" i="13"/>
  <c r="W32" i="13"/>
  <c r="W34" i="13" s="1"/>
  <c r="M18" i="13"/>
  <c r="L18" i="13"/>
  <c r="K18" i="13"/>
  <c r="J18" i="13"/>
  <c r="I18" i="13"/>
  <c r="H18" i="13"/>
  <c r="G18" i="13"/>
  <c r="F18" i="13"/>
  <c r="N18" i="13" s="1"/>
  <c r="N12" i="13"/>
  <c r="P8" i="13"/>
  <c r="M8" i="13"/>
  <c r="M9" i="13" s="1"/>
  <c r="J8" i="13"/>
  <c r="J9" i="13" s="1"/>
  <c r="F8" i="13"/>
  <c r="F9" i="13" s="1"/>
  <c r="E8" i="13"/>
  <c r="O7" i="13"/>
  <c r="Q6" i="13"/>
  <c r="P6" i="13"/>
  <c r="O6" i="13"/>
  <c r="N6" i="13"/>
  <c r="Q101" i="12"/>
  <c r="M8" i="12" s="1"/>
  <c r="P101" i="12"/>
  <c r="O101" i="12"/>
  <c r="K8" i="12" s="1"/>
  <c r="N101" i="12"/>
  <c r="J8" i="12" s="1"/>
  <c r="M101" i="12"/>
  <c r="I8" i="12" s="1"/>
  <c r="L101" i="12"/>
  <c r="K101" i="12"/>
  <c r="G8" i="12" s="1"/>
  <c r="J101" i="12"/>
  <c r="F8" i="12" s="1"/>
  <c r="I101" i="12"/>
  <c r="E8" i="12" s="1"/>
  <c r="G101" i="12"/>
  <c r="W32" i="12"/>
  <c r="W34" i="12" s="1"/>
  <c r="M18" i="12"/>
  <c r="L18" i="12"/>
  <c r="K18" i="12"/>
  <c r="J18" i="12"/>
  <c r="I18" i="12"/>
  <c r="I7" i="12" s="1"/>
  <c r="H18" i="12"/>
  <c r="G18" i="12"/>
  <c r="F18" i="12"/>
  <c r="N17" i="12"/>
  <c r="N16" i="12"/>
  <c r="N15" i="12"/>
  <c r="N14" i="12"/>
  <c r="N13" i="12"/>
  <c r="N12" i="12"/>
  <c r="L9" i="12"/>
  <c r="L8" i="12"/>
  <c r="H8" i="12"/>
  <c r="H9" i="12" s="1"/>
  <c r="M7" i="12"/>
  <c r="L7" i="12"/>
  <c r="K7" i="12"/>
  <c r="K9" i="12" s="1"/>
  <c r="J7" i="12"/>
  <c r="H7" i="12"/>
  <c r="G7" i="12"/>
  <c r="F7" i="12"/>
  <c r="E7" i="12"/>
  <c r="P6" i="12"/>
  <c r="O6" i="12"/>
  <c r="Q6" i="12" s="1"/>
  <c r="N6" i="12"/>
  <c r="Q93" i="11"/>
  <c r="P93" i="11"/>
  <c r="L7" i="11" s="1"/>
  <c r="L8" i="11" s="1"/>
  <c r="O93" i="11"/>
  <c r="K7" i="11" s="1"/>
  <c r="K8" i="11" s="1"/>
  <c r="N93" i="11"/>
  <c r="M93" i="11"/>
  <c r="I7" i="11" s="1"/>
  <c r="I8" i="11" s="1"/>
  <c r="L93" i="11"/>
  <c r="H7" i="11" s="1"/>
  <c r="H8" i="11" s="1"/>
  <c r="K93" i="11"/>
  <c r="J93" i="11"/>
  <c r="I93" i="11"/>
  <c r="G93" i="11"/>
  <c r="W24" i="11"/>
  <c r="W26" i="11" s="1"/>
  <c r="M8" i="11"/>
  <c r="M7" i="11"/>
  <c r="J7" i="11"/>
  <c r="J8" i="11" s="1"/>
  <c r="G7" i="11"/>
  <c r="G8" i="11" s="1"/>
  <c r="F7" i="11"/>
  <c r="F8" i="11" s="1"/>
  <c r="E7" i="11"/>
  <c r="P7" i="11" s="1"/>
  <c r="O6" i="11"/>
  <c r="P5" i="11"/>
  <c r="O5" i="11"/>
  <c r="Q5" i="11" s="1"/>
  <c r="N5" i="11"/>
  <c r="R95" i="10"/>
  <c r="G7" i="10" s="1"/>
  <c r="G10" i="10" s="1"/>
  <c r="Q95" i="10"/>
  <c r="M7" i="10" s="1"/>
  <c r="M10" i="10" s="1"/>
  <c r="P95" i="10"/>
  <c r="L7" i="10" s="1"/>
  <c r="L10" i="10" s="1"/>
  <c r="O95" i="10"/>
  <c r="K7" i="10" s="1"/>
  <c r="K10" i="10" s="1"/>
  <c r="N95" i="10"/>
  <c r="M95" i="10"/>
  <c r="L95" i="10"/>
  <c r="K95" i="10"/>
  <c r="J95" i="10"/>
  <c r="I95" i="10"/>
  <c r="X29" i="10" s="1"/>
  <c r="G95" i="10"/>
  <c r="X26" i="10"/>
  <c r="E9" i="10" s="1"/>
  <c r="O9" i="10"/>
  <c r="P8" i="10"/>
  <c r="O8" i="10"/>
  <c r="N8" i="10"/>
  <c r="J7" i="10"/>
  <c r="J10" i="10" s="1"/>
  <c r="I7" i="10"/>
  <c r="I10" i="10" s="1"/>
  <c r="H7" i="10"/>
  <c r="H10" i="10" s="1"/>
  <c r="F7" i="10"/>
  <c r="F10" i="10" s="1"/>
  <c r="Q88" i="9"/>
  <c r="P88" i="9"/>
  <c r="O88" i="9"/>
  <c r="K9" i="9" s="1"/>
  <c r="K12" i="9" s="1"/>
  <c r="N88" i="9"/>
  <c r="J9" i="9" s="1"/>
  <c r="J12" i="9" s="1"/>
  <c r="M88" i="9"/>
  <c r="I9" i="9" s="1"/>
  <c r="I12" i="9" s="1"/>
  <c r="L88" i="9"/>
  <c r="H9" i="9" s="1"/>
  <c r="H12" i="9" s="1"/>
  <c r="K88" i="9"/>
  <c r="J88" i="9"/>
  <c r="I88" i="9"/>
  <c r="G88" i="9"/>
  <c r="W31" i="9"/>
  <c r="W28" i="9"/>
  <c r="W30" i="9" s="1"/>
  <c r="W33" i="9" s="1"/>
  <c r="L12" i="9"/>
  <c r="O11" i="9"/>
  <c r="P10" i="9"/>
  <c r="O10" i="9"/>
  <c r="Q10" i="9" s="1"/>
  <c r="N10" i="9"/>
  <c r="P9" i="9"/>
  <c r="M9" i="9"/>
  <c r="M12" i="9" s="1"/>
  <c r="L9" i="9"/>
  <c r="G9" i="9"/>
  <c r="G12" i="9" s="1"/>
  <c r="F9" i="9"/>
  <c r="F12" i="9" s="1"/>
  <c r="E9" i="9"/>
  <c r="Q87" i="8"/>
  <c r="M8" i="8" s="1"/>
  <c r="P87" i="8"/>
  <c r="L8" i="8" s="1"/>
  <c r="O87" i="8"/>
  <c r="K8" i="8" s="1"/>
  <c r="N87" i="8"/>
  <c r="M87" i="8"/>
  <c r="I8" i="8" s="1"/>
  <c r="L87" i="8"/>
  <c r="H8" i="8" s="1"/>
  <c r="K87" i="8"/>
  <c r="G8" i="8" s="1"/>
  <c r="J87" i="8"/>
  <c r="I87" i="8"/>
  <c r="E8" i="8" s="1"/>
  <c r="G87" i="8"/>
  <c r="W27" i="8"/>
  <c r="W29" i="8" s="1"/>
  <c r="J8" i="8"/>
  <c r="F8" i="8"/>
  <c r="Q84" i="7"/>
  <c r="M6" i="7" s="1"/>
  <c r="P84" i="7"/>
  <c r="L6" i="7" s="1"/>
  <c r="O84" i="7"/>
  <c r="N84" i="7"/>
  <c r="J6" i="7" s="1"/>
  <c r="M84" i="7"/>
  <c r="I6" i="7" s="1"/>
  <c r="L84" i="7"/>
  <c r="H6" i="7" s="1"/>
  <c r="K84" i="7"/>
  <c r="J84" i="7"/>
  <c r="F6" i="7" s="1"/>
  <c r="O6" i="7" s="1"/>
  <c r="I84" i="7"/>
  <c r="E6" i="7" s="1"/>
  <c r="G84" i="7"/>
  <c r="W25" i="7"/>
  <c r="W27" i="7" s="1"/>
  <c r="K6" i="7"/>
  <c r="G6" i="7"/>
  <c r="P84" i="6"/>
  <c r="L6" i="6" s="1"/>
  <c r="O84" i="6"/>
  <c r="K6" i="6" s="1"/>
  <c r="N84" i="6"/>
  <c r="J6" i="6" s="1"/>
  <c r="M84" i="6"/>
  <c r="L84" i="6"/>
  <c r="H6" i="6" s="1"/>
  <c r="K84" i="6"/>
  <c r="G6" i="6" s="1"/>
  <c r="J84" i="6"/>
  <c r="I84" i="6"/>
  <c r="V28" i="6" s="1"/>
  <c r="G84" i="6"/>
  <c r="V25" i="6"/>
  <c r="V27" i="6" s="1"/>
  <c r="I6" i="6"/>
  <c r="F6" i="6"/>
  <c r="E6" i="6"/>
  <c r="P6" i="6" s="1"/>
  <c r="P69" i="5"/>
  <c r="L5" i="5" s="1"/>
  <c r="O69" i="5"/>
  <c r="K5" i="5" s="1"/>
  <c r="N69" i="5"/>
  <c r="J5" i="5" s="1"/>
  <c r="M69" i="5"/>
  <c r="L69" i="5"/>
  <c r="K69" i="5"/>
  <c r="J69" i="5"/>
  <c r="I69" i="5"/>
  <c r="G69" i="5"/>
  <c r="AB36" i="5"/>
  <c r="V36" i="5"/>
  <c r="I5" i="5"/>
  <c r="H5" i="5"/>
  <c r="G5" i="5"/>
  <c r="F5" i="5"/>
  <c r="E5" i="5"/>
  <c r="P5" i="5" s="1"/>
  <c r="P65" i="4"/>
  <c r="O65" i="4"/>
  <c r="K4" i="4" s="1"/>
  <c r="N65" i="4"/>
  <c r="J4" i="4" s="1"/>
  <c r="M65" i="4"/>
  <c r="I4" i="4" s="1"/>
  <c r="L65" i="4"/>
  <c r="H4" i="4" s="1"/>
  <c r="K65" i="4"/>
  <c r="G4" i="4" s="1"/>
  <c r="J65" i="4"/>
  <c r="F4" i="4" s="1"/>
  <c r="I65" i="4"/>
  <c r="E4" i="4" s="1"/>
  <c r="G65" i="4"/>
  <c r="L4" i="4"/>
  <c r="P53" i="3"/>
  <c r="L4" i="3" s="1"/>
  <c r="O53" i="3"/>
  <c r="K4" i="3" s="1"/>
  <c r="N53" i="3"/>
  <c r="M53" i="3"/>
  <c r="I4" i="3" s="1"/>
  <c r="L53" i="3"/>
  <c r="H4" i="3" s="1"/>
  <c r="K53" i="3"/>
  <c r="J53" i="3"/>
  <c r="I53" i="3"/>
  <c r="E4" i="3" s="1"/>
  <c r="G53" i="3"/>
  <c r="J4" i="3"/>
  <c r="G4" i="3"/>
  <c r="F4" i="3"/>
  <c r="P54" i="2"/>
  <c r="O54" i="2"/>
  <c r="K5" i="2" s="1"/>
  <c r="N54" i="2"/>
  <c r="J5" i="2" s="1"/>
  <c r="M54" i="2"/>
  <c r="L54" i="2"/>
  <c r="H5" i="2" s="1"/>
  <c r="K54" i="2"/>
  <c r="G5" i="2" s="1"/>
  <c r="J54" i="2"/>
  <c r="F5" i="2" s="1"/>
  <c r="I54" i="2"/>
  <c r="E5" i="2" s="1"/>
  <c r="G54" i="2"/>
  <c r="L5" i="2"/>
  <c r="I5" i="2"/>
  <c r="Q53" i="1"/>
  <c r="P53" i="1"/>
  <c r="L4" i="1" s="1"/>
  <c r="O53" i="1"/>
  <c r="N53" i="1"/>
  <c r="M53" i="1"/>
  <c r="I4" i="1" s="1"/>
  <c r="L53" i="1"/>
  <c r="H4" i="1" s="1"/>
  <c r="K53" i="1"/>
  <c r="J53" i="1"/>
  <c r="F4" i="1" s="1"/>
  <c r="H53" i="1"/>
  <c r="M4" i="1"/>
  <c r="K4" i="1"/>
  <c r="J4" i="1"/>
  <c r="G4" i="1"/>
  <c r="F9" i="21" l="1"/>
  <c r="N8" i="12"/>
  <c r="I9" i="12"/>
  <c r="N4" i="1"/>
  <c r="N18" i="12"/>
  <c r="N7" i="12" s="1"/>
  <c r="N9" i="12" s="1"/>
  <c r="E7" i="13"/>
  <c r="N18" i="15"/>
  <c r="H9" i="16"/>
  <c r="W35" i="18"/>
  <c r="Z31" i="20"/>
  <c r="Z32" i="20" s="1"/>
  <c r="N18" i="21"/>
  <c r="Z31" i="21"/>
  <c r="Z32" i="21" s="1"/>
  <c r="G9" i="22"/>
  <c r="J9" i="22"/>
  <c r="O9" i="13"/>
  <c r="M4" i="4"/>
  <c r="AD36" i="5"/>
  <c r="I90" i="9"/>
  <c r="E7" i="10"/>
  <c r="P7" i="10" s="1"/>
  <c r="W35" i="12"/>
  <c r="W37" i="12" s="1"/>
  <c r="Q7" i="14"/>
  <c r="W35" i="15"/>
  <c r="F9" i="18"/>
  <c r="W35" i="21"/>
  <c r="W35" i="23"/>
  <c r="W37" i="23" s="1"/>
  <c r="P7" i="14"/>
  <c r="Q6" i="15"/>
  <c r="J9" i="21"/>
  <c r="I71" i="5"/>
  <c r="Q8" i="10"/>
  <c r="O8" i="15"/>
  <c r="Q8" i="15" s="1"/>
  <c r="E8" i="16"/>
  <c r="P8" i="16" s="1"/>
  <c r="Q8" i="16" s="1"/>
  <c r="K9" i="18"/>
  <c r="L9" i="20"/>
  <c r="N18" i="22"/>
  <c r="Z31" i="22"/>
  <c r="Z32" i="22" s="1"/>
  <c r="K9" i="23"/>
  <c r="N7" i="24"/>
  <c r="O6" i="6"/>
  <c r="G9" i="12"/>
  <c r="L9" i="17"/>
  <c r="H9" i="19"/>
  <c r="K9" i="20"/>
  <c r="L9" i="21"/>
  <c r="W34" i="22"/>
  <c r="N18" i="24"/>
  <c r="Z31" i="24"/>
  <c r="Z32" i="24" s="1"/>
  <c r="O12" i="9"/>
  <c r="N18" i="14"/>
  <c r="I9" i="17"/>
  <c r="M9" i="22"/>
  <c r="O7" i="24"/>
  <c r="Q7" i="24" s="1"/>
  <c r="O8" i="8"/>
  <c r="E11" i="9"/>
  <c r="P11" i="9" s="1"/>
  <c r="Q11" i="9" s="1"/>
  <c r="N18" i="18"/>
  <c r="Z31" i="18"/>
  <c r="Z32" i="18" s="1"/>
  <c r="Z31" i="23"/>
  <c r="Z32" i="23" s="1"/>
  <c r="M9" i="24"/>
  <c r="Q7" i="25"/>
  <c r="N7" i="25"/>
  <c r="E9" i="25"/>
  <c r="P9" i="25" s="1"/>
  <c r="N8" i="25"/>
  <c r="P8" i="25"/>
  <c r="Q8" i="25" s="1"/>
  <c r="F9" i="25"/>
  <c r="O9" i="25" s="1"/>
  <c r="W35" i="24"/>
  <c r="W37" i="24" s="1"/>
  <c r="P8" i="24"/>
  <c r="E9" i="24"/>
  <c r="P9" i="24" s="1"/>
  <c r="F9" i="24"/>
  <c r="J9" i="24"/>
  <c r="K9" i="24"/>
  <c r="H9" i="24"/>
  <c r="L9" i="24"/>
  <c r="I106" i="24"/>
  <c r="N8" i="24"/>
  <c r="N9" i="24" s="1"/>
  <c r="M5" i="5"/>
  <c r="W32" i="8"/>
  <c r="M4" i="3"/>
  <c r="O4" i="4"/>
  <c r="O5" i="5"/>
  <c r="Q5" i="5" s="1"/>
  <c r="Q6" i="7"/>
  <c r="W30" i="7"/>
  <c r="G9" i="23"/>
  <c r="O7" i="23"/>
  <c r="Q6" i="6"/>
  <c r="P8" i="8"/>
  <c r="N8" i="8"/>
  <c r="N7" i="10"/>
  <c r="E10" i="10"/>
  <c r="N9" i="10"/>
  <c r="P9" i="10"/>
  <c r="Q9" i="10" s="1"/>
  <c r="M5" i="2"/>
  <c r="V30" i="6"/>
  <c r="P6" i="7"/>
  <c r="N6" i="7"/>
  <c r="O7" i="10"/>
  <c r="Q7" i="10" s="1"/>
  <c r="O10" i="10"/>
  <c r="N9" i="9"/>
  <c r="O8" i="11"/>
  <c r="O7" i="16"/>
  <c r="F9" i="16"/>
  <c r="N18" i="16"/>
  <c r="O8" i="20"/>
  <c r="Q8" i="20" s="1"/>
  <c r="N7" i="23"/>
  <c r="P7" i="23"/>
  <c r="E9" i="23"/>
  <c r="P9" i="23" s="1"/>
  <c r="M6" i="6"/>
  <c r="O9" i="9"/>
  <c r="Q9" i="9" s="1"/>
  <c r="N11" i="9"/>
  <c r="E12" i="9"/>
  <c r="X28" i="10"/>
  <c r="X31" i="10" s="1"/>
  <c r="N7" i="11"/>
  <c r="I95" i="11"/>
  <c r="P7" i="12"/>
  <c r="E9" i="12"/>
  <c r="P9" i="12" s="1"/>
  <c r="M9" i="12"/>
  <c r="P8" i="12"/>
  <c r="O8" i="12"/>
  <c r="I103" i="12"/>
  <c r="N8" i="13"/>
  <c r="I103" i="13"/>
  <c r="F9" i="14"/>
  <c r="O9" i="14" s="1"/>
  <c r="Q9" i="14" s="1"/>
  <c r="W34" i="15"/>
  <c r="W37" i="15" s="1"/>
  <c r="E7" i="15"/>
  <c r="I103" i="15"/>
  <c r="G9" i="16"/>
  <c r="W34" i="16"/>
  <c r="W37" i="16" s="1"/>
  <c r="E7" i="16"/>
  <c r="N7" i="17"/>
  <c r="H9" i="18"/>
  <c r="O9" i="18" s="1"/>
  <c r="O7" i="18"/>
  <c r="G9" i="18"/>
  <c r="W34" i="18"/>
  <c r="W37" i="18" s="1"/>
  <c r="E7" i="18"/>
  <c r="F9" i="19"/>
  <c r="O7" i="19"/>
  <c r="I104" i="19"/>
  <c r="W35" i="19"/>
  <c r="O7" i="20"/>
  <c r="F9" i="20"/>
  <c r="N18" i="20"/>
  <c r="O7" i="21"/>
  <c r="P8" i="22"/>
  <c r="E9" i="22"/>
  <c r="P9" i="22" s="1"/>
  <c r="F9" i="23"/>
  <c r="I104" i="23"/>
  <c r="F8" i="23"/>
  <c r="I86" i="6"/>
  <c r="W28" i="7"/>
  <c r="I86" i="7"/>
  <c r="W30" i="8"/>
  <c r="I89" i="8"/>
  <c r="O7" i="11"/>
  <c r="Q7" i="11" s="1"/>
  <c r="F9" i="12"/>
  <c r="O9" i="12" s="1"/>
  <c r="Q9" i="12" s="1"/>
  <c r="O7" i="12"/>
  <c r="J9" i="12"/>
  <c r="N9" i="13"/>
  <c r="P7" i="13"/>
  <c r="Q7" i="13" s="1"/>
  <c r="E9" i="13"/>
  <c r="P9" i="13" s="1"/>
  <c r="Q9" i="13" s="1"/>
  <c r="N8" i="14"/>
  <c r="N9" i="14" s="1"/>
  <c r="F9" i="15"/>
  <c r="O9" i="15" s="1"/>
  <c r="N8" i="17"/>
  <c r="I104" i="18"/>
  <c r="N8" i="19"/>
  <c r="N18" i="19"/>
  <c r="P7" i="19"/>
  <c r="E9" i="19"/>
  <c r="P9" i="19" s="1"/>
  <c r="N7" i="19"/>
  <c r="N9" i="19" s="1"/>
  <c r="N7" i="20"/>
  <c r="G9" i="20"/>
  <c r="W34" i="21"/>
  <c r="W37" i="21" s="1"/>
  <c r="E7" i="21"/>
  <c r="O8" i="22"/>
  <c r="N8" i="22"/>
  <c r="E6" i="11"/>
  <c r="N8" i="16"/>
  <c r="K9" i="17"/>
  <c r="O8" i="17"/>
  <c r="Q8" i="17" s="1"/>
  <c r="F9" i="17"/>
  <c r="O7" i="17"/>
  <c r="Q7" i="17" s="1"/>
  <c r="J9" i="17"/>
  <c r="N18" i="17"/>
  <c r="L9" i="18"/>
  <c r="O8" i="18"/>
  <c r="Q8" i="18" s="1"/>
  <c r="I9" i="19"/>
  <c r="W34" i="19"/>
  <c r="N8" i="20"/>
  <c r="O8" i="21"/>
  <c r="Q8" i="21" s="1"/>
  <c r="N8" i="21"/>
  <c r="I103" i="14"/>
  <c r="W35" i="14"/>
  <c r="W37" i="14" s="1"/>
  <c r="I103" i="16"/>
  <c r="E9" i="17"/>
  <c r="P9" i="17" s="1"/>
  <c r="I103" i="17"/>
  <c r="W35" i="17"/>
  <c r="W37" i="17" s="1"/>
  <c r="N8" i="18"/>
  <c r="O8" i="19"/>
  <c r="Q8" i="19" s="1"/>
  <c r="E9" i="20"/>
  <c r="P9" i="20" s="1"/>
  <c r="P7" i="20"/>
  <c r="I104" i="21"/>
  <c r="F7" i="22"/>
  <c r="W27" i="11"/>
  <c r="W29" i="11" s="1"/>
  <c r="O8" i="13"/>
  <c r="Q8" i="13" s="1"/>
  <c r="W35" i="13"/>
  <c r="W37" i="13" s="1"/>
  <c r="J9" i="19"/>
  <c r="I104" i="20"/>
  <c r="K9" i="21"/>
  <c r="I104" i="22"/>
  <c r="W35" i="22"/>
  <c r="W37" i="22" s="1"/>
  <c r="N18" i="23"/>
  <c r="P7" i="24"/>
  <c r="O8" i="24"/>
  <c r="G9" i="24"/>
  <c r="O9" i="17" l="1"/>
  <c r="Q9" i="17" s="1"/>
  <c r="O9" i="23"/>
  <c r="Q8" i="12"/>
  <c r="O9" i="21"/>
  <c r="Q8" i="8"/>
  <c r="Q8" i="22"/>
  <c r="N9" i="25"/>
  <c r="Q9" i="25"/>
  <c r="Q8" i="24"/>
  <c r="O9" i="24"/>
  <c r="Q9" i="24" s="1"/>
  <c r="P7" i="18"/>
  <c r="Q7" i="18" s="1"/>
  <c r="E9" i="18"/>
  <c r="P9" i="18" s="1"/>
  <c r="Q9" i="18" s="1"/>
  <c r="N7" i="18"/>
  <c r="N9" i="18" s="1"/>
  <c r="N12" i="9"/>
  <c r="P12" i="9"/>
  <c r="Q12" i="9" s="1"/>
  <c r="P10" i="10"/>
  <c r="Q10" i="10" s="1"/>
  <c r="N10" i="10"/>
  <c r="N6" i="11"/>
  <c r="N8" i="11" s="1"/>
  <c r="E8" i="11"/>
  <c r="P8" i="11" s="1"/>
  <c r="Q8" i="11" s="1"/>
  <c r="P6" i="11"/>
  <c r="Q6" i="11" s="1"/>
  <c r="N7" i="21"/>
  <c r="N9" i="21" s="1"/>
  <c r="P7" i="21"/>
  <c r="Q7" i="21" s="1"/>
  <c r="E9" i="21"/>
  <c r="P9" i="21" s="1"/>
  <c r="Q9" i="21" s="1"/>
  <c r="N9" i="20"/>
  <c r="Q9" i="23"/>
  <c r="N9" i="17"/>
  <c r="W37" i="19"/>
  <c r="O9" i="20"/>
  <c r="Q9" i="20" s="1"/>
  <c r="Q7" i="19"/>
  <c r="E9" i="16"/>
  <c r="P9" i="16" s="1"/>
  <c r="P7" i="16"/>
  <c r="N7" i="16"/>
  <c r="N9" i="16" s="1"/>
  <c r="E9" i="15"/>
  <c r="P9" i="15" s="1"/>
  <c r="Q9" i="15" s="1"/>
  <c r="P7" i="15"/>
  <c r="Q7" i="15" s="1"/>
  <c r="O9" i="16"/>
  <c r="Q9" i="16" s="1"/>
  <c r="Q7" i="23"/>
  <c r="F9" i="22"/>
  <c r="O9" i="22" s="1"/>
  <c r="Q9" i="22" s="1"/>
  <c r="O7" i="22"/>
  <c r="Q7" i="22" s="1"/>
  <c r="N7" i="22"/>
  <c r="N9" i="22" s="1"/>
  <c r="Q7" i="12"/>
  <c r="O8" i="23"/>
  <c r="Q8" i="23" s="1"/>
  <c r="N8" i="23"/>
  <c r="N9" i="23" s="1"/>
  <c r="Q7" i="20"/>
  <c r="O9" i="19"/>
  <c r="Q9" i="19" s="1"/>
  <c r="Q7" i="16"/>
</calcChain>
</file>

<file path=xl/sharedStrings.xml><?xml version="1.0" encoding="utf-8"?>
<sst xmlns="http://schemas.openxmlformats.org/spreadsheetml/2006/main" count="4072" uniqueCount="859">
  <si>
    <t>Jan 2023 Sales in Nutsell</t>
  </si>
  <si>
    <t>Grades</t>
  </si>
  <si>
    <t>Off Grade</t>
  </si>
  <si>
    <t>TOTAL</t>
  </si>
  <si>
    <t>Qty</t>
  </si>
  <si>
    <t>Avg Sales PK</t>
  </si>
  <si>
    <t>Profit PK</t>
  </si>
  <si>
    <t xml:space="preserve">Total </t>
  </si>
  <si>
    <t>Srl No</t>
  </si>
  <si>
    <t>Date</t>
  </si>
  <si>
    <t>Inv No</t>
  </si>
  <si>
    <t>Party</t>
  </si>
  <si>
    <t>Price</t>
  </si>
  <si>
    <t>1799</t>
  </si>
  <si>
    <t>2099</t>
  </si>
  <si>
    <t>2699</t>
  </si>
  <si>
    <t>588</t>
  </si>
  <si>
    <t>2088</t>
  </si>
  <si>
    <t>2488</t>
  </si>
  <si>
    <t>2688</t>
  </si>
  <si>
    <t>Darshan</t>
  </si>
  <si>
    <t>Giriraj</t>
  </si>
  <si>
    <t>Chemicare</t>
  </si>
  <si>
    <t>58 GTC</t>
  </si>
  <si>
    <t>SKS Fine</t>
  </si>
  <si>
    <t>220 / 225</t>
  </si>
  <si>
    <t>Seamless</t>
  </si>
  <si>
    <t>RR</t>
  </si>
  <si>
    <t>Meet Sach</t>
  </si>
  <si>
    <t>204 / 216</t>
  </si>
  <si>
    <t>Shri Ganpatye</t>
  </si>
  <si>
    <t>60 GTC</t>
  </si>
  <si>
    <t>Veena</t>
  </si>
  <si>
    <t>227 / 220</t>
  </si>
  <si>
    <t>62 GTC</t>
  </si>
  <si>
    <t>Chandan Syn</t>
  </si>
  <si>
    <t>63 gtc</t>
  </si>
  <si>
    <t>Fortune</t>
  </si>
  <si>
    <t>Santosh</t>
  </si>
  <si>
    <t>Dhiren Enter</t>
  </si>
  <si>
    <t>Papyrus</t>
  </si>
  <si>
    <t>Indokem</t>
  </si>
  <si>
    <t>64 GTC</t>
  </si>
  <si>
    <t>AP Bonding</t>
  </si>
  <si>
    <t>Surya</t>
  </si>
  <si>
    <t>Hareshji</t>
  </si>
  <si>
    <t>Mangalam Dye</t>
  </si>
  <si>
    <t>Feb 2023 Sales in Nutsell</t>
  </si>
  <si>
    <t>KDM</t>
  </si>
  <si>
    <t>Aditya</t>
  </si>
  <si>
    <t>205/206</t>
  </si>
  <si>
    <t>Can Image</t>
  </si>
  <si>
    <t>Paramount</t>
  </si>
  <si>
    <t>225 / 230</t>
  </si>
  <si>
    <t>Naveen Bhai</t>
  </si>
  <si>
    <t>Bhavya Enter</t>
  </si>
  <si>
    <t>Jay Organics</t>
  </si>
  <si>
    <t>Kanha Trading</t>
  </si>
  <si>
    <t>Keval Corp</t>
  </si>
  <si>
    <t>67 GTC</t>
  </si>
  <si>
    <t>Paresh Pure Chem</t>
  </si>
  <si>
    <t>Suncol</t>
  </si>
  <si>
    <t>303, 304</t>
  </si>
  <si>
    <t>BSB Inds</t>
  </si>
  <si>
    <t>150, 204, 213</t>
  </si>
  <si>
    <t>Devankshi</t>
  </si>
  <si>
    <t>Neelam</t>
  </si>
  <si>
    <t>216, 220</t>
  </si>
  <si>
    <t>68 GTC</t>
  </si>
  <si>
    <t>Gurpreet</t>
  </si>
  <si>
    <t>69 GTC</t>
  </si>
  <si>
    <t>Divysai</t>
  </si>
  <si>
    <t>March 2023 Sales in Nutsell</t>
  </si>
  <si>
    <t>Patidar</t>
  </si>
  <si>
    <t>70 GTC</t>
  </si>
  <si>
    <t>71 GTC</t>
  </si>
  <si>
    <t>AP Enterprises</t>
  </si>
  <si>
    <t>73 GTC</t>
  </si>
  <si>
    <t>VijayRaj</t>
  </si>
  <si>
    <t>74 GTC</t>
  </si>
  <si>
    <t>Mine Chem</t>
  </si>
  <si>
    <t>76 GTC</t>
  </si>
  <si>
    <t>Chemie Care</t>
  </si>
  <si>
    <t>Superbond</t>
  </si>
  <si>
    <t xml:space="preserve"> </t>
  </si>
  <si>
    <t>78 GTC</t>
  </si>
  <si>
    <t>90 GTC</t>
  </si>
  <si>
    <t>April 2023 Sales in Nutsell</t>
  </si>
  <si>
    <t>Prime</t>
  </si>
  <si>
    <t>Sagar Corp</t>
  </si>
  <si>
    <t>BSB Indus</t>
  </si>
  <si>
    <t>210, 215</t>
  </si>
  <si>
    <t>1 GTC</t>
  </si>
  <si>
    <t>202, 204</t>
  </si>
  <si>
    <t>2 GTC</t>
  </si>
  <si>
    <t>AP Bond</t>
  </si>
  <si>
    <t>Siva Chem</t>
  </si>
  <si>
    <t>Deepak Enterprise</t>
  </si>
  <si>
    <t>203, 155</t>
  </si>
  <si>
    <t>150, 210</t>
  </si>
  <si>
    <t>Ankush Enterprise</t>
  </si>
  <si>
    <t>Jai Aravali</t>
  </si>
  <si>
    <t>Rajasthan Det</t>
  </si>
  <si>
    <t>3 GTC</t>
  </si>
  <si>
    <t>Mangalam</t>
  </si>
  <si>
    <t>Alpha Resources</t>
  </si>
  <si>
    <t>Rudolf</t>
  </si>
  <si>
    <t>5 GTC</t>
  </si>
  <si>
    <t>204, 215, 218</t>
  </si>
  <si>
    <t>6 GTC</t>
  </si>
  <si>
    <t>7 GTC</t>
  </si>
  <si>
    <t>Chandan</t>
  </si>
  <si>
    <t>Rally Chem</t>
  </si>
  <si>
    <t>Dhawan</t>
  </si>
  <si>
    <t>132, 203</t>
  </si>
  <si>
    <t>11 GTC</t>
  </si>
  <si>
    <t>May 2023 Sales in Nutsell</t>
  </si>
  <si>
    <t>Total</t>
  </si>
  <si>
    <t>Off Grade Stocks And Sales</t>
  </si>
  <si>
    <t>13 GTC</t>
  </si>
  <si>
    <t>Doshi</t>
  </si>
  <si>
    <t xml:space="preserve">Srl No. </t>
  </si>
  <si>
    <t xml:space="preserve">Details </t>
  </si>
  <si>
    <t>New Stock</t>
  </si>
  <si>
    <t>Date Sales</t>
  </si>
  <si>
    <t>Product</t>
  </si>
  <si>
    <t>Bal Stock</t>
  </si>
  <si>
    <t>Lot of 50 MT</t>
  </si>
  <si>
    <t>nil</t>
  </si>
  <si>
    <t>Eco Ind</t>
  </si>
  <si>
    <t>325 usa</t>
  </si>
  <si>
    <t>60,61</t>
  </si>
  <si>
    <t>150, 206</t>
  </si>
  <si>
    <t>Germany</t>
  </si>
  <si>
    <t>Japan Crab</t>
  </si>
  <si>
    <t>Japan</t>
  </si>
  <si>
    <t>Vrinda</t>
  </si>
  <si>
    <t>13/5 USA</t>
  </si>
  <si>
    <t>523 USA</t>
  </si>
  <si>
    <t>Paresh Pure</t>
  </si>
  <si>
    <t>Kanha</t>
  </si>
  <si>
    <t>325 USA</t>
  </si>
  <si>
    <t>Sagar Dye</t>
  </si>
  <si>
    <t>Raj Chem</t>
  </si>
  <si>
    <t>USA Crystal</t>
  </si>
  <si>
    <t>Jay, SKR, Mine</t>
  </si>
  <si>
    <t>Misc</t>
  </si>
  <si>
    <t>14 GTC</t>
  </si>
  <si>
    <t>PCL</t>
  </si>
  <si>
    <t>15 GTC</t>
  </si>
  <si>
    <t>Ankush</t>
  </si>
  <si>
    <t>140, 204</t>
  </si>
  <si>
    <t>GTC 18</t>
  </si>
  <si>
    <t>GTC 19</t>
  </si>
  <si>
    <t>198, 202, 203</t>
  </si>
  <si>
    <t>215, 210</t>
  </si>
  <si>
    <t>GTC 20</t>
  </si>
  <si>
    <t>AP Enterprise</t>
  </si>
  <si>
    <t>195, 205</t>
  </si>
  <si>
    <t>GTC 24</t>
  </si>
  <si>
    <t>190 192</t>
  </si>
  <si>
    <t>192, 198</t>
  </si>
  <si>
    <t>SKR</t>
  </si>
  <si>
    <t>Popular Chemical</t>
  </si>
  <si>
    <t>CanImage</t>
  </si>
  <si>
    <t>178, 190</t>
  </si>
  <si>
    <t>GTC 25</t>
  </si>
  <si>
    <t>187, 188, 199</t>
  </si>
  <si>
    <t>Aadeshwar</t>
  </si>
  <si>
    <t>GTC 26</t>
  </si>
  <si>
    <t>113, 114</t>
  </si>
  <si>
    <t>137, 188</t>
  </si>
  <si>
    <t>New Input</t>
  </si>
  <si>
    <t>Return From Dhawan</t>
  </si>
  <si>
    <t>135, 190</t>
  </si>
  <si>
    <t>Akshat</t>
  </si>
  <si>
    <t>135, 200</t>
  </si>
  <si>
    <t>Uma Agencies</t>
  </si>
  <si>
    <t>A to Z</t>
  </si>
  <si>
    <t>Shubham Corp</t>
  </si>
  <si>
    <t>Pappyrus</t>
  </si>
  <si>
    <t>Total New Input:-</t>
  </si>
  <si>
    <t>Bio Chem</t>
  </si>
  <si>
    <t>Old Stock C/F:-</t>
  </si>
  <si>
    <t xml:space="preserve">Total Stocks New &amp; Old :- </t>
  </si>
  <si>
    <t>205, 220</t>
  </si>
  <si>
    <t>LESS SALES: (as per sales sheet)</t>
  </si>
  <si>
    <t>Dipali</t>
  </si>
  <si>
    <t>NET QTY AVAILABLE:</t>
  </si>
  <si>
    <t>192, 202</t>
  </si>
  <si>
    <t>Guruji</t>
  </si>
  <si>
    <t>132, 192</t>
  </si>
  <si>
    <t>Pearl</t>
  </si>
  <si>
    <t>Om Shakti</t>
  </si>
  <si>
    <t>135, 195</t>
  </si>
  <si>
    <t>GTC 27</t>
  </si>
  <si>
    <t>Target</t>
  </si>
  <si>
    <t>132, 182</t>
  </si>
  <si>
    <t>30 GTC</t>
  </si>
  <si>
    <t>Gaywala</t>
  </si>
  <si>
    <t>Vasudha Colors</t>
  </si>
  <si>
    <t>155, 176</t>
  </si>
  <si>
    <t>Veekay</t>
  </si>
  <si>
    <t>July 2023 Sales in Nutsell</t>
  </si>
  <si>
    <t>3099</t>
  </si>
  <si>
    <t>Vrinda Chem</t>
  </si>
  <si>
    <t>Patidar Adh</t>
  </si>
  <si>
    <t>JP Impex</t>
  </si>
  <si>
    <t>167, 162</t>
  </si>
  <si>
    <t>130, 185</t>
  </si>
  <si>
    <t>GTC 31</t>
  </si>
  <si>
    <t>125, 157, 170</t>
  </si>
  <si>
    <t>Akshat Chem</t>
  </si>
  <si>
    <t>Jupiter</t>
  </si>
  <si>
    <t>120, 165</t>
  </si>
  <si>
    <t>144, 155, 154</t>
  </si>
  <si>
    <t>Kunal Dye</t>
  </si>
  <si>
    <t>123, 159</t>
  </si>
  <si>
    <t>A2Z</t>
  </si>
  <si>
    <t>146, 166</t>
  </si>
  <si>
    <t>Chemi Care</t>
  </si>
  <si>
    <t>160, 165, 180</t>
  </si>
  <si>
    <t>GTC 35</t>
  </si>
  <si>
    <t>120, 148, 158</t>
  </si>
  <si>
    <t>Om Shakhi</t>
  </si>
  <si>
    <t>145, 170</t>
  </si>
  <si>
    <t>162, 176</t>
  </si>
  <si>
    <t>Swastik</t>
  </si>
  <si>
    <t>August 2023 Sales in Nutsell</t>
  </si>
  <si>
    <t>Agarwal</t>
  </si>
  <si>
    <t>IMP 19 - 2117</t>
  </si>
  <si>
    <t>Uma Agen</t>
  </si>
  <si>
    <t>Aadinath</t>
  </si>
  <si>
    <t>148, 162, 162</t>
  </si>
  <si>
    <t>Soham</t>
  </si>
  <si>
    <t>100, 165</t>
  </si>
  <si>
    <t>185, 180</t>
  </si>
  <si>
    <t>37 GTC</t>
  </si>
  <si>
    <t>38 GTC</t>
  </si>
  <si>
    <t>147, 169</t>
  </si>
  <si>
    <t>162, 170</t>
  </si>
  <si>
    <t>152, 160, 162</t>
  </si>
  <si>
    <t>39 GTC</t>
  </si>
  <si>
    <t>Jai Mata Di</t>
  </si>
  <si>
    <t>Standard Chemicals</t>
  </si>
  <si>
    <t>155, 165</t>
  </si>
  <si>
    <t>122,  159</t>
  </si>
  <si>
    <t>120,  172</t>
  </si>
  <si>
    <t>Reliable</t>
  </si>
  <si>
    <t>152, 162, 172</t>
  </si>
  <si>
    <t>333 / 4</t>
  </si>
  <si>
    <t>155,  160</t>
  </si>
  <si>
    <t>335 CANC</t>
  </si>
  <si>
    <t>336 CANC</t>
  </si>
  <si>
    <t>165,  168</t>
  </si>
  <si>
    <t>Meet Products</t>
  </si>
  <si>
    <t>125,  158</t>
  </si>
  <si>
    <t>160,  165</t>
  </si>
  <si>
    <t>September 2023 Sales in Nutsell</t>
  </si>
  <si>
    <t>Old Stck CF</t>
  </si>
  <si>
    <t>New Input In Sept</t>
  </si>
  <si>
    <t>Net Stocks CF</t>
  </si>
  <si>
    <t>Crab Legs</t>
  </si>
  <si>
    <t>Powder</t>
  </si>
  <si>
    <t>Powder + Crystal</t>
  </si>
  <si>
    <t>grade 325</t>
  </si>
  <si>
    <t>p+c</t>
  </si>
  <si>
    <t>125,  185</t>
  </si>
  <si>
    <t>Growmore</t>
  </si>
  <si>
    <t>Popular</t>
  </si>
  <si>
    <t>158,  178</t>
  </si>
  <si>
    <t>GTC 43</t>
  </si>
  <si>
    <t>115, 165</t>
  </si>
  <si>
    <t>Devanski</t>
  </si>
  <si>
    <t>165, 175</t>
  </si>
  <si>
    <t>GTC 46</t>
  </si>
  <si>
    <t>Kraft</t>
  </si>
  <si>
    <t>GTC 47</t>
  </si>
  <si>
    <t>Eco Industries</t>
  </si>
  <si>
    <t>120, 178</t>
  </si>
  <si>
    <t>GTC 48</t>
  </si>
  <si>
    <t>168,  159</t>
  </si>
  <si>
    <t>GTC 49</t>
  </si>
  <si>
    <t>Sunil Dye</t>
  </si>
  <si>
    <t>Vasudha</t>
  </si>
  <si>
    <t>120, 180</t>
  </si>
  <si>
    <t>Devysai</t>
  </si>
  <si>
    <t>GTC 50</t>
  </si>
  <si>
    <t>157, 172</t>
  </si>
  <si>
    <t>GTC 51</t>
  </si>
  <si>
    <t>GTC 52</t>
  </si>
  <si>
    <t>163.5, 150</t>
  </si>
  <si>
    <t>cf mistake</t>
  </si>
  <si>
    <t>soham</t>
  </si>
  <si>
    <t>October 2023 Sales in Nutsell</t>
  </si>
  <si>
    <t>DENKA</t>
  </si>
  <si>
    <t>New Input In Oct</t>
  </si>
  <si>
    <t>Patel Adhesives</t>
  </si>
  <si>
    <t>80-35</t>
  </si>
  <si>
    <t>30-99</t>
  </si>
  <si>
    <t>154, 170, 172</t>
  </si>
  <si>
    <t>Gautam Kabdhir</t>
  </si>
  <si>
    <t>GTC 53</t>
  </si>
  <si>
    <t>GTC 54</t>
  </si>
  <si>
    <t>GTC 55</t>
  </si>
  <si>
    <t>Chemi Range</t>
  </si>
  <si>
    <t>GTC 56</t>
  </si>
  <si>
    <t>GTC 57</t>
  </si>
  <si>
    <t>GTC 58</t>
  </si>
  <si>
    <t>GTC 59</t>
  </si>
  <si>
    <t>Raj Indus</t>
  </si>
  <si>
    <t>164, 182</t>
  </si>
  <si>
    <t>Vinit</t>
  </si>
  <si>
    <t>GTC 61</t>
  </si>
  <si>
    <t>GTC 62</t>
  </si>
  <si>
    <t>GTC 63</t>
  </si>
  <si>
    <t>Giriraj Polymers</t>
  </si>
  <si>
    <t>Akshat Corp</t>
  </si>
  <si>
    <t>125, 180</t>
  </si>
  <si>
    <t>GTC 64</t>
  </si>
  <si>
    <t>GTC 67</t>
  </si>
  <si>
    <t>180,  120</t>
  </si>
  <si>
    <t>GTC 69</t>
  </si>
  <si>
    <t>GTC 71</t>
  </si>
  <si>
    <t>162, 206</t>
  </si>
  <si>
    <t>KK Dye</t>
  </si>
  <si>
    <t>119, 199</t>
  </si>
  <si>
    <t>GTC 72</t>
  </si>
  <si>
    <t>GTC 73</t>
  </si>
  <si>
    <t>180, 190</t>
  </si>
  <si>
    <t>162, 200</t>
  </si>
  <si>
    <t>Purvi Enterprise</t>
  </si>
  <si>
    <t>117, 325</t>
  </si>
  <si>
    <t>Shree Mahalaxmi</t>
  </si>
  <si>
    <t>November 2023 Sales in Nutsell</t>
  </si>
  <si>
    <t>Sales In Nov</t>
  </si>
  <si>
    <t>Paradise</t>
  </si>
  <si>
    <t>169, 117</t>
  </si>
  <si>
    <t>GTC 77 78</t>
  </si>
  <si>
    <t>168, 178</t>
  </si>
  <si>
    <t>GTC 79</t>
  </si>
  <si>
    <t>147, 168</t>
  </si>
  <si>
    <t>118, 205</t>
  </si>
  <si>
    <t>118, 193, 150</t>
  </si>
  <si>
    <t>GTC 80</t>
  </si>
  <si>
    <t>GTC 82</t>
  </si>
  <si>
    <t>158, 200</t>
  </si>
  <si>
    <t>Mangalam Dye Chem</t>
  </si>
  <si>
    <t>120, 150</t>
  </si>
  <si>
    <t xml:space="preserve">115, 150, 175, 165, </t>
  </si>
  <si>
    <t>GTC 83</t>
  </si>
  <si>
    <t>GTC 84</t>
  </si>
  <si>
    <t>GTC 85</t>
  </si>
  <si>
    <t>GTC 86</t>
  </si>
  <si>
    <t>185, 180, 200</t>
  </si>
  <si>
    <t>Empowera</t>
  </si>
  <si>
    <t>150, 170</t>
  </si>
  <si>
    <t>GTC 87</t>
  </si>
  <si>
    <t>Om Neelkhant</t>
  </si>
  <si>
    <t>Bhavya</t>
  </si>
  <si>
    <t>GTC 88</t>
  </si>
  <si>
    <t>144, 165</t>
  </si>
  <si>
    <t>Raj Inds</t>
  </si>
  <si>
    <t>GTC 89</t>
  </si>
  <si>
    <t>December 2023 Sales in Nutsell</t>
  </si>
  <si>
    <t>New Input In Dec</t>
  </si>
  <si>
    <t>Sales In Dec</t>
  </si>
  <si>
    <t>PRIME INPUT DETAILS</t>
  </si>
  <si>
    <t>GRADES</t>
  </si>
  <si>
    <t>FROM</t>
  </si>
  <si>
    <t>IMP NO</t>
  </si>
  <si>
    <t>SRL NO</t>
  </si>
  <si>
    <t>MAKE</t>
  </si>
  <si>
    <t>DATE</t>
  </si>
  <si>
    <t>Wanwei</t>
  </si>
  <si>
    <t>GTC</t>
  </si>
  <si>
    <t>IM</t>
  </si>
  <si>
    <t>SST</t>
  </si>
  <si>
    <t>Denka</t>
  </si>
  <si>
    <t>mix</t>
  </si>
  <si>
    <t>superbond</t>
  </si>
  <si>
    <t>GTC 90</t>
  </si>
  <si>
    <t>mix - JP</t>
  </si>
  <si>
    <t>GTC 91</t>
  </si>
  <si>
    <t>140, 160</t>
  </si>
  <si>
    <t>GTC 92</t>
  </si>
  <si>
    <t>172, 200</t>
  </si>
  <si>
    <t>120, 195</t>
  </si>
  <si>
    <t>GTC 93</t>
  </si>
  <si>
    <t>156, 160</t>
  </si>
  <si>
    <t>143, 163</t>
  </si>
  <si>
    <t>Chandan Synthetic</t>
  </si>
  <si>
    <t>115, 139</t>
  </si>
  <si>
    <t>GTC 95</t>
  </si>
  <si>
    <t>Siva</t>
  </si>
  <si>
    <t>GTC 96</t>
  </si>
  <si>
    <t>GTC 97</t>
  </si>
  <si>
    <t>175, 172, 180</t>
  </si>
  <si>
    <t>164, 166, 190</t>
  </si>
  <si>
    <t>556 / 557</t>
  </si>
  <si>
    <t>GTC 98</t>
  </si>
  <si>
    <t>120, 40</t>
  </si>
  <si>
    <t>Mahalaxmi Chemicals</t>
  </si>
  <si>
    <t>120, 147</t>
  </si>
  <si>
    <t>GTC 101</t>
  </si>
  <si>
    <t>GTC 102</t>
  </si>
  <si>
    <t>Yash Corp</t>
  </si>
  <si>
    <t>Shree Gayatri</t>
  </si>
  <si>
    <t>112, 100</t>
  </si>
  <si>
    <t>Surya Poly</t>
  </si>
  <si>
    <t>GTC 103</t>
  </si>
  <si>
    <t>139, 165</t>
  </si>
  <si>
    <t>GTC 104</t>
  </si>
  <si>
    <t>GTC 105</t>
  </si>
  <si>
    <t>GTC 106</t>
  </si>
  <si>
    <t>GTC 107</t>
  </si>
  <si>
    <t>172, 120</t>
  </si>
  <si>
    <t>180, 200</t>
  </si>
  <si>
    <t>GTC - 111</t>
  </si>
  <si>
    <t>117, 189</t>
  </si>
  <si>
    <t>GTC - 112</t>
  </si>
  <si>
    <t>169, 189</t>
  </si>
  <si>
    <t>Jan 2024 Sales in Nutsell</t>
  </si>
  <si>
    <t>Sales In Jan</t>
  </si>
  <si>
    <t>GTC 114</t>
  </si>
  <si>
    <t>155, 200</t>
  </si>
  <si>
    <t>mix JP</t>
  </si>
  <si>
    <t>120, 200</t>
  </si>
  <si>
    <t>GTC 115</t>
  </si>
  <si>
    <t>GTC 116</t>
  </si>
  <si>
    <t>152, 170, 200</t>
  </si>
  <si>
    <t>Doshi Chem</t>
  </si>
  <si>
    <t>GTC 117</t>
  </si>
  <si>
    <t>GTC 118</t>
  </si>
  <si>
    <t>170, 194</t>
  </si>
  <si>
    <t>Anmol</t>
  </si>
  <si>
    <t>188, 192</t>
  </si>
  <si>
    <t>GTC 120</t>
  </si>
  <si>
    <t>GTC 121</t>
  </si>
  <si>
    <t>169, 170</t>
  </si>
  <si>
    <t>Prime Chem</t>
  </si>
  <si>
    <t>GTC 123</t>
  </si>
  <si>
    <t>GTC 125</t>
  </si>
  <si>
    <t>Abeer Ente</t>
  </si>
  <si>
    <t>Durga Chem</t>
  </si>
  <si>
    <t>GTC 127</t>
  </si>
  <si>
    <t>Aggarwal Tiles</t>
  </si>
  <si>
    <t>Papfibre</t>
  </si>
  <si>
    <t>S K International</t>
  </si>
  <si>
    <t>GTC 129</t>
  </si>
  <si>
    <t>Feb 2024  Sales in Nutsell</t>
  </si>
  <si>
    <t>Sales In Feb</t>
  </si>
  <si>
    <t>148, 160</t>
  </si>
  <si>
    <t>GC 130</t>
  </si>
  <si>
    <t>155, 158, 168</t>
  </si>
  <si>
    <t>GTC 132</t>
  </si>
  <si>
    <t>154, 166</t>
  </si>
  <si>
    <t>118, 125</t>
  </si>
  <si>
    <t>164, 112</t>
  </si>
  <si>
    <t>GTC 134</t>
  </si>
  <si>
    <t>GTC 135</t>
  </si>
  <si>
    <t>170, 200</t>
  </si>
  <si>
    <t>148, 189</t>
  </si>
  <si>
    <t>GTC 137</t>
  </si>
  <si>
    <t>Pragati Enter</t>
  </si>
  <si>
    <t>GTC 138</t>
  </si>
  <si>
    <t>190, 194</t>
  </si>
  <si>
    <t>GTC 139</t>
  </si>
  <si>
    <t>GTC 140</t>
  </si>
  <si>
    <t>GTC 141</t>
  </si>
  <si>
    <t>GTC 142</t>
  </si>
  <si>
    <t>GTC 143</t>
  </si>
  <si>
    <t>GTC 144</t>
  </si>
  <si>
    <t>GTC 146</t>
  </si>
  <si>
    <t>GTC 147</t>
  </si>
  <si>
    <t>GTC 148</t>
  </si>
  <si>
    <t>Vinit Polymers</t>
  </si>
  <si>
    <t>GTC 149</t>
  </si>
  <si>
    <t>Sparkle Inds</t>
  </si>
  <si>
    <t>GTC 150</t>
  </si>
  <si>
    <t>GTC 151</t>
  </si>
  <si>
    <t>Sales In March</t>
  </si>
  <si>
    <t>Amritha</t>
  </si>
  <si>
    <t>110, 200</t>
  </si>
  <si>
    <t>116, 156, 164</t>
  </si>
  <si>
    <t>119, 179</t>
  </si>
  <si>
    <t>GTC 152</t>
  </si>
  <si>
    <t>175, 200</t>
  </si>
  <si>
    <t>GTC 153</t>
  </si>
  <si>
    <t>Karnataka</t>
  </si>
  <si>
    <t>160, 165</t>
  </si>
  <si>
    <t>RMW</t>
  </si>
  <si>
    <t>GTC 154</t>
  </si>
  <si>
    <t>Atulya Chemicals</t>
  </si>
  <si>
    <t>GTC 155</t>
  </si>
  <si>
    <t>GTC 156</t>
  </si>
  <si>
    <t>GTC 157</t>
  </si>
  <si>
    <t>GTC 159</t>
  </si>
  <si>
    <t>GTC 160</t>
  </si>
  <si>
    <t>Mahalaxmi Chem</t>
  </si>
  <si>
    <t>Gupreet</t>
  </si>
  <si>
    <t>180, 210</t>
  </si>
  <si>
    <t>GTC 162</t>
  </si>
  <si>
    <t>GTC 163</t>
  </si>
  <si>
    <t>Orinco</t>
  </si>
  <si>
    <t>GTC 164</t>
  </si>
  <si>
    <t>GTC 165</t>
  </si>
  <si>
    <t>GTC 166</t>
  </si>
  <si>
    <t>GTC 168</t>
  </si>
  <si>
    <t>GTC 169</t>
  </si>
  <si>
    <t>GTC 170</t>
  </si>
  <si>
    <t>156, 170</t>
  </si>
  <si>
    <t>GTC 171</t>
  </si>
  <si>
    <t>GTC 172</t>
  </si>
  <si>
    <t>Sales In April</t>
  </si>
  <si>
    <t>GTC 1</t>
  </si>
  <si>
    <t>GTC 2</t>
  </si>
  <si>
    <t xml:space="preserve">GTC 3 </t>
  </si>
  <si>
    <t>153, 161</t>
  </si>
  <si>
    <t>117, 151</t>
  </si>
  <si>
    <t>GTC 4</t>
  </si>
  <si>
    <t>Panther Adhesives</t>
  </si>
  <si>
    <t>GTC 5</t>
  </si>
  <si>
    <t>GTC 6</t>
  </si>
  <si>
    <t>120, 158</t>
  </si>
  <si>
    <t>A 1 Starch</t>
  </si>
  <si>
    <t>9, 10</t>
  </si>
  <si>
    <t>GTC 8</t>
  </si>
  <si>
    <t>GTC 9</t>
  </si>
  <si>
    <t>13, 14</t>
  </si>
  <si>
    <t>205, 170, 156</t>
  </si>
  <si>
    <t>16, 17</t>
  </si>
  <si>
    <t>GTC 11</t>
  </si>
  <si>
    <t>Dhanlaxmi Sizing</t>
  </si>
  <si>
    <t>GTC 12</t>
  </si>
  <si>
    <t>GTC 13</t>
  </si>
  <si>
    <t>GTC 14</t>
  </si>
  <si>
    <t>158, 172, 205</t>
  </si>
  <si>
    <t>GTC 15</t>
  </si>
  <si>
    <t>GTC 16</t>
  </si>
  <si>
    <t>158, 205</t>
  </si>
  <si>
    <t>GTC 17</t>
  </si>
  <si>
    <t>Patidar Adhesives</t>
  </si>
  <si>
    <t>128, 215</t>
  </si>
  <si>
    <t>100, 500</t>
  </si>
  <si>
    <t>125, 151</t>
  </si>
  <si>
    <t xml:space="preserve">Ankush </t>
  </si>
  <si>
    <t>May 2024  Sales in Nutsell</t>
  </si>
  <si>
    <t>Sales In May</t>
  </si>
  <si>
    <t xml:space="preserve"> Per Kgs</t>
  </si>
  <si>
    <t>GTC 23</t>
  </si>
  <si>
    <t>158, 172</t>
  </si>
  <si>
    <t>temvol</t>
  </si>
  <si>
    <t>GTC 28</t>
  </si>
  <si>
    <t>GTC 29</t>
  </si>
  <si>
    <t>Bhavya Enterprise</t>
  </si>
  <si>
    <t>GTC 30</t>
  </si>
  <si>
    <t>GTC 32</t>
  </si>
  <si>
    <t>155, 168</t>
  </si>
  <si>
    <t>GTC 34</t>
  </si>
  <si>
    <t xml:space="preserve">GTC 35 </t>
  </si>
  <si>
    <t>Dhawan Trading</t>
  </si>
  <si>
    <t>GTC 36</t>
  </si>
  <si>
    <t>GTC 37</t>
  </si>
  <si>
    <t>152, 162</t>
  </si>
  <si>
    <t>GTC 38</t>
  </si>
  <si>
    <t>Durga Chemicals</t>
  </si>
  <si>
    <t>GTC 39</t>
  </si>
  <si>
    <t>119, 171, 166</t>
  </si>
  <si>
    <t>GTC 40</t>
  </si>
  <si>
    <t>GTC 41</t>
  </si>
  <si>
    <t>June 2024  Sales in Nutsell</t>
  </si>
  <si>
    <t>Sales In June</t>
  </si>
  <si>
    <t>8-6-24 &amp; 16-6-24 for 1799</t>
  </si>
  <si>
    <t>GTC 45</t>
  </si>
  <si>
    <t>NewPrism</t>
  </si>
  <si>
    <t>Imp No</t>
  </si>
  <si>
    <t>Total Cost</t>
  </si>
  <si>
    <t>99, 174</t>
  </si>
  <si>
    <t>Sanjay</t>
  </si>
  <si>
    <t>NA</t>
  </si>
  <si>
    <t>TOTAL COST</t>
  </si>
  <si>
    <t>Avg Per Kgs Cost</t>
  </si>
  <si>
    <t>Sparkle</t>
  </si>
  <si>
    <t>RCI</t>
  </si>
  <si>
    <t>Aditya Impex</t>
  </si>
  <si>
    <t>GTC 64 - SST 91</t>
  </si>
  <si>
    <t>Guruji industries</t>
  </si>
  <si>
    <t>111, 191</t>
  </si>
  <si>
    <t>Agarwal Chemical</t>
  </si>
  <si>
    <t>GTC 65</t>
  </si>
  <si>
    <t>GTC 66</t>
  </si>
  <si>
    <t>Balaji Chem</t>
  </si>
  <si>
    <t>Woodland</t>
  </si>
  <si>
    <t>GTC 68</t>
  </si>
  <si>
    <t>MLJP</t>
  </si>
  <si>
    <t>July 2024  Sales in Nutsell</t>
  </si>
  <si>
    <t>Sales In July</t>
  </si>
  <si>
    <t>Column1</t>
  </si>
  <si>
    <t>Crystal</t>
  </si>
  <si>
    <t>Sunil Dye Chem</t>
  </si>
  <si>
    <t>120, 121</t>
  </si>
  <si>
    <t>123, 124</t>
  </si>
  <si>
    <t>159, 170, 175</t>
  </si>
  <si>
    <t>GTC 74</t>
  </si>
  <si>
    <t>GTC 76</t>
  </si>
  <si>
    <t>Reliable Adhesives</t>
  </si>
  <si>
    <t>GTC 77</t>
  </si>
  <si>
    <t xml:space="preserve">Aditya </t>
  </si>
  <si>
    <t>Shakti Chem</t>
  </si>
  <si>
    <t>2088 sold which is taken from cj</t>
  </si>
  <si>
    <t>Asanand Sons</t>
  </si>
  <si>
    <t>GTC 78</t>
  </si>
  <si>
    <t>185, 210</t>
  </si>
  <si>
    <t>Pallmer</t>
  </si>
  <si>
    <t>105, 157</t>
  </si>
  <si>
    <t>Asian Solvents</t>
  </si>
  <si>
    <t>Apeksha</t>
  </si>
  <si>
    <t>GTC 99</t>
  </si>
  <si>
    <t>GTC 100</t>
  </si>
  <si>
    <t>Premier</t>
  </si>
  <si>
    <t>August2024  Sales in Nutsell</t>
  </si>
  <si>
    <t>Sales In Aug</t>
  </si>
  <si>
    <t>Mahalaxmi</t>
  </si>
  <si>
    <t>Karnataka Inds</t>
  </si>
  <si>
    <t>320, 172</t>
  </si>
  <si>
    <t>Chandan Synthetics</t>
  </si>
  <si>
    <t>Vibgyor</t>
  </si>
  <si>
    <t>GTC 119</t>
  </si>
  <si>
    <t>155, 169</t>
  </si>
  <si>
    <t>118, 185</t>
  </si>
  <si>
    <t>RCI Chemsol</t>
  </si>
  <si>
    <t>Sept 2024  Sales in Nutsell</t>
  </si>
  <si>
    <t>Sales In Sept</t>
  </si>
  <si>
    <t>powder</t>
  </si>
  <si>
    <t>107 / 205 / 3010</t>
  </si>
  <si>
    <t>Aditya Polymers</t>
  </si>
  <si>
    <t>141 GTC</t>
  </si>
  <si>
    <t>Eco Inds</t>
  </si>
  <si>
    <t>GTC 143, 144</t>
  </si>
  <si>
    <t>GTC 145</t>
  </si>
  <si>
    <t>Woodland Chemicals</t>
  </si>
  <si>
    <t>Oct 2024  Sales in Nutsell</t>
  </si>
  <si>
    <t>Sales In Oct</t>
  </si>
  <si>
    <t>Punav</t>
  </si>
  <si>
    <t>powder + crystal Hexa</t>
  </si>
  <si>
    <t>crystal</t>
  </si>
  <si>
    <t>United Polypack</t>
  </si>
  <si>
    <t>Dhanlaxmee Sizing</t>
  </si>
  <si>
    <t>Vaibhav Chemicals</t>
  </si>
  <si>
    <t>Shree Gabpatye</t>
  </si>
  <si>
    <t>177, 184</t>
  </si>
  <si>
    <t>GG 1</t>
  </si>
  <si>
    <t>GG 2</t>
  </si>
  <si>
    <t>Gayawala</t>
  </si>
  <si>
    <t>GG 3</t>
  </si>
  <si>
    <t>Sagar Dye Chem</t>
  </si>
  <si>
    <t>Geeta Wrapers</t>
  </si>
  <si>
    <t>Tejas Enter</t>
  </si>
  <si>
    <t>GTC 173</t>
  </si>
  <si>
    <t>GTC 174</t>
  </si>
  <si>
    <t>GTC 175</t>
  </si>
  <si>
    <t>165, 169</t>
  </si>
  <si>
    <t>GTC 176</t>
  </si>
  <si>
    <t>GTC 177</t>
  </si>
  <si>
    <t>Aniket Exports</t>
  </si>
  <si>
    <t>Rci Chemisol</t>
  </si>
  <si>
    <t>Orbit Overseas</t>
  </si>
  <si>
    <t>Antriksha Chemicals</t>
  </si>
  <si>
    <t>Siva Chemical</t>
  </si>
  <si>
    <t>GTC 178</t>
  </si>
  <si>
    <t>GTC 180</t>
  </si>
  <si>
    <t>GTC 181</t>
  </si>
  <si>
    <t>Yogini</t>
  </si>
  <si>
    <t>GTC 182</t>
  </si>
  <si>
    <t>GTC 183</t>
  </si>
  <si>
    <t>174, 179</t>
  </si>
  <si>
    <t>Nov 2024  Sales in Nutsell</t>
  </si>
  <si>
    <t>3099+1788</t>
  </si>
  <si>
    <t>3099 / 1788</t>
  </si>
  <si>
    <t xml:space="preserve">powder </t>
  </si>
  <si>
    <t>170, 186</t>
  </si>
  <si>
    <t>GTC 184</t>
  </si>
  <si>
    <t>GTC185</t>
  </si>
  <si>
    <t>174, 167</t>
  </si>
  <si>
    <t>118, 166</t>
  </si>
  <si>
    <t>GTC 186</t>
  </si>
  <si>
    <t>Shreeji Chem</t>
  </si>
  <si>
    <t>Woodland Indus</t>
  </si>
  <si>
    <t>113, 164</t>
  </si>
  <si>
    <t>GTC 188</t>
  </si>
  <si>
    <t>GG 8</t>
  </si>
  <si>
    <t>GG 9</t>
  </si>
  <si>
    <t>GG 10</t>
  </si>
  <si>
    <t xml:space="preserve">Dipali </t>
  </si>
  <si>
    <t>GTC 191</t>
  </si>
  <si>
    <t>GG 11</t>
  </si>
  <si>
    <t>Vijay Rajshree</t>
  </si>
  <si>
    <t>GG 12</t>
  </si>
  <si>
    <t>GG 13</t>
  </si>
  <si>
    <t>182, 185</t>
  </si>
  <si>
    <t>GG 14</t>
  </si>
  <si>
    <t>Riddhi Impex</t>
  </si>
  <si>
    <t>GG 15</t>
  </si>
  <si>
    <t>GG 16</t>
  </si>
  <si>
    <t>170, 172</t>
  </si>
  <si>
    <t>120, 174</t>
  </si>
  <si>
    <t>111, 325</t>
  </si>
  <si>
    <t>GTC 194</t>
  </si>
  <si>
    <t>Dhanlaxmee</t>
  </si>
  <si>
    <t>GTC 195</t>
  </si>
  <si>
    <t>GTC 197</t>
  </si>
  <si>
    <t>118, 182</t>
  </si>
  <si>
    <t>GTC 198</t>
  </si>
  <si>
    <t>290, 291</t>
  </si>
  <si>
    <t>Dec 2024  Sales in Nutsell</t>
  </si>
  <si>
    <t>DENKA / CCP</t>
  </si>
  <si>
    <t>CCP</t>
  </si>
  <si>
    <t>Punav Enterprises</t>
  </si>
  <si>
    <t>GTC 200</t>
  </si>
  <si>
    <t>GTC 201</t>
  </si>
  <si>
    <t>171, 165</t>
  </si>
  <si>
    <t>GG 21</t>
  </si>
  <si>
    <t>GG 23</t>
  </si>
  <si>
    <t>GTC 204</t>
  </si>
  <si>
    <t>GTC 205</t>
  </si>
  <si>
    <t>185, 190</t>
  </si>
  <si>
    <t>GTC 208</t>
  </si>
  <si>
    <t>Disha Dye</t>
  </si>
  <si>
    <t>GTC 211</t>
  </si>
  <si>
    <t>Cost if its 750 PMT = 75</t>
  </si>
  <si>
    <t>Kraft Bond</t>
  </si>
  <si>
    <t>GTC 216</t>
  </si>
  <si>
    <t>Shreeji Dye</t>
  </si>
  <si>
    <t>GTC 217</t>
  </si>
  <si>
    <t>GTC 218</t>
  </si>
  <si>
    <t>GTC 220</t>
  </si>
  <si>
    <t>GG 26</t>
  </si>
  <si>
    <t>GG 27</t>
  </si>
  <si>
    <t>GTC 221</t>
  </si>
  <si>
    <t>Arun Enterprise</t>
  </si>
  <si>
    <t>GG 30</t>
  </si>
  <si>
    <t>12</t>
  </si>
  <si>
    <t>117, 181</t>
  </si>
  <si>
    <t>Adinath</t>
  </si>
  <si>
    <t>GTC 236</t>
  </si>
  <si>
    <t>GTC 238</t>
  </si>
  <si>
    <t>GTC 241</t>
  </si>
  <si>
    <t>GTC 242</t>
  </si>
  <si>
    <t>184, 208</t>
  </si>
  <si>
    <t>GTC 245</t>
  </si>
  <si>
    <t>GTC 247</t>
  </si>
  <si>
    <t>SD Enterprise</t>
  </si>
  <si>
    <t>Paresh Salot Broker</t>
  </si>
  <si>
    <t>GTC 248</t>
  </si>
  <si>
    <t>177, 209</t>
  </si>
  <si>
    <t>GTC 249</t>
  </si>
  <si>
    <t>Yug Décor</t>
  </si>
  <si>
    <t>Kunal Chem</t>
  </si>
  <si>
    <t>GTC 251</t>
  </si>
  <si>
    <t>GTC 253</t>
  </si>
  <si>
    <t>GTC 254</t>
  </si>
  <si>
    <t>GTC 255</t>
  </si>
  <si>
    <t>Adheswar</t>
  </si>
  <si>
    <t>119, 209</t>
  </si>
  <si>
    <t>GTC 256</t>
  </si>
  <si>
    <t>GTC 258</t>
  </si>
  <si>
    <t>GTC 259</t>
  </si>
  <si>
    <t>GTC 261</t>
  </si>
  <si>
    <t>115, 185</t>
  </si>
  <si>
    <t>Shah &amp; Sons</t>
  </si>
  <si>
    <t>Chandan Sybthetic</t>
  </si>
  <si>
    <t>120, 159</t>
  </si>
  <si>
    <t>Dhiren Enterprise</t>
  </si>
  <si>
    <t>185, 193</t>
  </si>
  <si>
    <t>Swastik Chem</t>
  </si>
  <si>
    <t>GTC 262</t>
  </si>
  <si>
    <t>Alpha Chem</t>
  </si>
  <si>
    <t>170, 190</t>
  </si>
  <si>
    <t>GTC 265</t>
  </si>
  <si>
    <t>GTC 266</t>
  </si>
  <si>
    <t>GTC 267</t>
  </si>
  <si>
    <t>GTC 268</t>
  </si>
  <si>
    <t>GTC 269</t>
  </si>
  <si>
    <t>GTC 270</t>
  </si>
  <si>
    <t>GTC 271</t>
  </si>
  <si>
    <t>187, 209</t>
  </si>
  <si>
    <t>GTC 273</t>
  </si>
  <si>
    <t>GTC 274</t>
  </si>
  <si>
    <t>SB Enterprise</t>
  </si>
  <si>
    <t xml:space="preserve">powder + crystal </t>
  </si>
  <si>
    <t>FOR 950</t>
  </si>
  <si>
    <t>FOR 750</t>
  </si>
  <si>
    <t>HEXA</t>
  </si>
  <si>
    <t>FOR 850</t>
  </si>
  <si>
    <t>FOR 775</t>
  </si>
  <si>
    <t xml:space="preserve">FOR 680 </t>
  </si>
  <si>
    <t>GTC 276</t>
  </si>
  <si>
    <t>GTC 277</t>
  </si>
  <si>
    <t>Nikhil Adhesive</t>
  </si>
  <si>
    <t>GTC 278</t>
  </si>
  <si>
    <t>GTC 281</t>
  </si>
  <si>
    <t>V B Enterprise</t>
  </si>
  <si>
    <t>Kunal Dye Chem</t>
  </si>
  <si>
    <t>Sagar Corporation</t>
  </si>
  <si>
    <t>GTC 282</t>
  </si>
  <si>
    <t>GTC 283</t>
  </si>
  <si>
    <t>185, 186,209</t>
  </si>
  <si>
    <t>GTC 284</t>
  </si>
  <si>
    <t>GTC 285</t>
  </si>
  <si>
    <t>Vraj Chem</t>
  </si>
  <si>
    <t>GTC 286</t>
  </si>
  <si>
    <t>GTC 290</t>
  </si>
  <si>
    <t>GTC 291</t>
  </si>
  <si>
    <t>Texto</t>
  </si>
  <si>
    <t>GTC 293</t>
  </si>
  <si>
    <t>Anupam Chem</t>
  </si>
  <si>
    <t>Abu Traders</t>
  </si>
  <si>
    <t>GTC 295</t>
  </si>
  <si>
    <t>GTC 296</t>
  </si>
  <si>
    <t>GTC 297</t>
  </si>
  <si>
    <t>Vintage</t>
  </si>
  <si>
    <t>GTC 298</t>
  </si>
  <si>
    <t>Jaspi</t>
  </si>
  <si>
    <t>Arun</t>
  </si>
  <si>
    <t>115, 168</t>
  </si>
  <si>
    <t>AP Enterpise</t>
  </si>
  <si>
    <t>Pragati Enterprise</t>
  </si>
  <si>
    <t>GTC 299</t>
  </si>
  <si>
    <t>GTC 300</t>
  </si>
  <si>
    <t>Ranakpur</t>
  </si>
  <si>
    <t>118, 168</t>
  </si>
  <si>
    <t>JMD</t>
  </si>
  <si>
    <t>Riddhi Chem</t>
  </si>
  <si>
    <t>Feb 2025  Sales in Nutsell</t>
  </si>
  <si>
    <t>Prime stock corrected here</t>
  </si>
  <si>
    <t>Jan 2025  Sales in Nutsell</t>
  </si>
  <si>
    <t>Meet</t>
  </si>
  <si>
    <t>GTC 302</t>
  </si>
  <si>
    <t>GTC 303</t>
  </si>
  <si>
    <t>GTC 304</t>
  </si>
  <si>
    <t>FOR 725</t>
  </si>
  <si>
    <t>FOR 650</t>
  </si>
  <si>
    <t>FOR 1000</t>
  </si>
  <si>
    <t>Siva Chemicals</t>
  </si>
  <si>
    <t>GTC 307</t>
  </si>
  <si>
    <t>Dynamic Mercentile</t>
  </si>
  <si>
    <t>Punav Enterprise</t>
  </si>
  <si>
    <t>SKR Industries</t>
  </si>
  <si>
    <t>Om Shakti Om</t>
  </si>
  <si>
    <t>DADI</t>
  </si>
  <si>
    <t>LUCKY</t>
  </si>
  <si>
    <t>FOR 800</t>
  </si>
  <si>
    <t>mix hexa</t>
  </si>
  <si>
    <t>GTC 308</t>
  </si>
  <si>
    <t>GTC 309</t>
  </si>
  <si>
    <t>GTC 310</t>
  </si>
  <si>
    <t>GTC 313</t>
  </si>
  <si>
    <t>GTC 316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</si>
</sst>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</font>
    <font>
      <b/>
      <sz val="11"/>
      <color theme="1"/>
      <name val="Calibri"/>
    </font>
    <font>
      <b/>
      <sz val="13"/>
      <color rgb="FF002060"/>
      <name val="Calibri"/>
    </font>
    <font>
      <sz val="11"/>
      <color rgb="FFFF0000"/>
      <name val="Calibri"/>
    </font>
    <font>
      <sz val="11"/>
      <color theme="1"/>
      <name val="Calibri"/>
      <scheme val="minor"/>
    </font>
    <font>
      <sz val="11"/>
      <name val="Calibri"/>
    </font>
    <font>
      <b/>
      <sz val="12"/>
      <color rgb="FF002060"/>
      <name val="Calibri"/>
    </font>
    <font>
      <b/>
      <sz val="14"/>
      <color theme="1"/>
      <name val="Calibri"/>
    </font>
    <font>
      <b/>
      <sz val="14"/>
      <color rgb="FF002060"/>
      <name val="Calibri"/>
    </font>
    <font>
      <i/>
      <sz val="11"/>
      <color theme="1"/>
      <name val="Calibri"/>
    </font>
    <font>
      <sz val="12"/>
      <color theme="1"/>
      <name val="Calibri"/>
    </font>
    <font>
      <b/>
      <i/>
      <sz val="16"/>
      <color rgb="FF7030A0"/>
      <name val="Calibri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6DDE8"/>
        <bgColor rgb="FFB6DDE8"/>
      </patternFill>
    </fill>
    <fill>
      <patternFill patternType="solid">
        <fgColor rgb="FFC2D69B"/>
        <bgColor rgb="FFC2D69B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FFCC"/>
        <bgColor rgb="FF00FFCC"/>
      </patternFill>
    </fill>
    <fill>
      <patternFill patternType="solid">
        <fgColor theme="0"/>
        <bgColor theme="0"/>
      </patternFill>
    </fill>
    <fill>
      <patternFill patternType="solid">
        <fgColor rgb="FFFFFF99"/>
        <bgColor rgb="FFFFFF99"/>
      </patternFill>
    </fill>
    <fill>
      <patternFill patternType="solid">
        <fgColor rgb="FFD6E3BC"/>
        <bgColor rgb="FFD6E3BC"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/>
    <xf numFmtId="0" fontId="1" fillId="2" borderId="1" xfId="0" applyFont="1" applyFill="1" applyBorder="1"/>
    <xf numFmtId="0" fontId="1" fillId="3" borderId="2" xfId="0" applyFont="1" applyFill="1" applyBorder="1"/>
    <xf numFmtId="0" fontId="3" fillId="3" borderId="2" xfId="0" applyFont="1" applyFill="1" applyBorder="1" applyAlignment="1">
      <alignment horizontal="right"/>
    </xf>
    <xf numFmtId="0" fontId="1" fillId="4" borderId="2" xfId="0" applyFont="1" applyFill="1" applyBorder="1"/>
    <xf numFmtId="0" fontId="1" fillId="0" borderId="2" xfId="0" applyFont="1" applyBorder="1"/>
    <xf numFmtId="0" fontId="2" fillId="2" borderId="2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1" fillId="0" borderId="2" xfId="0" applyNumberFormat="1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14" fontId="1" fillId="0" borderId="2" xfId="0" applyNumberFormat="1" applyFont="1" applyBorder="1" applyAlignment="1">
      <alignment horizontal="right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3" fillId="5" borderId="1" xfId="0" applyFont="1" applyFill="1" applyBorder="1"/>
    <xf numFmtId="1" fontId="1" fillId="0" borderId="2" xfId="0" applyNumberFormat="1" applyFont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3" fillId="6" borderId="1" xfId="0" applyFont="1" applyFill="1" applyBorder="1"/>
    <xf numFmtId="0" fontId="4" fillId="7" borderId="1" xfId="0" applyFont="1" applyFill="1" applyBorder="1" applyAlignment="1">
      <alignment horizontal="center"/>
    </xf>
    <xf numFmtId="0" fontId="2" fillId="5" borderId="1" xfId="0" applyFont="1" applyFill="1" applyBorder="1"/>
    <xf numFmtId="0" fontId="2" fillId="6" borderId="1" xfId="0" applyFont="1" applyFill="1" applyBorder="1"/>
    <xf numFmtId="0" fontId="4" fillId="7" borderId="1" xfId="0" applyFont="1" applyFill="1" applyBorder="1"/>
    <xf numFmtId="3" fontId="1" fillId="0" borderId="2" xfId="0" applyNumberFormat="1" applyFont="1" applyBorder="1" applyAlignment="1">
      <alignment horizontal="right"/>
    </xf>
    <xf numFmtId="0" fontId="5" fillId="0" borderId="2" xfId="0" applyFont="1" applyBorder="1"/>
    <xf numFmtId="0" fontId="6" fillId="0" borderId="0" xfId="0" applyFont="1"/>
    <xf numFmtId="0" fontId="1" fillId="0" borderId="7" xfId="0" applyFont="1" applyBorder="1"/>
    <xf numFmtId="0" fontId="3" fillId="5" borderId="2" xfId="0" applyFont="1" applyFill="1" applyBorder="1"/>
    <xf numFmtId="0" fontId="2" fillId="7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8" borderId="2" xfId="0" applyFont="1" applyFill="1" applyBorder="1"/>
    <xf numFmtId="0" fontId="1" fillId="3" borderId="8" xfId="0" applyFont="1" applyFill="1" applyBorder="1"/>
    <xf numFmtId="0" fontId="1" fillId="0" borderId="9" xfId="0" applyFont="1" applyBorder="1"/>
    <xf numFmtId="14" fontId="1" fillId="0" borderId="2" xfId="0" applyNumberFormat="1" applyFont="1" applyBorder="1" applyAlignment="1">
      <alignment horizontal="left"/>
    </xf>
    <xf numFmtId="0" fontId="1" fillId="0" borderId="0" xfId="0" applyFont="1"/>
    <xf numFmtId="0" fontId="1" fillId="0" borderId="10" xfId="0" applyFont="1" applyBorder="1"/>
    <xf numFmtId="0" fontId="2" fillId="3" borderId="2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right"/>
    </xf>
    <xf numFmtId="0" fontId="2" fillId="3" borderId="2" xfId="0" applyFont="1" applyFill="1" applyBorder="1"/>
    <xf numFmtId="0" fontId="1" fillId="0" borderId="11" xfId="0" applyFont="1" applyBorder="1"/>
    <xf numFmtId="0" fontId="8" fillId="9" borderId="2" xfId="0" applyFont="1" applyFill="1" applyBorder="1" applyAlignment="1">
      <alignment horizontal="right"/>
    </xf>
    <xf numFmtId="0" fontId="8" fillId="9" borderId="2" xfId="0" applyFont="1" applyFill="1" applyBorder="1"/>
    <xf numFmtId="0" fontId="2" fillId="2" borderId="12" xfId="0" applyFont="1" applyFill="1" applyBorder="1"/>
    <xf numFmtId="0" fontId="9" fillId="5" borderId="13" xfId="0" applyFont="1" applyFill="1" applyBorder="1"/>
    <xf numFmtId="0" fontId="9" fillId="6" borderId="14" xfId="0" applyFont="1" applyFill="1" applyBorder="1"/>
    <xf numFmtId="0" fontId="10" fillId="7" borderId="15" xfId="0" applyFont="1" applyFill="1" applyBorder="1"/>
    <xf numFmtId="0" fontId="2" fillId="8" borderId="2" xfId="0" applyFont="1" applyFill="1" applyBorder="1" applyAlignment="1">
      <alignment horizontal="right"/>
    </xf>
    <xf numFmtId="0" fontId="2" fillId="5" borderId="8" xfId="0" applyFont="1" applyFill="1" applyBorder="1"/>
    <xf numFmtId="0" fontId="2" fillId="6" borderId="8" xfId="0" applyFont="1" applyFill="1" applyBorder="1"/>
    <xf numFmtId="0" fontId="4" fillId="7" borderId="8" xfId="0" applyFont="1" applyFill="1" applyBorder="1"/>
    <xf numFmtId="0" fontId="1" fillId="10" borderId="2" xfId="0" applyFont="1" applyFill="1" applyBorder="1" applyAlignment="1">
      <alignment horizontal="right"/>
    </xf>
    <xf numFmtId="0" fontId="2" fillId="5" borderId="2" xfId="0" applyFont="1" applyFill="1" applyBorder="1"/>
    <xf numFmtId="0" fontId="2" fillId="6" borderId="2" xfId="0" applyFont="1" applyFill="1" applyBorder="1"/>
    <xf numFmtId="0" fontId="4" fillId="7" borderId="2" xfId="0" applyFont="1" applyFill="1" applyBorder="1"/>
    <xf numFmtId="0" fontId="2" fillId="6" borderId="2" xfId="0" applyFont="1" applyFill="1" applyBorder="1" applyAlignment="1">
      <alignment horizontal="center"/>
    </xf>
    <xf numFmtId="0" fontId="1" fillId="6" borderId="8" xfId="0" applyFont="1" applyFill="1" applyBorder="1"/>
    <xf numFmtId="0" fontId="11" fillId="0" borderId="2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12" fillId="3" borderId="2" xfId="0" applyFont="1" applyFill="1" applyBorder="1"/>
    <xf numFmtId="0" fontId="9" fillId="5" borderId="2" xfId="0" applyFont="1" applyFill="1" applyBorder="1"/>
    <xf numFmtId="0" fontId="9" fillId="6" borderId="2" xfId="0" applyFont="1" applyFill="1" applyBorder="1"/>
    <xf numFmtId="0" fontId="9" fillId="7" borderId="2" xfId="0" applyFont="1" applyFill="1" applyBorder="1"/>
    <xf numFmtId="0" fontId="3" fillId="4" borderId="2" xfId="0" applyFont="1" applyFill="1" applyBorder="1"/>
    <xf numFmtId="0" fontId="2" fillId="9" borderId="2" xfId="0" applyFont="1" applyFill="1" applyBorder="1"/>
    <xf numFmtId="0" fontId="13" fillId="5" borderId="16" xfId="0" applyFont="1" applyFill="1" applyBorder="1"/>
    <xf numFmtId="0" fontId="13" fillId="6" borderId="17" xfId="0" applyFont="1" applyFill="1" applyBorder="1"/>
    <xf numFmtId="0" fontId="13" fillId="7" borderId="18" xfId="0" applyFont="1" applyFill="1" applyBorder="1"/>
    <xf numFmtId="0" fontId="3" fillId="0" borderId="2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4" fontId="5" fillId="0" borderId="2" xfId="0" applyNumberFormat="1" applyFont="1" applyBorder="1"/>
    <xf numFmtId="14" fontId="0" fillId="0" borderId="0" xfId="0" applyNumberFormat="1"/>
    <xf numFmtId="14" fontId="2" fillId="2" borderId="1" xfId="0" applyNumberFormat="1" applyFont="1" applyFill="1" applyBorder="1"/>
    <xf numFmtId="14" fontId="12" fillId="3" borderId="2" xfId="0" applyNumberFormat="1" applyFont="1" applyFill="1" applyBorder="1"/>
    <xf numFmtId="14" fontId="1" fillId="4" borderId="2" xfId="0" applyNumberFormat="1" applyFont="1" applyFill="1" applyBorder="1"/>
    <xf numFmtId="14" fontId="3" fillId="4" borderId="2" xfId="0" applyNumberFormat="1" applyFont="1" applyFill="1" applyBorder="1"/>
    <xf numFmtId="14" fontId="1" fillId="3" borderId="8" xfId="0" applyNumberFormat="1" applyFont="1" applyFill="1" applyBorder="1" applyAlignment="1">
      <alignment horizontal="center"/>
    </xf>
    <xf numFmtId="14" fontId="1" fillId="3" borderId="2" xfId="0" applyNumberFormat="1" applyFont="1" applyFill="1" applyBorder="1"/>
    <xf numFmtId="14" fontId="1" fillId="0" borderId="3" xfId="0" applyNumberFormat="1" applyFont="1" applyBorder="1"/>
    <xf numFmtId="14" fontId="1" fillId="0" borderId="0" xfId="0" applyNumberFormat="1" applyFont="1" applyAlignment="1">
      <alignment horizontal="center"/>
    </xf>
    <xf numFmtId="0" fontId="14" fillId="0" borderId="2" xfId="0" applyFont="1" applyBorder="1" applyAlignment="1">
      <alignment horizontal="left"/>
    </xf>
    <xf numFmtId="0" fontId="14" fillId="0" borderId="2" xfId="0" applyFont="1" applyBorder="1" applyAlignment="1">
      <alignment horizontal="right"/>
    </xf>
    <xf numFmtId="0" fontId="14" fillId="0" borderId="2" xfId="0" applyFont="1" applyBorder="1" applyAlignment="1">
      <alignment horizontal="center"/>
    </xf>
    <xf numFmtId="0" fontId="14" fillId="0" borderId="2" xfId="0" applyFont="1" applyBorder="1"/>
    <xf numFmtId="0" fontId="15" fillId="0" borderId="10" xfId="0" applyFont="1" applyBorder="1" applyAlignment="1">
      <alignment horizontal="right" vertical="center"/>
    </xf>
    <xf numFmtId="0" fontId="15" fillId="0" borderId="19" xfId="0" applyFont="1" applyBorder="1" applyAlignment="1">
      <alignment horizontal="right" vertical="center"/>
    </xf>
    <xf numFmtId="0" fontId="2" fillId="6" borderId="2" xfId="0" applyFont="1" applyFill="1" applyBorder="1" applyAlignment="1">
      <alignment horizontal="left"/>
    </xf>
    <xf numFmtId="0" fontId="1" fillId="0" borderId="5" xfId="0" applyFont="1" applyBorder="1" applyAlignment="1">
      <alignment horizontal="left"/>
    </xf>
    <xf numFmtId="0" fontId="7" fillId="0" borderId="6" xfId="0" applyFont="1" applyBorder="1"/>
    <xf numFmtId="0" fontId="7" fillId="0" borderId="7" xfId="0" applyFont="1" applyBorder="1"/>
    <xf numFmtId="0" fontId="2" fillId="7" borderId="5" xfId="0" applyFont="1" applyFill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7" fillId="0" borderId="4" xfId="0" applyFont="1" applyBorder="1"/>
    <xf numFmtId="0" fontId="2" fillId="5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right"/>
    </xf>
  </cellXfs>
  <cellStyles count="1">
    <cellStyle name="Normal" xfId="0" builtinId="0"/>
  </cellStyles>
  <dxfs count="100">
    <dxf>
      <numFmt numFmtId="19" formatCode="dd/mm/yyyy"/>
    </dxf>
    <dxf>
      <numFmt numFmtId="19" formatCode="dd/mm/yyyy"/>
    </dxf>
    <dxf>
      <numFmt numFmtId="19" formatCode="dd/mm/yyyy"/>
    </dxf>
    <dxf>
      <numFmt numFmtId="19" formatCode="dd/mm/yyyy"/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</dxfs>
  <tableStyles count="24">
    <tableStyle name="Jan 2023-style" pivot="0" count="4" xr9:uid="{00000000-0011-0000-FFFF-FFFF00000000}">
      <tableStyleElement type="headerRow" dxfId="99"/>
      <tableStyleElement type="totalRow" dxfId="98"/>
      <tableStyleElement type="firstRowStripe" dxfId="97"/>
      <tableStyleElement type="secondRowStripe" dxfId="96"/>
    </tableStyle>
    <tableStyle name="Feb 2023-style" pivot="0" count="4" xr9:uid="{00000000-0011-0000-FFFF-FFFF01000000}">
      <tableStyleElement type="headerRow" dxfId="95"/>
      <tableStyleElement type="totalRow" dxfId="94"/>
      <tableStyleElement type="firstRowStripe" dxfId="93"/>
      <tableStyleElement type="secondRowStripe" dxfId="92"/>
    </tableStyle>
    <tableStyle name="March 2023-style" pivot="0" count="4" xr9:uid="{00000000-0011-0000-FFFF-FFFF02000000}">
      <tableStyleElement type="headerRow" dxfId="91"/>
      <tableStyleElement type="totalRow" dxfId="90"/>
      <tableStyleElement type="firstRowStripe" dxfId="89"/>
      <tableStyleElement type="secondRowStripe" dxfId="88"/>
    </tableStyle>
    <tableStyle name="April 2023-style" pivot="0" count="4" xr9:uid="{00000000-0011-0000-FFFF-FFFF03000000}">
      <tableStyleElement type="headerRow" dxfId="87"/>
      <tableStyleElement type="totalRow" dxfId="86"/>
      <tableStyleElement type="firstRowStripe" dxfId="85"/>
      <tableStyleElement type="secondRowStripe" dxfId="84"/>
    </tableStyle>
    <tableStyle name="May 2023-style" pivot="0" count="4" xr9:uid="{00000000-0011-0000-FFFF-FFFF04000000}">
      <tableStyleElement type="headerRow" dxfId="83"/>
      <tableStyleElement type="totalRow" dxfId="82"/>
      <tableStyleElement type="firstRowStripe" dxfId="81"/>
      <tableStyleElement type="secondRowStripe" dxfId="80"/>
    </tableStyle>
    <tableStyle name="June 2023-style" pivot="0" count="4" xr9:uid="{00000000-0011-0000-FFFF-FFFF05000000}">
      <tableStyleElement type="headerRow" dxfId="79"/>
      <tableStyleElement type="totalRow" dxfId="78"/>
      <tableStyleElement type="firstRowStripe" dxfId="77"/>
      <tableStyleElement type="secondRowStripe" dxfId="76"/>
    </tableStyle>
    <tableStyle name="July 2023-style" pivot="0" count="4" xr9:uid="{00000000-0011-0000-FFFF-FFFF06000000}">
      <tableStyleElement type="headerRow" dxfId="75"/>
      <tableStyleElement type="totalRow" dxfId="74"/>
      <tableStyleElement type="firstRowStripe" dxfId="73"/>
      <tableStyleElement type="secondRowStripe" dxfId="72"/>
    </tableStyle>
    <tableStyle name="Aug 2023-style" pivot="0" count="4" xr9:uid="{00000000-0011-0000-FFFF-FFFF07000000}">
      <tableStyleElement type="headerRow" dxfId="71"/>
      <tableStyleElement type="totalRow" dxfId="70"/>
      <tableStyleElement type="firstRowStripe" dxfId="69"/>
      <tableStyleElement type="secondRowStripe" dxfId="68"/>
    </tableStyle>
    <tableStyle name="Sept 2023-style" pivot="0" count="4" xr9:uid="{00000000-0011-0000-FFFF-FFFF08000000}">
      <tableStyleElement type="headerRow" dxfId="67"/>
      <tableStyleElement type="totalRow" dxfId="66"/>
      <tableStyleElement type="firstRowStripe" dxfId="65"/>
      <tableStyleElement type="secondRowStripe" dxfId="64"/>
    </tableStyle>
    <tableStyle name="Oct 2023-style" pivot="0" count="4" xr9:uid="{00000000-0011-0000-FFFF-FFFF09000000}">
      <tableStyleElement type="headerRow" dxfId="63"/>
      <tableStyleElement type="totalRow" dxfId="62"/>
      <tableStyleElement type="firstRowStripe" dxfId="61"/>
      <tableStyleElement type="secondRowStripe" dxfId="60"/>
    </tableStyle>
    <tableStyle name="Nov 2023-style" pivot="0" count="4" xr9:uid="{00000000-0011-0000-FFFF-FFFF0A000000}">
      <tableStyleElement type="headerRow" dxfId="59"/>
      <tableStyleElement type="totalRow" dxfId="58"/>
      <tableStyleElement type="firstRowStripe" dxfId="57"/>
      <tableStyleElement type="secondRowStripe" dxfId="56"/>
    </tableStyle>
    <tableStyle name="Dec 2023-style" pivot="0" count="4" xr9:uid="{00000000-0011-0000-FFFF-FFFF0B000000}">
      <tableStyleElement type="headerRow" dxfId="55"/>
      <tableStyleElement type="totalRow" dxfId="54"/>
      <tableStyleElement type="firstRowStripe" dxfId="53"/>
      <tableStyleElement type="secondRowStripe" dxfId="52"/>
    </tableStyle>
    <tableStyle name="Jan 2024-style" pivot="0" count="4" xr9:uid="{00000000-0011-0000-FFFF-FFFF0C000000}">
      <tableStyleElement type="headerRow" dxfId="51"/>
      <tableStyleElement type="totalRow" dxfId="50"/>
      <tableStyleElement type="firstRowStripe" dxfId="49"/>
      <tableStyleElement type="secondRowStripe" dxfId="48"/>
    </tableStyle>
    <tableStyle name="Feb 24-style" pivot="0" count="4" xr9:uid="{00000000-0011-0000-FFFF-FFFF0D000000}">
      <tableStyleElement type="headerRow" dxfId="47"/>
      <tableStyleElement type="totalRow" dxfId="46"/>
      <tableStyleElement type="firstRowStripe" dxfId="45"/>
      <tableStyleElement type="secondRowStripe" dxfId="44"/>
    </tableStyle>
    <tableStyle name="Mar 24-style" pivot="0" count="4" xr9:uid="{00000000-0011-0000-FFFF-FFFF0E000000}">
      <tableStyleElement type="headerRow" dxfId="43"/>
      <tableStyleElement type="totalRow" dxfId="42"/>
      <tableStyleElement type="firstRowStripe" dxfId="41"/>
      <tableStyleElement type="secondRowStripe" dxfId="40"/>
    </tableStyle>
    <tableStyle name="April 24-style" pivot="0" count="4" xr9:uid="{00000000-0011-0000-FFFF-FFFF0F000000}">
      <tableStyleElement type="headerRow" dxfId="39"/>
      <tableStyleElement type="totalRow" dxfId="38"/>
      <tableStyleElement type="firstRowStripe" dxfId="37"/>
      <tableStyleElement type="secondRowStripe" dxfId="36"/>
    </tableStyle>
    <tableStyle name="May 2024-style" pivot="0" count="4" xr9:uid="{00000000-0011-0000-FFFF-FFFF10000000}">
      <tableStyleElement type="headerRow" dxfId="35"/>
      <tableStyleElement type="totalRow" dxfId="34"/>
      <tableStyleElement type="firstRowStripe" dxfId="33"/>
      <tableStyleElement type="secondRowStripe" dxfId="32"/>
    </tableStyle>
    <tableStyle name="June 24-style" pivot="0" count="4" xr9:uid="{00000000-0011-0000-FFFF-FFFF11000000}">
      <tableStyleElement type="headerRow" dxfId="31"/>
      <tableStyleElement type="totalRow" dxfId="30"/>
      <tableStyleElement type="firstRowStripe" dxfId="29"/>
      <tableStyleElement type="secondRowStripe" dxfId="28"/>
    </tableStyle>
    <tableStyle name="July 24-style" pivot="0" count="4" xr9:uid="{00000000-0011-0000-FFFF-FFFF12000000}">
      <tableStyleElement type="headerRow" dxfId="27"/>
      <tableStyleElement type="totalRow" dxfId="26"/>
      <tableStyleElement type="firstRowStripe" dxfId="25"/>
      <tableStyleElement type="secondRowStripe" dxfId="24"/>
    </tableStyle>
    <tableStyle name="Aug 24-style" pivot="0" count="4" xr9:uid="{00000000-0011-0000-FFFF-FFFF13000000}">
      <tableStyleElement type="headerRow" dxfId="23"/>
      <tableStyleElement type="totalRow" dxfId="22"/>
      <tableStyleElement type="firstRowStripe" dxfId="21"/>
      <tableStyleElement type="secondRowStripe" dxfId="20"/>
    </tableStyle>
    <tableStyle name="Sept 24-style" pivot="0" count="4" xr9:uid="{00000000-0011-0000-FFFF-FFFF14000000}">
      <tableStyleElement type="headerRow" dxfId="19"/>
      <tableStyleElement type="totalRow" dxfId="18"/>
      <tableStyleElement type="firstRowStripe" dxfId="17"/>
      <tableStyleElement type="secondRowStripe" dxfId="16"/>
    </tableStyle>
    <tableStyle name="Oct 24-style" pivot="0" count="4" xr9:uid="{00000000-0011-0000-FFFF-FFFF15000000}">
      <tableStyleElement type="headerRow" dxfId="15"/>
      <tableStyleElement type="totalRow" dxfId="14"/>
      <tableStyleElement type="firstRowStripe" dxfId="13"/>
      <tableStyleElement type="secondRowStripe" dxfId="12"/>
    </tableStyle>
    <tableStyle name="Nov 24-style" pivot="0" count="4" xr9:uid="{00000000-0011-0000-FFFF-FFFF16000000}">
      <tableStyleElement type="headerRow" dxfId="11"/>
      <tableStyleElement type="totalRow" dxfId="10"/>
      <tableStyleElement type="firstRowStripe" dxfId="9"/>
      <tableStyleElement type="secondRowStripe" dxfId="8"/>
    </tableStyle>
    <tableStyle name="Dec 24-style" pivot="0" count="4" xr9:uid="{00000000-0011-0000-FFFF-FFFF17000000}">
      <tableStyleElement type="headerRow" dxfId="7"/>
      <tableStyleElement type="total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D11:Q53">
  <tableColumns count="14">
    <tableColumn id="1" xr3:uid="{00000000-0010-0000-0000-000001000000}" name="Srl No"/>
    <tableColumn id="2" xr3:uid="{00000000-0010-0000-0000-000002000000}" name="Date"/>
    <tableColumn id="3" xr3:uid="{00000000-0010-0000-0000-000003000000}" name="Inv No"/>
    <tableColumn id="4" xr3:uid="{00000000-0010-0000-0000-000004000000}" name="Party"/>
    <tableColumn id="5" xr3:uid="{00000000-0010-0000-0000-000005000000}" name="Qty"/>
    <tableColumn id="6" xr3:uid="{00000000-0010-0000-0000-000006000000}" name="Price"/>
    <tableColumn id="7" xr3:uid="{00000000-0010-0000-0000-000007000000}" name="Off Grade"/>
    <tableColumn id="8" xr3:uid="{00000000-0010-0000-0000-000008000000}" name="1799"/>
    <tableColumn id="9" xr3:uid="{00000000-0010-0000-0000-000009000000}" name="2099"/>
    <tableColumn id="10" xr3:uid="{00000000-0010-0000-0000-00000A000000}" name="2699"/>
    <tableColumn id="11" xr3:uid="{00000000-0010-0000-0000-00000B000000}" name="588"/>
    <tableColumn id="12" xr3:uid="{00000000-0010-0000-0000-00000C000000}" name="2088"/>
    <tableColumn id="13" xr3:uid="{00000000-0010-0000-0000-00000D000000}" name="2488"/>
    <tableColumn id="14" xr3:uid="{00000000-0010-0000-0000-00000E000000}" name="2688"/>
  </tableColumns>
  <tableStyleInfo name="Jan 2023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12:P54">
  <tableColumns count="14">
    <tableColumn id="1" xr3:uid="{00000000-0010-0000-0100-000001000000}" name="Srl No"/>
    <tableColumn id="2" xr3:uid="{00000000-0010-0000-0100-000002000000}" name="Date"/>
    <tableColumn id="3" xr3:uid="{00000000-0010-0000-0100-000003000000}" name="Inv No"/>
    <tableColumn id="4" xr3:uid="{00000000-0010-0000-0100-000004000000}" name="Party"/>
    <tableColumn id="5" xr3:uid="{00000000-0010-0000-0100-000005000000}" name="Qty"/>
    <tableColumn id="6" xr3:uid="{00000000-0010-0000-0100-000006000000}" name="Price"/>
    <tableColumn id="7" xr3:uid="{00000000-0010-0000-0100-000007000000}" name="Off Grade"/>
    <tableColumn id="8" xr3:uid="{00000000-0010-0000-0100-000008000000}" name="1799"/>
    <tableColumn id="9" xr3:uid="{00000000-0010-0000-0100-000009000000}" name="2099"/>
    <tableColumn id="10" xr3:uid="{00000000-0010-0000-0100-00000A000000}" name="2699"/>
    <tableColumn id="11" xr3:uid="{00000000-0010-0000-0100-00000B000000}" name="588"/>
    <tableColumn id="12" xr3:uid="{00000000-0010-0000-0100-00000C000000}" name="2088"/>
    <tableColumn id="13" xr3:uid="{00000000-0010-0000-0100-00000D000000}" name="2488"/>
    <tableColumn id="14" xr3:uid="{00000000-0010-0000-0100-00000E000000}" name="2688"/>
  </tableColumns>
  <tableStyleInfo name="Feb 2023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1:P53">
  <tableColumns count="14">
    <tableColumn id="1" xr3:uid="{00000000-0010-0000-0200-000001000000}" name="Srl No"/>
    <tableColumn id="2" xr3:uid="{00000000-0010-0000-0200-000002000000}" name="Date"/>
    <tableColumn id="3" xr3:uid="{00000000-0010-0000-0200-000003000000}" name="Inv No"/>
    <tableColumn id="4" xr3:uid="{00000000-0010-0000-0200-000004000000}" name="Party"/>
    <tableColumn id="5" xr3:uid="{00000000-0010-0000-0200-000005000000}" name="Qty"/>
    <tableColumn id="6" xr3:uid="{00000000-0010-0000-0200-000006000000}" name="Price"/>
    <tableColumn id="7" xr3:uid="{00000000-0010-0000-0200-000007000000}" name="Off Grade"/>
    <tableColumn id="8" xr3:uid="{00000000-0010-0000-0200-000008000000}" name="1799"/>
    <tableColumn id="9" xr3:uid="{00000000-0010-0000-0200-000009000000}" name="2099"/>
    <tableColumn id="10" xr3:uid="{00000000-0010-0000-0200-00000A000000}" name="2699"/>
    <tableColumn id="11" xr3:uid="{00000000-0010-0000-0200-00000B000000}" name="588"/>
    <tableColumn id="12" xr3:uid="{00000000-0010-0000-0200-00000C000000}" name="2088"/>
    <tableColumn id="13" xr3:uid="{00000000-0010-0000-0200-00000D000000}" name="2488"/>
    <tableColumn id="14" xr3:uid="{00000000-0010-0000-0200-00000E000000}" name="2688"/>
  </tableColumns>
  <tableStyleInfo name="March 2023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11:P65">
  <tableColumns count="14">
    <tableColumn id="1" xr3:uid="{00000000-0010-0000-0300-000001000000}" name="Srl No"/>
    <tableColumn id="2" xr3:uid="{00000000-0010-0000-0300-000002000000}" name="Date"/>
    <tableColumn id="3" xr3:uid="{00000000-0010-0000-0300-000003000000}" name="Inv No"/>
    <tableColumn id="4" xr3:uid="{00000000-0010-0000-0300-000004000000}" name="Party"/>
    <tableColumn id="5" xr3:uid="{00000000-0010-0000-0300-000005000000}" name="Qty"/>
    <tableColumn id="6" xr3:uid="{00000000-0010-0000-0300-000006000000}" name="Price"/>
    <tableColumn id="7" xr3:uid="{00000000-0010-0000-0300-000007000000}" name="Off Grade"/>
    <tableColumn id="8" xr3:uid="{00000000-0010-0000-0300-000008000000}" name="1799"/>
    <tableColumn id="9" xr3:uid="{00000000-0010-0000-0300-000009000000}" name="2099"/>
    <tableColumn id="10" xr3:uid="{00000000-0010-0000-0300-00000A000000}" name="2699"/>
    <tableColumn id="11" xr3:uid="{00000000-0010-0000-0300-00000B000000}" name="588"/>
    <tableColumn id="12" xr3:uid="{00000000-0010-0000-0300-00000C000000}" name="2088"/>
    <tableColumn id="13" xr3:uid="{00000000-0010-0000-0300-00000D000000}" name="2488"/>
    <tableColumn id="14" xr3:uid="{00000000-0010-0000-0300-00000E000000}" name="2688"/>
  </tableColumns>
  <tableStyleInfo name="April 2023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12:P69">
  <tableColumns count="14">
    <tableColumn id="1" xr3:uid="{00000000-0010-0000-0400-000001000000}" name="Srl No"/>
    <tableColumn id="2" xr3:uid="{00000000-0010-0000-0400-000002000000}" name="Date"/>
    <tableColumn id="3" xr3:uid="{00000000-0010-0000-0400-000003000000}" name="Inv No"/>
    <tableColumn id="4" xr3:uid="{00000000-0010-0000-0400-000004000000}" name="Party"/>
    <tableColumn id="5" xr3:uid="{00000000-0010-0000-0400-000005000000}" name="Qty"/>
    <tableColumn id="6" xr3:uid="{00000000-0010-0000-0400-000006000000}" name="Price"/>
    <tableColumn id="7" xr3:uid="{00000000-0010-0000-0400-000007000000}" name="Off Grade"/>
    <tableColumn id="8" xr3:uid="{00000000-0010-0000-0400-000008000000}" name="1799"/>
    <tableColumn id="9" xr3:uid="{00000000-0010-0000-0400-000009000000}" name="2099"/>
    <tableColumn id="10" xr3:uid="{00000000-0010-0000-0400-00000A000000}" name="2699"/>
    <tableColumn id="11" xr3:uid="{00000000-0010-0000-0400-00000B000000}" name="588"/>
    <tableColumn id="12" xr3:uid="{00000000-0010-0000-0400-00000C000000}" name="2088"/>
    <tableColumn id="13" xr3:uid="{00000000-0010-0000-0400-00000D000000}" name="2488"/>
    <tableColumn id="14" xr3:uid="{00000000-0010-0000-0400-00000E000000}" name="2688"/>
  </tableColumns>
  <tableStyleInfo name="May 2023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C13:P84">
  <tableColumns count="14">
    <tableColumn id="1" xr3:uid="{00000000-0010-0000-0500-000001000000}" name="Srl No"/>
    <tableColumn id="2" xr3:uid="{00000000-0010-0000-0500-000002000000}" name="Date"/>
    <tableColumn id="3" xr3:uid="{00000000-0010-0000-0500-000003000000}" name="Inv No"/>
    <tableColumn id="4" xr3:uid="{00000000-0010-0000-0500-000004000000}" name="Party"/>
    <tableColumn id="5" xr3:uid="{00000000-0010-0000-0500-000005000000}" name="Qty"/>
    <tableColumn id="6" xr3:uid="{00000000-0010-0000-0500-000006000000}" name="Price"/>
    <tableColumn id="7" xr3:uid="{00000000-0010-0000-0500-000007000000}" name="Off Grade"/>
    <tableColumn id="8" xr3:uid="{00000000-0010-0000-0500-000008000000}" name="1799"/>
    <tableColumn id="9" xr3:uid="{00000000-0010-0000-0500-000009000000}" name="2099"/>
    <tableColumn id="10" xr3:uid="{00000000-0010-0000-0500-00000A000000}" name="2699"/>
    <tableColumn id="11" xr3:uid="{00000000-0010-0000-0500-00000B000000}" name="588"/>
    <tableColumn id="12" xr3:uid="{00000000-0010-0000-0500-00000C000000}" name="2088"/>
    <tableColumn id="13" xr3:uid="{00000000-0010-0000-0500-00000D000000}" name="2488"/>
    <tableColumn id="14" xr3:uid="{00000000-0010-0000-0500-00000E000000}" name="2688"/>
  </tableColumns>
  <tableStyleInfo name="June 2023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C13:Q84">
  <tableColumns count="15">
    <tableColumn id="1" xr3:uid="{00000000-0010-0000-0600-000001000000}" name="Srl No"/>
    <tableColumn id="2" xr3:uid="{00000000-0010-0000-0600-000002000000}" name="Date"/>
    <tableColumn id="3" xr3:uid="{00000000-0010-0000-0600-000003000000}" name="Inv No"/>
    <tableColumn id="4" xr3:uid="{00000000-0010-0000-0600-000004000000}" name="Party"/>
    <tableColumn id="5" xr3:uid="{00000000-0010-0000-0600-000005000000}" name="Qty"/>
    <tableColumn id="6" xr3:uid="{00000000-0010-0000-0600-000006000000}" name="Price"/>
    <tableColumn id="7" xr3:uid="{00000000-0010-0000-0600-000007000000}" name="Off Grade"/>
    <tableColumn id="8" xr3:uid="{00000000-0010-0000-0600-000008000000}" name="1799"/>
    <tableColumn id="9" xr3:uid="{00000000-0010-0000-0600-000009000000}" name="2099"/>
    <tableColumn id="10" xr3:uid="{00000000-0010-0000-0600-00000A000000}" name="2699"/>
    <tableColumn id="11" xr3:uid="{00000000-0010-0000-0600-00000B000000}" name="588"/>
    <tableColumn id="12" xr3:uid="{00000000-0010-0000-0600-00000C000000}" name="2088"/>
    <tableColumn id="13" xr3:uid="{00000000-0010-0000-0600-00000D000000}" name="2488"/>
    <tableColumn id="14" xr3:uid="{00000000-0010-0000-0600-00000E000000}" name="2688"/>
    <tableColumn id="15" xr3:uid="{00000000-0010-0000-0600-00000F000000}" name="3099"/>
  </tableColumns>
  <tableStyleInfo name="July 2023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C15:Q87">
  <tableColumns count="15">
    <tableColumn id="1" xr3:uid="{00000000-0010-0000-0700-000001000000}" name="Srl No"/>
    <tableColumn id="2" xr3:uid="{00000000-0010-0000-0700-000002000000}" name="Date"/>
    <tableColumn id="3" xr3:uid="{00000000-0010-0000-0700-000003000000}" name="Inv No"/>
    <tableColumn id="4" xr3:uid="{00000000-0010-0000-0700-000004000000}" name="Party"/>
    <tableColumn id="5" xr3:uid="{00000000-0010-0000-0700-000005000000}" name="Qty"/>
    <tableColumn id="6" xr3:uid="{00000000-0010-0000-0700-000006000000}" name="Price"/>
    <tableColumn id="7" xr3:uid="{00000000-0010-0000-0700-000007000000}" name="Off Grade"/>
    <tableColumn id="8" xr3:uid="{00000000-0010-0000-0700-000008000000}" name="1799"/>
    <tableColumn id="9" xr3:uid="{00000000-0010-0000-0700-000009000000}" name="2099"/>
    <tableColumn id="10" xr3:uid="{00000000-0010-0000-0700-00000A000000}" name="2699"/>
    <tableColumn id="11" xr3:uid="{00000000-0010-0000-0700-00000B000000}" name="588"/>
    <tableColumn id="12" xr3:uid="{00000000-0010-0000-0700-00000C000000}" name="2088"/>
    <tableColumn id="13" xr3:uid="{00000000-0010-0000-0700-00000D000000}" name="2488"/>
    <tableColumn id="14" xr3:uid="{00000000-0010-0000-0700-00000E000000}" name="2688"/>
    <tableColumn id="15" xr3:uid="{00000000-0010-0000-0700-00000F000000}" name="3099"/>
  </tableColumns>
  <tableStyleInfo name="Aug 2023-style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C16:Q88">
  <tableColumns count="15">
    <tableColumn id="1" xr3:uid="{00000000-0010-0000-0800-000001000000}" name="Srl No"/>
    <tableColumn id="2" xr3:uid="{00000000-0010-0000-0800-000002000000}" name="Date"/>
    <tableColumn id="3" xr3:uid="{00000000-0010-0000-0800-000003000000}" name="Inv No"/>
    <tableColumn id="4" xr3:uid="{00000000-0010-0000-0800-000004000000}" name="Party"/>
    <tableColumn id="5" xr3:uid="{00000000-0010-0000-0800-000005000000}" name="Qty"/>
    <tableColumn id="6" xr3:uid="{00000000-0010-0000-0800-000006000000}" name="Price"/>
    <tableColumn id="7" xr3:uid="{00000000-0010-0000-0800-000007000000}" name="Off Grade"/>
    <tableColumn id="8" xr3:uid="{00000000-0010-0000-0800-000008000000}" name="1799"/>
    <tableColumn id="9" xr3:uid="{00000000-0010-0000-0800-000009000000}" name="2099"/>
    <tableColumn id="10" xr3:uid="{00000000-0010-0000-0800-00000A000000}" name="2699"/>
    <tableColumn id="11" xr3:uid="{00000000-0010-0000-0800-00000B000000}" name="588"/>
    <tableColumn id="12" xr3:uid="{00000000-0010-0000-0800-00000C000000}" name="2088"/>
    <tableColumn id="13" xr3:uid="{00000000-0010-0000-0800-00000D000000}" name="2488"/>
    <tableColumn id="14" xr3:uid="{00000000-0010-0000-0800-00000E000000}" name="2688"/>
    <tableColumn id="15" xr3:uid="{00000000-0010-0000-0800-00000F000000}" name="3099"/>
  </tableColumns>
  <tableStyleInfo name="Sept 2023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C14:R95">
  <tableColumns count="16">
    <tableColumn id="1" xr3:uid="{00000000-0010-0000-0900-000001000000}" name="Srl No"/>
    <tableColumn id="2" xr3:uid="{00000000-0010-0000-0900-000002000000}" name="Date"/>
    <tableColumn id="3" xr3:uid="{00000000-0010-0000-0900-000003000000}" name="Inv No"/>
    <tableColumn id="4" xr3:uid="{00000000-0010-0000-0900-000004000000}" name="Party"/>
    <tableColumn id="5" xr3:uid="{00000000-0010-0000-0900-000005000000}" name="Qty"/>
    <tableColumn id="6" xr3:uid="{00000000-0010-0000-0900-000006000000}" name="Price"/>
    <tableColumn id="7" xr3:uid="{00000000-0010-0000-0900-000007000000}" name="Off Grade"/>
    <tableColumn id="8" xr3:uid="{00000000-0010-0000-0900-000008000000}" name="1799"/>
    <tableColumn id="9" xr3:uid="{00000000-0010-0000-0900-000009000000}" name="2099"/>
    <tableColumn id="10" xr3:uid="{00000000-0010-0000-0900-00000A000000}" name="2699"/>
    <tableColumn id="11" xr3:uid="{00000000-0010-0000-0900-00000B000000}" name="588"/>
    <tableColumn id="12" xr3:uid="{00000000-0010-0000-0900-00000C000000}" name="2088"/>
    <tableColumn id="13" xr3:uid="{00000000-0010-0000-0900-00000D000000}" name="2488"/>
    <tableColumn id="14" xr3:uid="{00000000-0010-0000-0900-00000E000000}" name="2688"/>
    <tableColumn id="15" xr3:uid="{00000000-0010-0000-0900-00000F000000}" name="3099"/>
    <tableColumn id="16" xr3:uid="{00000000-0010-0000-0900-000010000000}" name="DENKA"/>
  </tableColumns>
  <tableStyleInfo name="Oct 2023-style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C12:Q93">
  <tableColumns count="15">
    <tableColumn id="1" xr3:uid="{00000000-0010-0000-0A00-000001000000}" name="Srl No"/>
    <tableColumn id="2" xr3:uid="{00000000-0010-0000-0A00-000002000000}" name="Date"/>
    <tableColumn id="3" xr3:uid="{00000000-0010-0000-0A00-000003000000}" name="Inv No"/>
    <tableColumn id="4" xr3:uid="{00000000-0010-0000-0A00-000004000000}" name="Party"/>
    <tableColumn id="5" xr3:uid="{00000000-0010-0000-0A00-000005000000}" name="Qty"/>
    <tableColumn id="6" xr3:uid="{00000000-0010-0000-0A00-000006000000}" name="Price"/>
    <tableColumn id="7" xr3:uid="{00000000-0010-0000-0A00-000007000000}" name="Off Grade"/>
    <tableColumn id="8" xr3:uid="{00000000-0010-0000-0A00-000008000000}" name="1799"/>
    <tableColumn id="9" xr3:uid="{00000000-0010-0000-0A00-000009000000}" name="2699"/>
    <tableColumn id="10" xr3:uid="{00000000-0010-0000-0A00-00000A000000}" name="588"/>
    <tableColumn id="11" xr3:uid="{00000000-0010-0000-0A00-00000B000000}" name="2088"/>
    <tableColumn id="12" xr3:uid="{00000000-0010-0000-0A00-00000C000000}" name="2488"/>
    <tableColumn id="13" xr3:uid="{00000000-0010-0000-0A00-00000D000000}" name="2688"/>
    <tableColumn id="14" xr3:uid="{00000000-0010-0000-0A00-00000E000000}" name="3099"/>
    <tableColumn id="15" xr3:uid="{00000000-0010-0000-0A00-00000F000000}" name="DENKA"/>
  </tableColumns>
  <tableStyleInfo name="Nov 2023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C20:Q101">
  <tableColumns count="15">
    <tableColumn id="1" xr3:uid="{00000000-0010-0000-0B00-000001000000}" name="Srl No"/>
    <tableColumn id="2" xr3:uid="{00000000-0010-0000-0B00-000002000000}" name="Date"/>
    <tableColumn id="3" xr3:uid="{00000000-0010-0000-0B00-000003000000}" name="Inv No"/>
    <tableColumn id="4" xr3:uid="{00000000-0010-0000-0B00-000004000000}" name="Party"/>
    <tableColumn id="5" xr3:uid="{00000000-0010-0000-0B00-000005000000}" name="Qty"/>
    <tableColumn id="6" xr3:uid="{00000000-0010-0000-0B00-000006000000}" name="Price"/>
    <tableColumn id="7" xr3:uid="{00000000-0010-0000-0B00-000007000000}" name="Off Grade"/>
    <tableColumn id="8" xr3:uid="{00000000-0010-0000-0B00-000008000000}" name="1799"/>
    <tableColumn id="9" xr3:uid="{00000000-0010-0000-0B00-000009000000}" name="2699"/>
    <tableColumn id="10" xr3:uid="{00000000-0010-0000-0B00-00000A000000}" name="588"/>
    <tableColumn id="11" xr3:uid="{00000000-0010-0000-0B00-00000B000000}" name="2088"/>
    <tableColumn id="12" xr3:uid="{00000000-0010-0000-0B00-00000C000000}" name="2488"/>
    <tableColumn id="13" xr3:uid="{00000000-0010-0000-0B00-00000D000000}" name="2688"/>
    <tableColumn id="14" xr3:uid="{00000000-0010-0000-0B00-00000E000000}" name="3099"/>
    <tableColumn id="15" xr3:uid="{00000000-0010-0000-0B00-00000F000000}" name="DENKA"/>
  </tableColumns>
  <tableStyleInfo name="Dec 2023-style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C20:Q101">
  <tableColumns count="15">
    <tableColumn id="1" xr3:uid="{00000000-0010-0000-0C00-000001000000}" name="Srl No"/>
    <tableColumn id="2" xr3:uid="{00000000-0010-0000-0C00-000002000000}" name="Date"/>
    <tableColumn id="3" xr3:uid="{00000000-0010-0000-0C00-000003000000}" name="Inv No"/>
    <tableColumn id="4" xr3:uid="{00000000-0010-0000-0C00-000004000000}" name="Party"/>
    <tableColumn id="5" xr3:uid="{00000000-0010-0000-0C00-000005000000}" name="Qty"/>
    <tableColumn id="6" xr3:uid="{00000000-0010-0000-0C00-000006000000}" name="Price"/>
    <tableColumn id="7" xr3:uid="{00000000-0010-0000-0C00-000007000000}" name="Off Grade"/>
    <tableColumn id="8" xr3:uid="{00000000-0010-0000-0C00-000008000000}" name="1799"/>
    <tableColumn id="9" xr3:uid="{00000000-0010-0000-0C00-000009000000}" name="2699"/>
    <tableColumn id="10" xr3:uid="{00000000-0010-0000-0C00-00000A000000}" name="588"/>
    <tableColumn id="11" xr3:uid="{00000000-0010-0000-0C00-00000B000000}" name="2088"/>
    <tableColumn id="12" xr3:uid="{00000000-0010-0000-0C00-00000C000000}" name="2488"/>
    <tableColumn id="13" xr3:uid="{00000000-0010-0000-0C00-00000D000000}" name="2688"/>
    <tableColumn id="14" xr3:uid="{00000000-0010-0000-0C00-00000E000000}" name="3099"/>
    <tableColumn id="15" xr3:uid="{00000000-0010-0000-0C00-00000F000000}" name="DENKA"/>
  </tableColumns>
  <tableStyleInfo name="Jan 2024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C20:Q101">
  <tableColumns count="15">
    <tableColumn id="1" xr3:uid="{00000000-0010-0000-0D00-000001000000}" name="Srl No"/>
    <tableColumn id="2" xr3:uid="{00000000-0010-0000-0D00-000002000000}" name="Date"/>
    <tableColumn id="3" xr3:uid="{00000000-0010-0000-0D00-000003000000}" name="Inv No"/>
    <tableColumn id="4" xr3:uid="{00000000-0010-0000-0D00-000004000000}" name="Party"/>
    <tableColumn id="5" xr3:uid="{00000000-0010-0000-0D00-000005000000}" name="Qty"/>
    <tableColumn id="6" xr3:uid="{00000000-0010-0000-0D00-000006000000}" name="Price"/>
    <tableColumn id="7" xr3:uid="{00000000-0010-0000-0D00-000007000000}" name="Off Grade"/>
    <tableColumn id="8" xr3:uid="{00000000-0010-0000-0D00-000008000000}" name="1799"/>
    <tableColumn id="9" xr3:uid="{00000000-0010-0000-0D00-000009000000}" name="2699"/>
    <tableColumn id="10" xr3:uid="{00000000-0010-0000-0D00-00000A000000}" name="588"/>
    <tableColumn id="11" xr3:uid="{00000000-0010-0000-0D00-00000B000000}" name="2088"/>
    <tableColumn id="12" xr3:uid="{00000000-0010-0000-0D00-00000C000000}" name="2488"/>
    <tableColumn id="13" xr3:uid="{00000000-0010-0000-0D00-00000D000000}" name="2688"/>
    <tableColumn id="14" xr3:uid="{00000000-0010-0000-0D00-00000E000000}" name="3099"/>
    <tableColumn id="15" xr3:uid="{00000000-0010-0000-0D00-00000F000000}" name="DENKA"/>
  </tableColumns>
  <tableStyleInfo name="Feb 24-style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C20:Q101">
  <tableColumns count="15">
    <tableColumn id="1" xr3:uid="{00000000-0010-0000-0E00-000001000000}" name="Srl No"/>
    <tableColumn id="2" xr3:uid="{00000000-0010-0000-0E00-000002000000}" name="Date"/>
    <tableColumn id="3" xr3:uid="{00000000-0010-0000-0E00-000003000000}" name="Inv No"/>
    <tableColumn id="4" xr3:uid="{00000000-0010-0000-0E00-000004000000}" name="Party"/>
    <tableColumn id="5" xr3:uid="{00000000-0010-0000-0E00-000005000000}" name="Qty"/>
    <tableColumn id="6" xr3:uid="{00000000-0010-0000-0E00-000006000000}" name="Price"/>
    <tableColumn id="7" xr3:uid="{00000000-0010-0000-0E00-000007000000}" name="Off Grade"/>
    <tableColumn id="8" xr3:uid="{00000000-0010-0000-0E00-000008000000}" name="1799"/>
    <tableColumn id="9" xr3:uid="{00000000-0010-0000-0E00-000009000000}" name="2699"/>
    <tableColumn id="10" xr3:uid="{00000000-0010-0000-0E00-00000A000000}" name="588"/>
    <tableColumn id="11" xr3:uid="{00000000-0010-0000-0E00-00000B000000}" name="2088"/>
    <tableColumn id="12" xr3:uid="{00000000-0010-0000-0E00-00000C000000}" name="2488"/>
    <tableColumn id="13" xr3:uid="{00000000-0010-0000-0E00-00000D000000}" name="2688"/>
    <tableColumn id="14" xr3:uid="{00000000-0010-0000-0E00-00000E000000}" name="3099"/>
    <tableColumn id="15" xr3:uid="{00000000-0010-0000-0E00-00000F000000}" name="DENKA"/>
  </tableColumns>
  <tableStyleInfo name="Mar 24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C20:Q101">
  <tableColumns count="15">
    <tableColumn id="1" xr3:uid="{00000000-0010-0000-0F00-000001000000}" name="Srl No"/>
    <tableColumn id="2" xr3:uid="{00000000-0010-0000-0F00-000002000000}" name="Date"/>
    <tableColumn id="3" xr3:uid="{00000000-0010-0000-0F00-000003000000}" name="Inv No"/>
    <tableColumn id="4" xr3:uid="{00000000-0010-0000-0F00-000004000000}" name="Party"/>
    <tableColumn id="5" xr3:uid="{00000000-0010-0000-0F00-000005000000}" name="Qty"/>
    <tableColumn id="6" xr3:uid="{00000000-0010-0000-0F00-000006000000}" name="Price"/>
    <tableColumn id="7" xr3:uid="{00000000-0010-0000-0F00-000007000000}" name="Off Grade"/>
    <tableColumn id="8" xr3:uid="{00000000-0010-0000-0F00-000008000000}" name="1799"/>
    <tableColumn id="9" xr3:uid="{00000000-0010-0000-0F00-000009000000}" name="2699"/>
    <tableColumn id="10" xr3:uid="{00000000-0010-0000-0F00-00000A000000}" name="588"/>
    <tableColumn id="11" xr3:uid="{00000000-0010-0000-0F00-00000B000000}" name="2088"/>
    <tableColumn id="12" xr3:uid="{00000000-0010-0000-0F00-00000C000000}" name="2488"/>
    <tableColumn id="13" xr3:uid="{00000000-0010-0000-0F00-00000D000000}" name="2688"/>
    <tableColumn id="14" xr3:uid="{00000000-0010-0000-0F00-00000E000000}" name="3099"/>
    <tableColumn id="15" xr3:uid="{00000000-0010-0000-0F00-00000F000000}" name="DENKA"/>
  </tableColumns>
  <tableStyleInfo name="April 24-style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able_17" displayName="Table_17" ref="C20:Q101">
  <tableColumns count="15">
    <tableColumn id="1" xr3:uid="{00000000-0010-0000-1000-000001000000}" name="Srl No"/>
    <tableColumn id="2" xr3:uid="{00000000-0010-0000-1000-000002000000}" name="Date"/>
    <tableColumn id="3" xr3:uid="{00000000-0010-0000-1000-000003000000}" name="Inv No"/>
    <tableColumn id="4" xr3:uid="{00000000-0010-0000-1000-000004000000}" name="Party"/>
    <tableColumn id="5" xr3:uid="{00000000-0010-0000-1000-000005000000}" name="Qty"/>
    <tableColumn id="6" xr3:uid="{00000000-0010-0000-1000-000006000000}" name="Price"/>
    <tableColumn id="7" xr3:uid="{00000000-0010-0000-1000-000007000000}" name="Off Grade"/>
    <tableColumn id="8" xr3:uid="{00000000-0010-0000-1000-000008000000}" name="1799"/>
    <tableColumn id="9" xr3:uid="{00000000-0010-0000-1000-000009000000}" name="2699"/>
    <tableColumn id="10" xr3:uid="{00000000-0010-0000-1000-00000A000000}" name="588"/>
    <tableColumn id="11" xr3:uid="{00000000-0010-0000-1000-00000B000000}" name="2088"/>
    <tableColumn id="12" xr3:uid="{00000000-0010-0000-1000-00000C000000}" name="2488"/>
    <tableColumn id="13" xr3:uid="{00000000-0010-0000-1000-00000D000000}" name="2688"/>
    <tableColumn id="14" xr3:uid="{00000000-0010-0000-1000-00000E000000}" name="3099"/>
    <tableColumn id="15" xr3:uid="{00000000-0010-0000-1000-00000F000000}" name="DENKA"/>
  </tableColumns>
  <tableStyleInfo name="May 2024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Table_18" displayName="Table_18" ref="C20:Q102">
  <tableColumns count="15">
    <tableColumn id="1" xr3:uid="{00000000-0010-0000-1100-000001000000}" name="Srl No"/>
    <tableColumn id="2" xr3:uid="{00000000-0010-0000-1100-000002000000}" name="Date"/>
    <tableColumn id="3" xr3:uid="{00000000-0010-0000-1100-000003000000}" name="Inv No"/>
    <tableColumn id="4" xr3:uid="{00000000-0010-0000-1100-000004000000}" name="Party"/>
    <tableColumn id="5" xr3:uid="{00000000-0010-0000-1100-000005000000}" name="Qty"/>
    <tableColumn id="6" xr3:uid="{00000000-0010-0000-1100-000006000000}" name="Price"/>
    <tableColumn id="7" xr3:uid="{00000000-0010-0000-1100-000007000000}" name="Off Grade"/>
    <tableColumn id="8" xr3:uid="{00000000-0010-0000-1100-000008000000}" name="1799"/>
    <tableColumn id="9" xr3:uid="{00000000-0010-0000-1100-000009000000}" name="2699"/>
    <tableColumn id="10" xr3:uid="{00000000-0010-0000-1100-00000A000000}" name="588"/>
    <tableColumn id="11" xr3:uid="{00000000-0010-0000-1100-00000B000000}" name="2088"/>
    <tableColumn id="12" xr3:uid="{00000000-0010-0000-1100-00000C000000}" name="2488"/>
    <tableColumn id="13" xr3:uid="{00000000-0010-0000-1100-00000D000000}" name="2688"/>
    <tableColumn id="14" xr3:uid="{00000000-0010-0000-1100-00000E000000}" name="3099"/>
    <tableColumn id="15" xr3:uid="{00000000-0010-0000-1100-00000F000000}" name="DENKA"/>
  </tableColumns>
  <tableStyleInfo name="June 24-style" showFirstColumn="1" showLastColumn="1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Table_19" displayName="Table_19" ref="C20:R102">
  <tableColumns count="16">
    <tableColumn id="1" xr3:uid="{00000000-0010-0000-1200-000001000000}" name="Srl No"/>
    <tableColumn id="2" xr3:uid="{00000000-0010-0000-1200-000002000000}" name="Date"/>
    <tableColumn id="3" xr3:uid="{00000000-0010-0000-1200-000003000000}" name="Inv No"/>
    <tableColumn id="4" xr3:uid="{00000000-0010-0000-1200-000004000000}" name="Party"/>
    <tableColumn id="5" xr3:uid="{00000000-0010-0000-1200-000005000000}" name="Qty"/>
    <tableColumn id="6" xr3:uid="{00000000-0010-0000-1200-000006000000}" name="Price"/>
    <tableColumn id="7" xr3:uid="{00000000-0010-0000-1200-000007000000}" name="Off Grade"/>
    <tableColumn id="8" xr3:uid="{00000000-0010-0000-1200-000008000000}" name="1799"/>
    <tableColumn id="9" xr3:uid="{00000000-0010-0000-1200-000009000000}" name="2699"/>
    <tableColumn id="10" xr3:uid="{00000000-0010-0000-1200-00000A000000}" name="588"/>
    <tableColumn id="11" xr3:uid="{00000000-0010-0000-1200-00000B000000}" name="2088"/>
    <tableColumn id="12" xr3:uid="{00000000-0010-0000-1200-00000C000000}" name="2488"/>
    <tableColumn id="13" xr3:uid="{00000000-0010-0000-1200-00000D000000}" name="2688"/>
    <tableColumn id="14" xr3:uid="{00000000-0010-0000-1200-00000E000000}" name="3099"/>
    <tableColumn id="15" xr3:uid="{00000000-0010-0000-1200-00000F000000}" name="DENKA"/>
    <tableColumn id="16" xr3:uid="{00000000-0010-0000-1200-000010000000}" name="Column1"/>
  </tableColumns>
  <tableStyleInfo name="July 24-style" showFirstColumn="1" showLastColumn="1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Table_20" displayName="Table_20" ref="C20:R102">
  <tableColumns count="16">
    <tableColumn id="1" xr3:uid="{00000000-0010-0000-1300-000001000000}" name="Srl No"/>
    <tableColumn id="2" xr3:uid="{00000000-0010-0000-1300-000002000000}" name="Date"/>
    <tableColumn id="3" xr3:uid="{00000000-0010-0000-1300-000003000000}" name="Inv No"/>
    <tableColumn id="4" xr3:uid="{00000000-0010-0000-1300-000004000000}" name="Party"/>
    <tableColumn id="5" xr3:uid="{00000000-0010-0000-1300-000005000000}" name="Qty"/>
    <tableColumn id="6" xr3:uid="{00000000-0010-0000-1300-000006000000}" name="Price"/>
    <tableColumn id="7" xr3:uid="{00000000-0010-0000-1300-000007000000}" name="Off Grade"/>
    <tableColumn id="8" xr3:uid="{00000000-0010-0000-1300-000008000000}" name="1799"/>
    <tableColumn id="9" xr3:uid="{00000000-0010-0000-1300-000009000000}" name="2699"/>
    <tableColumn id="10" xr3:uid="{00000000-0010-0000-1300-00000A000000}" name="588"/>
    <tableColumn id="11" xr3:uid="{00000000-0010-0000-1300-00000B000000}" name="2088"/>
    <tableColumn id="12" xr3:uid="{00000000-0010-0000-1300-00000C000000}" name="2488"/>
    <tableColumn id="13" xr3:uid="{00000000-0010-0000-1300-00000D000000}" name="2688"/>
    <tableColumn id="14" xr3:uid="{00000000-0010-0000-1300-00000E000000}" name="3099"/>
    <tableColumn id="15" xr3:uid="{00000000-0010-0000-1300-00000F000000}" name="DENKA"/>
    <tableColumn id="16" xr3:uid="{00000000-0010-0000-1300-000010000000}" name="Column1"/>
  </tableColumns>
  <tableStyleInfo name="Aug 24-style" showFirstColumn="1" showLastColumn="1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Table_21" displayName="Table_21" ref="C20:R102">
  <tableColumns count="16">
    <tableColumn id="1" xr3:uid="{00000000-0010-0000-1400-000001000000}" name="Srl No"/>
    <tableColumn id="2" xr3:uid="{00000000-0010-0000-1400-000002000000}" name="Date"/>
    <tableColumn id="3" xr3:uid="{00000000-0010-0000-1400-000003000000}" name="Inv No"/>
    <tableColumn id="4" xr3:uid="{00000000-0010-0000-1400-000004000000}" name="Party"/>
    <tableColumn id="5" xr3:uid="{00000000-0010-0000-1400-000005000000}" name="Qty"/>
    <tableColumn id="6" xr3:uid="{00000000-0010-0000-1400-000006000000}" name="Price"/>
    <tableColumn id="7" xr3:uid="{00000000-0010-0000-1400-000007000000}" name="Off Grade"/>
    <tableColumn id="8" xr3:uid="{00000000-0010-0000-1400-000008000000}" name="1799"/>
    <tableColumn id="9" xr3:uid="{00000000-0010-0000-1400-000009000000}" name="2699"/>
    <tableColumn id="10" xr3:uid="{00000000-0010-0000-1400-00000A000000}" name="588"/>
    <tableColumn id="11" xr3:uid="{00000000-0010-0000-1400-00000B000000}" name="2088"/>
    <tableColumn id="12" xr3:uid="{00000000-0010-0000-1400-00000C000000}" name="2488"/>
    <tableColumn id="13" xr3:uid="{00000000-0010-0000-1400-00000D000000}" name="2688"/>
    <tableColumn id="14" xr3:uid="{00000000-0010-0000-1400-00000E000000}" name="3099"/>
    <tableColumn id="15" xr3:uid="{00000000-0010-0000-1400-00000F000000}" name="DENKA"/>
    <tableColumn id="16" xr3:uid="{00000000-0010-0000-1400-000010000000}" name="Column1"/>
  </tableColumns>
  <tableStyleInfo name="Sept 24-style" showFirstColumn="1" showLastColumn="1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Table_22" displayName="Table_22" ref="C20:R102">
  <tableColumns count="16">
    <tableColumn id="1" xr3:uid="{00000000-0010-0000-1500-000001000000}" name="Srl No"/>
    <tableColumn id="2" xr3:uid="{00000000-0010-0000-1500-000002000000}" name="Date"/>
    <tableColumn id="3" xr3:uid="{00000000-0010-0000-1500-000003000000}" name="Inv No"/>
    <tableColumn id="4" xr3:uid="{00000000-0010-0000-1500-000004000000}" name="Party"/>
    <tableColumn id="5" xr3:uid="{00000000-0010-0000-1500-000005000000}" name="Qty"/>
    <tableColumn id="6" xr3:uid="{00000000-0010-0000-1500-000006000000}" name="Price"/>
    <tableColumn id="7" xr3:uid="{00000000-0010-0000-1500-000007000000}" name="Off Grade"/>
    <tableColumn id="8" xr3:uid="{00000000-0010-0000-1500-000008000000}" name="1799"/>
    <tableColumn id="9" xr3:uid="{00000000-0010-0000-1500-000009000000}" name="2699"/>
    <tableColumn id="10" xr3:uid="{00000000-0010-0000-1500-00000A000000}" name="588"/>
    <tableColumn id="11" xr3:uid="{00000000-0010-0000-1500-00000B000000}" name="2088"/>
    <tableColumn id="12" xr3:uid="{00000000-0010-0000-1500-00000C000000}" name="2488"/>
    <tableColumn id="13" xr3:uid="{00000000-0010-0000-1500-00000D000000}" name="2688"/>
    <tableColumn id="14" xr3:uid="{00000000-0010-0000-1500-00000E000000}" name="3099"/>
    <tableColumn id="15" xr3:uid="{00000000-0010-0000-1500-00000F000000}" name="DENKA"/>
    <tableColumn id="16" xr3:uid="{00000000-0010-0000-1500-000010000000}" name="Column1"/>
  </tableColumns>
  <tableStyleInfo name="Oct 24-style" showFirstColumn="1" showLastColumn="1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Table_23" displayName="Table_23" ref="C20:R102">
  <tableColumns count="16">
    <tableColumn id="1" xr3:uid="{00000000-0010-0000-1600-000001000000}" name="Srl No"/>
    <tableColumn id="2" xr3:uid="{00000000-0010-0000-1600-000002000000}" name="Date"/>
    <tableColumn id="3" xr3:uid="{00000000-0010-0000-1600-000003000000}" name="Inv No"/>
    <tableColumn id="4" xr3:uid="{00000000-0010-0000-1600-000004000000}" name="Party"/>
    <tableColumn id="5" xr3:uid="{00000000-0010-0000-1600-000005000000}" name="Qty"/>
    <tableColumn id="6" xr3:uid="{00000000-0010-0000-1600-000006000000}" name="Price"/>
    <tableColumn id="7" xr3:uid="{00000000-0010-0000-1600-000007000000}" name="Off Grade"/>
    <tableColumn id="8" xr3:uid="{00000000-0010-0000-1600-000008000000}" name="1799"/>
    <tableColumn id="9" xr3:uid="{00000000-0010-0000-1600-000009000000}" name="2699"/>
    <tableColumn id="10" xr3:uid="{00000000-0010-0000-1600-00000A000000}" name="588"/>
    <tableColumn id="11" xr3:uid="{00000000-0010-0000-1600-00000B000000}" name="2088"/>
    <tableColumn id="12" xr3:uid="{00000000-0010-0000-1600-00000C000000}" name="2488"/>
    <tableColumn id="13" xr3:uid="{00000000-0010-0000-1600-00000D000000}" name="2688"/>
    <tableColumn id="14" xr3:uid="{00000000-0010-0000-1600-00000E000000}" name="3099 / 1788"/>
    <tableColumn id="15" xr3:uid="{00000000-0010-0000-1600-00000F000000}" name="DENKA"/>
    <tableColumn id="16" xr3:uid="{00000000-0010-0000-1600-000010000000}" name="Column1"/>
  </tableColumns>
  <tableStyleInfo name="Nov 24-style" showFirstColumn="1" showLastColumn="1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Table_24" displayName="Table_24" ref="C20:R104">
  <tableColumns count="16">
    <tableColumn id="1" xr3:uid="{00000000-0010-0000-1700-000001000000}" name="Srl No"/>
    <tableColumn id="2" xr3:uid="{00000000-0010-0000-1700-000002000000}" name="Date" dataDxfId="3"/>
    <tableColumn id="3" xr3:uid="{00000000-0010-0000-1700-000003000000}" name="Inv No"/>
    <tableColumn id="4" xr3:uid="{00000000-0010-0000-1700-000004000000}" name="Party"/>
    <tableColumn id="5" xr3:uid="{00000000-0010-0000-1700-000005000000}" name="Qty"/>
    <tableColumn id="6" xr3:uid="{00000000-0010-0000-1700-000006000000}" name="Price"/>
    <tableColumn id="7" xr3:uid="{00000000-0010-0000-1700-000007000000}" name="Off Grade"/>
    <tableColumn id="8" xr3:uid="{00000000-0010-0000-1700-000008000000}" name="1799"/>
    <tableColumn id="9" xr3:uid="{00000000-0010-0000-1700-000009000000}" name="2699"/>
    <tableColumn id="10" xr3:uid="{00000000-0010-0000-1700-00000A000000}" name="588"/>
    <tableColumn id="11" xr3:uid="{00000000-0010-0000-1700-00000B000000}" name="2088"/>
    <tableColumn id="12" xr3:uid="{00000000-0010-0000-1700-00000C000000}" name="2488"/>
    <tableColumn id="13" xr3:uid="{00000000-0010-0000-1700-00000D000000}" name="2688"/>
    <tableColumn id="14" xr3:uid="{00000000-0010-0000-1700-00000E000000}" name="3099 / 1788"/>
    <tableColumn id="15" xr3:uid="{00000000-0010-0000-1700-00000F000000}" name="DENKA / CCP"/>
    <tableColumn id="16" xr3:uid="{00000000-0010-0000-1700-000010000000}" name="CCP"/>
  </tableColumns>
  <tableStyleInfo name="Dec 24-style" showFirstColumn="1" showLastColumn="1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Table_2426" displayName="Table_2426" ref="C20:R103">
  <tableColumns count="16">
    <tableColumn id="1" xr3:uid="{00000000-0010-0000-1800-000001000000}" name="Srl No"/>
    <tableColumn id="2" xr3:uid="{00000000-0010-0000-1800-000002000000}" name="Date" dataDxfId="2"/>
    <tableColumn id="3" xr3:uid="{00000000-0010-0000-1800-000003000000}" name="Inv No"/>
    <tableColumn id="4" xr3:uid="{00000000-0010-0000-1800-000004000000}" name="Party"/>
    <tableColumn id="5" xr3:uid="{00000000-0010-0000-1800-000005000000}" name="Qty"/>
    <tableColumn id="6" xr3:uid="{00000000-0010-0000-1800-000006000000}" name="Price"/>
    <tableColumn id="7" xr3:uid="{00000000-0010-0000-1800-000007000000}" name="Off Grade"/>
    <tableColumn id="8" xr3:uid="{00000000-0010-0000-1800-000008000000}" name="1799"/>
    <tableColumn id="9" xr3:uid="{00000000-0010-0000-1800-000009000000}" name="2699"/>
    <tableColumn id="10" xr3:uid="{00000000-0010-0000-1800-00000A000000}" name="588"/>
    <tableColumn id="11" xr3:uid="{00000000-0010-0000-1800-00000B000000}" name="2088"/>
    <tableColumn id="12" xr3:uid="{00000000-0010-0000-1800-00000C000000}" name="2488"/>
    <tableColumn id="13" xr3:uid="{00000000-0010-0000-1800-00000D000000}" name="2688"/>
    <tableColumn id="14" xr3:uid="{00000000-0010-0000-1800-00000E000000}" name="3099 / 1788"/>
    <tableColumn id="15" xr3:uid="{00000000-0010-0000-1800-00000F000000}" name="DENKA / CCP"/>
    <tableColumn id="16" xr3:uid="{00000000-0010-0000-1800-000010000000}" name="CCP"/>
  </tableColumns>
  <tableStyleInfo name="Dec 24-style" showFirstColumn="1" showLastColumn="1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Table_242627" displayName="Table_242627" ref="C20:R103">
  <tableColumns count="16">
    <tableColumn id="1" xr3:uid="{00000000-0010-0000-1900-000001000000}" name="Srl No"/>
    <tableColumn id="2" xr3:uid="{00000000-0010-0000-1900-000002000000}" name="Date" dataDxfId="1"/>
    <tableColumn id="3" xr3:uid="{00000000-0010-0000-1900-000003000000}" name="Inv No"/>
    <tableColumn id="4" xr3:uid="{00000000-0010-0000-1900-000004000000}" name="Party"/>
    <tableColumn id="5" xr3:uid="{00000000-0010-0000-1900-000005000000}" name="Qty"/>
    <tableColumn id="6" xr3:uid="{00000000-0010-0000-1900-000006000000}" name="Price"/>
    <tableColumn id="7" xr3:uid="{00000000-0010-0000-1900-000007000000}" name="Off Grade"/>
    <tableColumn id="8" xr3:uid="{00000000-0010-0000-1900-000008000000}" name="1799"/>
    <tableColumn id="9" xr3:uid="{00000000-0010-0000-1900-000009000000}" name="2699"/>
    <tableColumn id="10" xr3:uid="{00000000-0010-0000-1900-00000A000000}" name="588"/>
    <tableColumn id="11" xr3:uid="{00000000-0010-0000-1900-00000B000000}" name="2088"/>
    <tableColumn id="12" xr3:uid="{00000000-0010-0000-1900-00000C000000}" name="2488"/>
    <tableColumn id="13" xr3:uid="{00000000-0010-0000-1900-00000D000000}" name="2688"/>
    <tableColumn id="14" xr3:uid="{00000000-0010-0000-1900-00000E000000}" name="3099 / 1788"/>
    <tableColumn id="15" xr3:uid="{00000000-0010-0000-1900-00000F000000}" name="DENKA / CCP"/>
    <tableColumn id="16" xr3:uid="{00000000-0010-0000-1900-000010000000}" name="CCP"/>
  </tableColumns>
  <tableStyleInfo name="Dec 24-style" showFirstColumn="1" showLastColumn="1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Table_24262728" displayName="Table_24262728" ref="C20:R103">
  <tableColumns count="16">
    <tableColumn id="1" xr3:uid="{00000000-0010-0000-1A00-000001000000}" name="Srl No"/>
    <tableColumn id="2" xr3:uid="{00000000-0010-0000-1A00-000002000000}" name="Date" dataDxfId="0"/>
    <tableColumn id="3" xr3:uid="{00000000-0010-0000-1A00-000003000000}" name="Inv No"/>
    <tableColumn id="4" xr3:uid="{00000000-0010-0000-1A00-000004000000}" name="Party"/>
    <tableColumn id="5" xr3:uid="{00000000-0010-0000-1A00-000005000000}" name="Qty"/>
    <tableColumn id="6" xr3:uid="{00000000-0010-0000-1A00-000006000000}" name="Price"/>
    <tableColumn id="7" xr3:uid="{00000000-0010-0000-1A00-000007000000}" name="Off Grade"/>
    <tableColumn id="8" xr3:uid="{00000000-0010-0000-1A00-000008000000}" name="1799"/>
    <tableColumn id="9" xr3:uid="{00000000-0010-0000-1A00-000009000000}" name="2699"/>
    <tableColumn id="10" xr3:uid="{00000000-0010-0000-1A00-00000A000000}" name="588"/>
    <tableColumn id="11" xr3:uid="{00000000-0010-0000-1A00-00000B000000}" name="2088"/>
    <tableColumn id="12" xr3:uid="{00000000-0010-0000-1A00-00000C000000}" name="2488"/>
    <tableColumn id="13" xr3:uid="{00000000-0010-0000-1A00-00000D000000}" name="2688"/>
    <tableColumn id="14" xr3:uid="{00000000-0010-0000-1A00-00000E000000}" name="3099 / 1788"/>
    <tableColumn id="15" xr3:uid="{00000000-0010-0000-1A00-00000F000000}" name="DENKA / CCP"/>
    <tableColumn id="16" xr3:uid="{00000000-0010-0000-1A00-000010000000}" name="CCP"/>
  </tableColumns>
  <tableStyleInfo name="Dec 24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3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1:Q1000"/>
  <sheetViews>
    <sheetView topLeftCell="A25" workbookViewId="0"/>
  </sheetViews>
  <sheetFormatPr defaultColWidth="14.42578125" defaultRowHeight="15" customHeight="1" x14ac:dyDescent="0.25"/>
  <cols>
    <col min="1" max="3" width="8.7109375" customWidth="1"/>
    <col min="4" max="4" width="8.140625" customWidth="1"/>
    <col min="5" max="5" width="11.28515625" customWidth="1"/>
    <col min="6" max="12" width="11" customWidth="1"/>
    <col min="13" max="17" width="12" customWidth="1"/>
    <col min="18" max="26" width="8.7109375" customWidth="1"/>
  </cols>
  <sheetData>
    <row r="1" spans="4:17" x14ac:dyDescent="0.25">
      <c r="D1" s="1"/>
    </row>
    <row r="2" spans="4:17" ht="15.75" x14ac:dyDescent="0.25">
      <c r="D2" s="1"/>
      <c r="E2" s="2" t="s">
        <v>0</v>
      </c>
      <c r="F2" s="2"/>
      <c r="G2" s="2"/>
      <c r="H2" s="2"/>
      <c r="I2" s="2"/>
      <c r="J2" s="2"/>
      <c r="K2" s="2"/>
      <c r="L2" s="2"/>
      <c r="M2" s="2"/>
      <c r="N2" s="3"/>
    </row>
    <row r="3" spans="4:17" x14ac:dyDescent="0.25">
      <c r="D3" s="1"/>
      <c r="E3" s="4" t="s">
        <v>1</v>
      </c>
      <c r="F3" s="4" t="s">
        <v>2</v>
      </c>
      <c r="G3" s="4">
        <v>1799</v>
      </c>
      <c r="H3" s="4">
        <v>2099</v>
      </c>
      <c r="I3" s="4">
        <v>2699</v>
      </c>
      <c r="J3" s="4">
        <v>588</v>
      </c>
      <c r="K3" s="4">
        <v>2088</v>
      </c>
      <c r="L3" s="4">
        <v>2488</v>
      </c>
      <c r="M3" s="4">
        <v>2688</v>
      </c>
      <c r="N3" s="5" t="s">
        <v>3</v>
      </c>
    </row>
    <row r="4" spans="4:17" ht="15.75" x14ac:dyDescent="0.25">
      <c r="D4" s="1"/>
      <c r="E4" s="6" t="s">
        <v>4</v>
      </c>
      <c r="F4" s="7">
        <f>'Jan 2023'!$J$53</f>
        <v>6980</v>
      </c>
      <c r="G4" s="7">
        <f>'Jan 2023'!$K$53</f>
        <v>23100</v>
      </c>
      <c r="H4" s="7">
        <f>'Jan 2023'!$L$53</f>
        <v>950</v>
      </c>
      <c r="I4" s="7">
        <f>'Jan 2023'!$M$53</f>
        <v>1275</v>
      </c>
      <c r="J4" s="7">
        <f>'Jan 2023'!$N$53</f>
        <v>1100</v>
      </c>
      <c r="K4" s="7">
        <f>'Jan 2023'!$O$53</f>
        <v>0</v>
      </c>
      <c r="L4" s="7">
        <f>'Jan 2023'!$P$53</f>
        <v>600</v>
      </c>
      <c r="M4" s="7">
        <f>'Jan 2023'!$Q$53</f>
        <v>3950</v>
      </c>
      <c r="N4" s="8">
        <f>SUM(F4:M4)</f>
        <v>37955</v>
      </c>
    </row>
    <row r="5" spans="4:17" x14ac:dyDescent="0.25">
      <c r="D5" s="1"/>
      <c r="E5" s="6" t="s">
        <v>5</v>
      </c>
      <c r="F5" s="7"/>
      <c r="G5" s="7"/>
      <c r="H5" s="7"/>
      <c r="I5" s="7"/>
      <c r="J5" s="7"/>
      <c r="K5" s="7"/>
      <c r="L5" s="7"/>
      <c r="M5" s="7"/>
      <c r="N5" s="7"/>
    </row>
    <row r="6" spans="4:17" x14ac:dyDescent="0.25">
      <c r="D6" s="1"/>
      <c r="E6" s="6" t="s">
        <v>6</v>
      </c>
      <c r="F6" s="7"/>
      <c r="G6" s="7"/>
      <c r="H6" s="7"/>
      <c r="I6" s="7"/>
      <c r="J6" s="7"/>
      <c r="K6" s="7"/>
      <c r="L6" s="7"/>
      <c r="M6" s="7"/>
      <c r="N6" s="7"/>
    </row>
    <row r="7" spans="4:17" x14ac:dyDescent="0.25">
      <c r="D7" s="1"/>
      <c r="E7" s="6" t="s">
        <v>7</v>
      </c>
      <c r="F7" s="7"/>
      <c r="G7" s="7"/>
      <c r="H7" s="7"/>
      <c r="I7" s="7"/>
      <c r="J7" s="7"/>
      <c r="K7" s="7"/>
      <c r="L7" s="7"/>
      <c r="M7" s="7"/>
      <c r="N7" s="7"/>
    </row>
    <row r="8" spans="4:17" x14ac:dyDescent="0.25">
      <c r="D8" s="1"/>
    </row>
    <row r="9" spans="4:17" x14ac:dyDescent="0.25">
      <c r="D9" s="1"/>
    </row>
    <row r="10" spans="4:17" x14ac:dyDescent="0.25">
      <c r="D10" s="1"/>
    </row>
    <row r="11" spans="4:17" x14ac:dyDescent="0.25">
      <c r="D11" s="9" t="s">
        <v>8</v>
      </c>
      <c r="E11" s="4" t="s">
        <v>9</v>
      </c>
      <c r="F11" s="4" t="s">
        <v>10</v>
      </c>
      <c r="G11" s="4" t="s">
        <v>11</v>
      </c>
      <c r="H11" s="4" t="s">
        <v>4</v>
      </c>
      <c r="I11" s="4" t="s">
        <v>12</v>
      </c>
      <c r="J11" s="4" t="s">
        <v>2</v>
      </c>
      <c r="K11" s="4" t="s">
        <v>13</v>
      </c>
      <c r="L11" s="4" t="s">
        <v>14</v>
      </c>
      <c r="M11" s="4" t="s">
        <v>15</v>
      </c>
      <c r="N11" s="4" t="s">
        <v>16</v>
      </c>
      <c r="O11" s="4" t="s">
        <v>17</v>
      </c>
      <c r="P11" s="4" t="s">
        <v>18</v>
      </c>
      <c r="Q11" s="4" t="s">
        <v>19</v>
      </c>
    </row>
    <row r="12" spans="4:17" x14ac:dyDescent="0.25">
      <c r="D12" s="10">
        <v>1</v>
      </c>
      <c r="E12" s="11">
        <v>44928</v>
      </c>
      <c r="F12" s="12">
        <v>258</v>
      </c>
      <c r="G12" s="7" t="s">
        <v>20</v>
      </c>
      <c r="H12" s="7">
        <v>220</v>
      </c>
      <c r="I12" s="12">
        <v>160</v>
      </c>
      <c r="J12" s="7">
        <v>220</v>
      </c>
      <c r="K12" s="7"/>
      <c r="L12" s="7"/>
      <c r="M12" s="7"/>
      <c r="N12" s="7"/>
      <c r="O12" s="7"/>
      <c r="P12" s="7"/>
      <c r="Q12" s="7"/>
    </row>
    <row r="13" spans="4:17" x14ac:dyDescent="0.25">
      <c r="D13" s="10">
        <v>2</v>
      </c>
      <c r="E13" s="11">
        <v>44928</v>
      </c>
      <c r="F13" s="12">
        <v>259</v>
      </c>
      <c r="G13" s="7" t="s">
        <v>21</v>
      </c>
      <c r="H13" s="7">
        <v>1000</v>
      </c>
      <c r="I13" s="12">
        <v>228</v>
      </c>
      <c r="J13" s="7"/>
      <c r="K13" s="7"/>
      <c r="L13" s="7"/>
      <c r="M13" s="7"/>
      <c r="N13" s="7"/>
      <c r="O13" s="7"/>
      <c r="P13" s="7"/>
      <c r="Q13" s="7">
        <v>1000</v>
      </c>
    </row>
    <row r="14" spans="4:17" x14ac:dyDescent="0.25">
      <c r="D14" s="10">
        <v>3</v>
      </c>
      <c r="E14" s="11">
        <v>44928</v>
      </c>
      <c r="F14" s="12">
        <v>260</v>
      </c>
      <c r="G14" s="7" t="s">
        <v>21</v>
      </c>
      <c r="H14" s="7">
        <v>3000</v>
      </c>
      <c r="I14" s="12">
        <v>150</v>
      </c>
      <c r="J14" s="7">
        <v>3000</v>
      </c>
      <c r="K14" s="7"/>
      <c r="L14" s="7"/>
      <c r="M14" s="7"/>
      <c r="N14" s="7"/>
      <c r="O14" s="7"/>
      <c r="P14" s="7"/>
      <c r="Q14" s="7"/>
    </row>
    <row r="15" spans="4:17" x14ac:dyDescent="0.25">
      <c r="D15" s="10">
        <v>4</v>
      </c>
      <c r="E15" s="11">
        <v>44928</v>
      </c>
      <c r="F15" s="12">
        <v>261</v>
      </c>
      <c r="G15" s="7" t="s">
        <v>22</v>
      </c>
      <c r="H15" s="7">
        <v>6200</v>
      </c>
      <c r="I15" s="12">
        <v>200</v>
      </c>
      <c r="J15" s="7"/>
      <c r="K15" s="7">
        <v>6200</v>
      </c>
      <c r="L15" s="7"/>
      <c r="M15" s="7"/>
      <c r="N15" s="7"/>
      <c r="O15" s="7"/>
      <c r="P15" s="7"/>
      <c r="Q15" s="7"/>
    </row>
    <row r="16" spans="4:17" x14ac:dyDescent="0.25">
      <c r="D16" s="10">
        <v>5</v>
      </c>
      <c r="E16" s="11">
        <v>44929</v>
      </c>
      <c r="F16" s="12" t="s">
        <v>23</v>
      </c>
      <c r="G16" s="7" t="s">
        <v>24</v>
      </c>
      <c r="H16" s="7">
        <v>250</v>
      </c>
      <c r="I16" s="12" t="s">
        <v>25</v>
      </c>
      <c r="J16" s="7"/>
      <c r="K16" s="7"/>
      <c r="L16" s="7"/>
      <c r="M16" s="7">
        <v>50</v>
      </c>
      <c r="N16" s="7"/>
      <c r="O16" s="7"/>
      <c r="P16" s="7">
        <v>200</v>
      </c>
      <c r="Q16" s="7"/>
    </row>
    <row r="17" spans="4:17" x14ac:dyDescent="0.25">
      <c r="D17" s="10">
        <v>6</v>
      </c>
      <c r="E17" s="11">
        <v>44930</v>
      </c>
      <c r="F17" s="12">
        <v>263</v>
      </c>
      <c r="G17" s="7" t="s">
        <v>26</v>
      </c>
      <c r="H17" s="7">
        <v>200</v>
      </c>
      <c r="I17" s="12">
        <v>230</v>
      </c>
      <c r="J17" s="7"/>
      <c r="K17" s="7"/>
      <c r="L17" s="7"/>
      <c r="M17" s="7"/>
      <c r="N17" s="7"/>
      <c r="O17" s="7"/>
      <c r="P17" s="7"/>
      <c r="Q17" s="7">
        <v>200</v>
      </c>
    </row>
    <row r="18" spans="4:17" x14ac:dyDescent="0.25">
      <c r="D18" s="10">
        <v>7</v>
      </c>
      <c r="E18" s="11">
        <v>44935</v>
      </c>
      <c r="F18" s="12" t="s">
        <v>27</v>
      </c>
      <c r="G18" s="7" t="s">
        <v>28</v>
      </c>
      <c r="H18" s="7">
        <v>600</v>
      </c>
      <c r="I18" s="12" t="s">
        <v>29</v>
      </c>
      <c r="J18" s="7"/>
      <c r="K18" s="7"/>
      <c r="L18" s="7">
        <v>400</v>
      </c>
      <c r="M18" s="7">
        <v>200</v>
      </c>
      <c r="N18" s="7"/>
      <c r="O18" s="7"/>
      <c r="P18" s="7"/>
      <c r="Q18" s="7"/>
    </row>
    <row r="19" spans="4:17" x14ac:dyDescent="0.25">
      <c r="D19" s="10">
        <v>8</v>
      </c>
      <c r="E19" s="11">
        <v>44935</v>
      </c>
      <c r="F19" s="12" t="s">
        <v>27</v>
      </c>
      <c r="G19" s="7" t="s">
        <v>30</v>
      </c>
      <c r="H19" s="7">
        <v>500</v>
      </c>
      <c r="I19" s="12">
        <v>225</v>
      </c>
      <c r="J19" s="7"/>
      <c r="K19" s="7"/>
      <c r="L19" s="7"/>
      <c r="M19" s="7"/>
      <c r="N19" s="7"/>
      <c r="O19" s="7"/>
      <c r="P19" s="7"/>
      <c r="Q19" s="7">
        <v>500</v>
      </c>
    </row>
    <row r="20" spans="4:17" x14ac:dyDescent="0.25">
      <c r="D20" s="10">
        <v>9</v>
      </c>
      <c r="E20" s="11">
        <v>44936</v>
      </c>
      <c r="F20" s="12" t="s">
        <v>31</v>
      </c>
      <c r="G20" s="7" t="s">
        <v>32</v>
      </c>
      <c r="H20" s="7">
        <v>425</v>
      </c>
      <c r="I20" s="12" t="s">
        <v>33</v>
      </c>
      <c r="J20" s="7"/>
      <c r="K20" s="7"/>
      <c r="L20" s="7"/>
      <c r="M20" s="7">
        <v>25</v>
      </c>
      <c r="N20" s="7"/>
      <c r="O20" s="7"/>
      <c r="P20" s="7">
        <v>400</v>
      </c>
      <c r="Q20" s="7"/>
    </row>
    <row r="21" spans="4:17" ht="15.75" customHeight="1" x14ac:dyDescent="0.25">
      <c r="D21" s="10">
        <v>10</v>
      </c>
      <c r="E21" s="11">
        <v>44939</v>
      </c>
      <c r="F21" s="12" t="s">
        <v>34</v>
      </c>
      <c r="G21" s="7" t="s">
        <v>35</v>
      </c>
      <c r="H21" s="7">
        <v>500</v>
      </c>
      <c r="I21" s="12">
        <v>204</v>
      </c>
      <c r="J21" s="7"/>
      <c r="K21" s="7"/>
      <c r="L21" s="7">
        <v>500</v>
      </c>
      <c r="M21" s="7"/>
      <c r="N21" s="7"/>
      <c r="O21" s="7"/>
      <c r="P21" s="7"/>
      <c r="Q21" s="7"/>
    </row>
    <row r="22" spans="4:17" ht="15.75" customHeight="1" x14ac:dyDescent="0.25">
      <c r="D22" s="10">
        <v>11</v>
      </c>
      <c r="E22" s="11">
        <v>44939</v>
      </c>
      <c r="F22" s="12" t="s">
        <v>36</v>
      </c>
      <c r="G22" s="7" t="s">
        <v>37</v>
      </c>
      <c r="H22" s="7">
        <v>250</v>
      </c>
      <c r="I22" s="12">
        <v>230</v>
      </c>
      <c r="J22" s="7"/>
      <c r="K22" s="7"/>
      <c r="L22" s="7"/>
      <c r="M22" s="7"/>
      <c r="N22" s="7"/>
      <c r="O22" s="7"/>
      <c r="P22" s="7"/>
      <c r="Q22" s="7">
        <v>250</v>
      </c>
    </row>
    <row r="23" spans="4:17" ht="15.75" customHeight="1" x14ac:dyDescent="0.25">
      <c r="D23" s="10">
        <v>12</v>
      </c>
      <c r="E23" s="11">
        <v>44944</v>
      </c>
      <c r="F23" s="12" t="s">
        <v>27</v>
      </c>
      <c r="G23" s="7" t="s">
        <v>38</v>
      </c>
      <c r="H23" s="7">
        <v>50</v>
      </c>
      <c r="I23" s="12">
        <v>240</v>
      </c>
      <c r="J23" s="7"/>
      <c r="K23" s="7"/>
      <c r="L23" s="7">
        <v>50</v>
      </c>
      <c r="M23" s="7"/>
      <c r="N23" s="7"/>
      <c r="O23" s="7"/>
      <c r="P23" s="7"/>
      <c r="Q23" s="7"/>
    </row>
    <row r="24" spans="4:17" ht="15.75" customHeight="1" x14ac:dyDescent="0.25">
      <c r="D24" s="10">
        <v>13</v>
      </c>
      <c r="E24" s="11">
        <v>44945</v>
      </c>
      <c r="F24" s="12">
        <v>268</v>
      </c>
      <c r="G24" s="7" t="s">
        <v>39</v>
      </c>
      <c r="H24" s="7">
        <v>100</v>
      </c>
      <c r="I24" s="12">
        <v>235</v>
      </c>
      <c r="J24" s="7"/>
      <c r="K24" s="7"/>
      <c r="L24" s="7"/>
      <c r="M24" s="7"/>
      <c r="N24" s="7">
        <v>100</v>
      </c>
      <c r="O24" s="7"/>
      <c r="P24" s="7"/>
      <c r="Q24" s="7"/>
    </row>
    <row r="25" spans="4:17" ht="15.75" customHeight="1" x14ac:dyDescent="0.25">
      <c r="D25" s="10">
        <v>14</v>
      </c>
      <c r="E25" s="11">
        <v>44946</v>
      </c>
      <c r="F25" s="12">
        <v>269</v>
      </c>
      <c r="G25" s="7" t="s">
        <v>40</v>
      </c>
      <c r="H25" s="7">
        <v>500</v>
      </c>
      <c r="I25" s="12">
        <v>160</v>
      </c>
      <c r="J25" s="7">
        <v>500</v>
      </c>
      <c r="K25" s="7"/>
      <c r="L25" s="7"/>
      <c r="M25" s="7"/>
      <c r="N25" s="7"/>
      <c r="O25" s="7"/>
      <c r="P25" s="7"/>
      <c r="Q25" s="7"/>
    </row>
    <row r="26" spans="4:17" ht="15.75" customHeight="1" x14ac:dyDescent="0.25">
      <c r="D26" s="10">
        <v>15</v>
      </c>
      <c r="E26" s="11">
        <v>44947</v>
      </c>
      <c r="F26" s="12">
        <v>271</v>
      </c>
      <c r="G26" s="7" t="s">
        <v>41</v>
      </c>
      <c r="H26" s="7">
        <v>5000</v>
      </c>
      <c r="I26" s="12">
        <v>205</v>
      </c>
      <c r="J26" s="7"/>
      <c r="K26" s="7">
        <v>5000</v>
      </c>
      <c r="L26" s="7"/>
      <c r="M26" s="7"/>
      <c r="N26" s="7"/>
      <c r="O26" s="7"/>
      <c r="P26" s="7"/>
      <c r="Q26" s="7"/>
    </row>
    <row r="27" spans="4:17" ht="15.75" customHeight="1" x14ac:dyDescent="0.25">
      <c r="D27" s="10">
        <v>16</v>
      </c>
      <c r="E27" s="11">
        <v>44949</v>
      </c>
      <c r="F27" s="12" t="s">
        <v>27</v>
      </c>
      <c r="G27" s="7" t="s">
        <v>28</v>
      </c>
      <c r="H27" s="7">
        <v>400</v>
      </c>
      <c r="I27" s="12">
        <v>204</v>
      </c>
      <c r="J27" s="7"/>
      <c r="K27" s="7">
        <v>400</v>
      </c>
      <c r="L27" s="7"/>
      <c r="M27" s="7"/>
      <c r="N27" s="7"/>
      <c r="O27" s="7"/>
      <c r="P27" s="7"/>
      <c r="Q27" s="7"/>
    </row>
    <row r="28" spans="4:17" ht="15.75" customHeight="1" x14ac:dyDescent="0.25">
      <c r="D28" s="10">
        <v>17</v>
      </c>
      <c r="E28" s="11">
        <v>44949</v>
      </c>
      <c r="F28" s="12" t="s">
        <v>42</v>
      </c>
      <c r="G28" s="7" t="s">
        <v>43</v>
      </c>
      <c r="H28" s="7">
        <v>1000</v>
      </c>
      <c r="I28" s="12">
        <v>216</v>
      </c>
      <c r="J28" s="7"/>
      <c r="K28" s="7"/>
      <c r="L28" s="7"/>
      <c r="M28" s="7"/>
      <c r="N28" s="7">
        <v>1000</v>
      </c>
      <c r="O28" s="7"/>
      <c r="P28" s="7"/>
      <c r="Q28" s="7"/>
    </row>
    <row r="29" spans="4:17" ht="15.75" customHeight="1" x14ac:dyDescent="0.25">
      <c r="D29" s="10">
        <v>18</v>
      </c>
      <c r="E29" s="11">
        <v>44953</v>
      </c>
      <c r="F29" s="12">
        <v>275</v>
      </c>
      <c r="G29" s="7" t="s">
        <v>44</v>
      </c>
      <c r="H29" s="7">
        <v>2000</v>
      </c>
      <c r="I29" s="12">
        <v>225</v>
      </c>
      <c r="J29" s="7"/>
      <c r="K29" s="7"/>
      <c r="L29" s="7"/>
      <c r="M29" s="7"/>
      <c r="N29" s="7"/>
      <c r="O29" s="7"/>
      <c r="P29" s="7"/>
      <c r="Q29" s="7">
        <v>2000</v>
      </c>
    </row>
    <row r="30" spans="4:17" ht="15.75" customHeight="1" x14ac:dyDescent="0.25">
      <c r="D30" s="10">
        <v>19</v>
      </c>
      <c r="E30" s="11">
        <v>44953</v>
      </c>
      <c r="F30" s="12" t="s">
        <v>27</v>
      </c>
      <c r="G30" s="7" t="s">
        <v>45</v>
      </c>
      <c r="H30" s="7">
        <v>500</v>
      </c>
      <c r="I30" s="12">
        <v>212</v>
      </c>
      <c r="J30" s="7"/>
      <c r="K30" s="7"/>
      <c r="L30" s="7"/>
      <c r="M30" s="7">
        <v>500</v>
      </c>
      <c r="N30" s="7"/>
      <c r="O30" s="7"/>
      <c r="P30" s="7"/>
      <c r="Q30" s="7"/>
    </row>
    <row r="31" spans="4:17" ht="15.75" customHeight="1" x14ac:dyDescent="0.25">
      <c r="D31" s="10">
        <v>20</v>
      </c>
      <c r="E31" s="11">
        <v>44953</v>
      </c>
      <c r="F31" s="12">
        <v>276</v>
      </c>
      <c r="G31" s="7" t="s">
        <v>35</v>
      </c>
      <c r="H31" s="7">
        <v>3000</v>
      </c>
      <c r="I31" s="12">
        <v>160</v>
      </c>
      <c r="J31" s="7">
        <v>3000</v>
      </c>
      <c r="K31" s="7"/>
      <c r="L31" s="7"/>
      <c r="M31" s="7"/>
      <c r="N31" s="7"/>
      <c r="O31" s="7"/>
      <c r="P31" s="7"/>
      <c r="Q31" s="7"/>
    </row>
    <row r="32" spans="4:17" ht="15.75" customHeight="1" x14ac:dyDescent="0.25">
      <c r="D32" s="10">
        <v>21</v>
      </c>
      <c r="E32" s="11">
        <v>44954</v>
      </c>
      <c r="F32" s="12">
        <v>277</v>
      </c>
      <c r="G32" s="7" t="s">
        <v>46</v>
      </c>
      <c r="H32" s="7">
        <v>278</v>
      </c>
      <c r="I32" s="12">
        <v>160</v>
      </c>
      <c r="J32" s="7">
        <v>260</v>
      </c>
      <c r="K32" s="7"/>
      <c r="L32" s="7"/>
      <c r="M32" s="7"/>
      <c r="N32" s="7"/>
      <c r="O32" s="7"/>
      <c r="P32" s="7"/>
      <c r="Q32" s="7"/>
    </row>
    <row r="33" spans="4:17" ht="15.75" customHeight="1" x14ac:dyDescent="0.25">
      <c r="D33" s="10">
        <v>22</v>
      </c>
      <c r="E33" s="11">
        <v>44954</v>
      </c>
      <c r="F33" s="12">
        <v>279</v>
      </c>
      <c r="G33" s="7" t="s">
        <v>37</v>
      </c>
      <c r="H33" s="7">
        <v>500</v>
      </c>
      <c r="I33" s="12">
        <v>220</v>
      </c>
      <c r="J33" s="7"/>
      <c r="K33" s="7"/>
      <c r="L33" s="7"/>
      <c r="M33" s="7">
        <v>500</v>
      </c>
      <c r="N33" s="7"/>
      <c r="O33" s="7"/>
      <c r="P33" s="7"/>
      <c r="Q33" s="7"/>
    </row>
    <row r="34" spans="4:17" ht="15.75" customHeight="1" x14ac:dyDescent="0.25">
      <c r="D34" s="10">
        <v>23</v>
      </c>
      <c r="E34" s="11">
        <v>44957</v>
      </c>
      <c r="F34" s="12">
        <v>280</v>
      </c>
      <c r="G34" s="7" t="s">
        <v>41</v>
      </c>
      <c r="H34" s="7">
        <v>11500</v>
      </c>
      <c r="I34" s="12">
        <v>205</v>
      </c>
      <c r="J34" s="7"/>
      <c r="K34" s="7">
        <v>11500</v>
      </c>
      <c r="L34" s="7"/>
      <c r="M34" s="7"/>
      <c r="N34" s="7"/>
      <c r="O34" s="7"/>
      <c r="P34" s="7"/>
      <c r="Q34" s="7"/>
    </row>
    <row r="35" spans="4:17" ht="15.75" customHeight="1" x14ac:dyDescent="0.25">
      <c r="D35" s="10"/>
      <c r="E35" s="7"/>
      <c r="F35" s="12"/>
      <c r="G35" s="7"/>
      <c r="H35" s="7"/>
      <c r="I35" s="12"/>
      <c r="J35" s="7"/>
      <c r="K35" s="7"/>
      <c r="L35" s="7"/>
      <c r="M35" s="7"/>
      <c r="N35" s="7"/>
      <c r="O35" s="7"/>
      <c r="P35" s="7"/>
      <c r="Q35" s="7"/>
    </row>
    <row r="36" spans="4:17" ht="15.75" customHeight="1" x14ac:dyDescent="0.25">
      <c r="D36" s="10"/>
      <c r="E36" s="7"/>
      <c r="F36" s="12"/>
      <c r="G36" s="7"/>
      <c r="H36" s="7"/>
      <c r="I36" s="12"/>
      <c r="J36" s="7"/>
      <c r="K36" s="7"/>
      <c r="L36" s="7"/>
      <c r="M36" s="7"/>
      <c r="N36" s="7"/>
      <c r="O36" s="7"/>
      <c r="P36" s="7"/>
      <c r="Q36" s="7"/>
    </row>
    <row r="37" spans="4:17" ht="15.75" customHeight="1" x14ac:dyDescent="0.25">
      <c r="D37" s="10"/>
      <c r="E37" s="7"/>
      <c r="F37" s="12"/>
      <c r="G37" s="7"/>
      <c r="H37" s="7"/>
      <c r="I37" s="12"/>
      <c r="J37" s="7"/>
      <c r="K37" s="7"/>
      <c r="L37" s="7"/>
      <c r="M37" s="7"/>
      <c r="N37" s="7"/>
      <c r="O37" s="7"/>
      <c r="P37" s="7"/>
      <c r="Q37" s="7"/>
    </row>
    <row r="38" spans="4:17" ht="15.75" customHeight="1" x14ac:dyDescent="0.25">
      <c r="D38" s="10"/>
      <c r="E38" s="7"/>
      <c r="F38" s="12"/>
      <c r="G38" s="7"/>
      <c r="H38" s="7"/>
      <c r="I38" s="12"/>
      <c r="J38" s="7"/>
      <c r="K38" s="7"/>
      <c r="L38" s="7"/>
      <c r="M38" s="7"/>
      <c r="N38" s="7"/>
      <c r="O38" s="7"/>
      <c r="P38" s="7"/>
      <c r="Q38" s="7"/>
    </row>
    <row r="39" spans="4:17" ht="15.75" customHeight="1" x14ac:dyDescent="0.25">
      <c r="D39" s="10"/>
      <c r="E39" s="7"/>
      <c r="F39" s="12"/>
      <c r="G39" s="7"/>
      <c r="H39" s="7"/>
      <c r="I39" s="12"/>
      <c r="J39" s="7"/>
      <c r="K39" s="7"/>
      <c r="L39" s="7"/>
      <c r="M39" s="7"/>
      <c r="N39" s="7"/>
      <c r="O39" s="7"/>
      <c r="P39" s="7"/>
      <c r="Q39" s="7"/>
    </row>
    <row r="40" spans="4:17" ht="15.75" customHeight="1" x14ac:dyDescent="0.25">
      <c r="D40" s="10"/>
      <c r="E40" s="7"/>
      <c r="F40" s="12"/>
      <c r="G40" s="7"/>
      <c r="H40" s="7"/>
      <c r="I40" s="12"/>
      <c r="J40" s="7"/>
      <c r="K40" s="7"/>
      <c r="L40" s="7"/>
      <c r="M40" s="7"/>
      <c r="N40" s="7"/>
      <c r="O40" s="7"/>
      <c r="P40" s="7"/>
      <c r="Q40" s="7"/>
    </row>
    <row r="41" spans="4:17" ht="15.75" customHeight="1" x14ac:dyDescent="0.25">
      <c r="D41" s="10"/>
      <c r="E41" s="7"/>
      <c r="F41" s="12"/>
      <c r="G41" s="7"/>
      <c r="H41" s="7"/>
      <c r="I41" s="12"/>
      <c r="J41" s="7"/>
      <c r="K41" s="7"/>
      <c r="L41" s="7"/>
      <c r="M41" s="7"/>
      <c r="N41" s="7"/>
      <c r="O41" s="7"/>
      <c r="P41" s="7"/>
      <c r="Q41" s="7"/>
    </row>
    <row r="42" spans="4:17" ht="15.75" customHeight="1" x14ac:dyDescent="0.25">
      <c r="D42" s="10"/>
      <c r="E42" s="7"/>
      <c r="F42" s="12"/>
      <c r="G42" s="7"/>
      <c r="H42" s="7"/>
      <c r="I42" s="12"/>
      <c r="J42" s="7"/>
      <c r="K42" s="7"/>
      <c r="L42" s="7"/>
      <c r="M42" s="7"/>
      <c r="N42" s="7"/>
      <c r="O42" s="7"/>
      <c r="P42" s="7"/>
      <c r="Q42" s="7"/>
    </row>
    <row r="43" spans="4:17" ht="15.75" customHeight="1" x14ac:dyDescent="0.25">
      <c r="D43" s="10"/>
      <c r="E43" s="7"/>
      <c r="F43" s="12"/>
      <c r="G43" s="7"/>
      <c r="H43" s="7"/>
      <c r="I43" s="12"/>
      <c r="J43" s="7"/>
      <c r="K43" s="7"/>
      <c r="L43" s="7"/>
      <c r="M43" s="7"/>
      <c r="N43" s="7"/>
      <c r="O43" s="7"/>
      <c r="P43" s="7"/>
      <c r="Q43" s="7"/>
    </row>
    <row r="44" spans="4:17" ht="15.75" customHeight="1" x14ac:dyDescent="0.25">
      <c r="D44" s="10"/>
      <c r="E44" s="7"/>
      <c r="F44" s="12"/>
      <c r="G44" s="7"/>
      <c r="H44" s="7"/>
      <c r="I44" s="12"/>
      <c r="J44" s="7"/>
      <c r="K44" s="7"/>
      <c r="L44" s="7"/>
      <c r="M44" s="7"/>
      <c r="N44" s="7"/>
      <c r="O44" s="7"/>
      <c r="P44" s="7"/>
      <c r="Q44" s="7"/>
    </row>
    <row r="45" spans="4:17" ht="15.75" customHeight="1" x14ac:dyDescent="0.25">
      <c r="D45" s="10"/>
      <c r="E45" s="7"/>
      <c r="F45" s="12"/>
      <c r="G45" s="7"/>
      <c r="H45" s="7"/>
      <c r="I45" s="12"/>
      <c r="J45" s="7"/>
      <c r="K45" s="7"/>
      <c r="L45" s="7"/>
      <c r="M45" s="7"/>
      <c r="N45" s="7"/>
      <c r="O45" s="7"/>
      <c r="P45" s="7"/>
      <c r="Q45" s="7"/>
    </row>
    <row r="46" spans="4:17" ht="15.75" customHeight="1" x14ac:dyDescent="0.25">
      <c r="D46" s="10"/>
      <c r="E46" s="7"/>
      <c r="F46" s="12"/>
      <c r="G46" s="7"/>
      <c r="H46" s="7"/>
      <c r="I46" s="12"/>
      <c r="J46" s="7"/>
      <c r="K46" s="7"/>
      <c r="L46" s="7"/>
      <c r="M46" s="7"/>
      <c r="N46" s="7"/>
      <c r="O46" s="7"/>
      <c r="P46" s="7"/>
      <c r="Q46" s="7"/>
    </row>
    <row r="47" spans="4:17" ht="15.75" customHeight="1" x14ac:dyDescent="0.25">
      <c r="D47" s="10"/>
      <c r="E47" s="7"/>
      <c r="F47" s="12"/>
      <c r="G47" s="7"/>
      <c r="H47" s="7"/>
      <c r="I47" s="12"/>
      <c r="J47" s="7"/>
      <c r="K47" s="7"/>
      <c r="L47" s="7"/>
      <c r="M47" s="7"/>
      <c r="N47" s="7"/>
      <c r="O47" s="7"/>
      <c r="P47" s="7"/>
      <c r="Q47" s="7"/>
    </row>
    <row r="48" spans="4:17" ht="15.75" customHeight="1" x14ac:dyDescent="0.25">
      <c r="D48" s="10"/>
      <c r="E48" s="7"/>
      <c r="F48" s="12"/>
      <c r="G48" s="7"/>
      <c r="H48" s="7"/>
      <c r="I48" s="12"/>
      <c r="J48" s="7"/>
      <c r="K48" s="7"/>
      <c r="L48" s="7"/>
      <c r="M48" s="7"/>
      <c r="N48" s="7"/>
      <c r="O48" s="7"/>
      <c r="P48" s="7"/>
      <c r="Q48" s="7"/>
    </row>
    <row r="49" spans="4:17" ht="15.75" customHeight="1" x14ac:dyDescent="0.25">
      <c r="D49" s="10"/>
      <c r="E49" s="7"/>
      <c r="F49" s="12"/>
      <c r="G49" s="7"/>
      <c r="H49" s="7"/>
      <c r="I49" s="12"/>
      <c r="J49" s="7"/>
      <c r="K49" s="7"/>
      <c r="L49" s="7"/>
      <c r="M49" s="7"/>
      <c r="N49" s="7"/>
      <c r="O49" s="7"/>
      <c r="P49" s="7"/>
      <c r="Q49" s="7"/>
    </row>
    <row r="50" spans="4:17" ht="15.75" customHeight="1" x14ac:dyDescent="0.25">
      <c r="D50" s="10"/>
      <c r="E50" s="7"/>
      <c r="F50" s="12"/>
      <c r="G50" s="7"/>
      <c r="H50" s="7"/>
      <c r="I50" s="12"/>
      <c r="J50" s="7"/>
      <c r="K50" s="7"/>
      <c r="L50" s="7"/>
      <c r="M50" s="7"/>
      <c r="N50" s="7"/>
      <c r="O50" s="7"/>
      <c r="P50" s="7"/>
      <c r="Q50" s="7"/>
    </row>
    <row r="51" spans="4:17" ht="15.75" customHeight="1" x14ac:dyDescent="0.25">
      <c r="D51" s="10"/>
      <c r="E51" s="7"/>
      <c r="F51" s="12"/>
      <c r="G51" s="7"/>
      <c r="H51" s="7"/>
      <c r="I51" s="12"/>
      <c r="J51" s="7"/>
      <c r="K51" s="7"/>
      <c r="L51" s="7"/>
      <c r="M51" s="7"/>
      <c r="N51" s="7"/>
      <c r="O51" s="7"/>
      <c r="P51" s="7"/>
      <c r="Q51" s="7"/>
    </row>
    <row r="52" spans="4:17" ht="15.75" customHeight="1" x14ac:dyDescent="0.25">
      <c r="D52" s="10"/>
      <c r="E52" s="7"/>
      <c r="F52" s="12"/>
      <c r="G52" s="7"/>
      <c r="H52" s="7"/>
      <c r="I52" s="12"/>
      <c r="J52" s="7"/>
      <c r="K52" s="7"/>
      <c r="L52" s="7"/>
      <c r="M52" s="7"/>
      <c r="N52" s="7"/>
      <c r="O52" s="7"/>
      <c r="P52" s="7"/>
      <c r="Q52" s="7"/>
    </row>
    <row r="53" spans="4:17" ht="15.75" customHeight="1" x14ac:dyDescent="0.25">
      <c r="D53" s="13" t="s">
        <v>3</v>
      </c>
      <c r="E53" s="14"/>
      <c r="F53" s="14"/>
      <c r="G53" s="14"/>
      <c r="H53" s="14">
        <f>SUM(H12:H52)</f>
        <v>37973</v>
      </c>
      <c r="I53" s="14"/>
      <c r="J53" s="14">
        <f>SUM('Jan 2023'!$J$12:$J$52)</f>
        <v>6980</v>
      </c>
      <c r="K53" s="14">
        <f>SUM('Jan 2023'!$K$12:$K$52)</f>
        <v>23100</v>
      </c>
      <c r="L53" s="14">
        <f>SUM('Jan 2023'!$L$12:$L$52)</f>
        <v>950</v>
      </c>
      <c r="M53" s="14">
        <f>SUM('Jan 2023'!$M$12:$M$52)</f>
        <v>1275</v>
      </c>
      <c r="N53" s="14">
        <f>SUM('Jan 2023'!$N$12:$N$52)</f>
        <v>1100</v>
      </c>
      <c r="O53" s="14">
        <f>SUM('Jan 2023'!$O$12:$O$52)</f>
        <v>0</v>
      </c>
      <c r="P53" s="14">
        <f>SUM('Jan 2023'!$P$12:$P$52)</f>
        <v>600</v>
      </c>
      <c r="Q53" s="14">
        <f>SUM('Jan 2023'!$Q$12:$Q$52)</f>
        <v>3950</v>
      </c>
    </row>
    <row r="54" spans="4:17" ht="15.75" customHeight="1" x14ac:dyDescent="0.25">
      <c r="D54" s="1"/>
    </row>
    <row r="55" spans="4:17" ht="15.75" customHeight="1" x14ac:dyDescent="0.25">
      <c r="D55" s="1"/>
      <c r="E55" s="1"/>
    </row>
    <row r="56" spans="4:17" ht="15.75" customHeight="1" x14ac:dyDescent="0.25">
      <c r="D56" s="1"/>
    </row>
    <row r="57" spans="4:17" ht="15.75" customHeight="1" x14ac:dyDescent="0.25">
      <c r="D57" s="1"/>
    </row>
    <row r="58" spans="4:17" ht="15.75" customHeight="1" x14ac:dyDescent="0.25">
      <c r="D58" s="1"/>
    </row>
    <row r="59" spans="4:17" ht="15.75" customHeight="1" x14ac:dyDescent="0.25">
      <c r="D59" s="1"/>
    </row>
    <row r="60" spans="4:17" ht="15.75" customHeight="1" x14ac:dyDescent="0.25">
      <c r="D60" s="1"/>
    </row>
    <row r="61" spans="4:17" ht="15.75" customHeight="1" x14ac:dyDescent="0.25">
      <c r="D61" s="1"/>
    </row>
    <row r="62" spans="4:17" ht="15.75" customHeight="1" x14ac:dyDescent="0.25">
      <c r="D62" s="1"/>
    </row>
    <row r="63" spans="4:17" ht="15.75" customHeight="1" x14ac:dyDescent="0.25">
      <c r="D63" s="1"/>
    </row>
    <row r="64" spans="4:17" ht="15.75" customHeight="1" x14ac:dyDescent="0.25">
      <c r="D64" s="1"/>
    </row>
    <row r="65" spans="4:4" ht="15.75" customHeight="1" x14ac:dyDescent="0.25">
      <c r="D65" s="1"/>
    </row>
    <row r="66" spans="4:4" ht="15.75" customHeight="1" x14ac:dyDescent="0.25">
      <c r="D66" s="1"/>
    </row>
    <row r="67" spans="4:4" ht="15.75" customHeight="1" x14ac:dyDescent="0.25">
      <c r="D67" s="1"/>
    </row>
    <row r="68" spans="4:4" ht="15.75" customHeight="1" x14ac:dyDescent="0.25">
      <c r="D68" s="1"/>
    </row>
    <row r="69" spans="4:4" ht="15.75" customHeight="1" x14ac:dyDescent="0.25">
      <c r="D69" s="1"/>
    </row>
    <row r="70" spans="4:4" ht="15.75" customHeight="1" x14ac:dyDescent="0.25">
      <c r="D70" s="1"/>
    </row>
    <row r="71" spans="4:4" ht="15.75" customHeight="1" x14ac:dyDescent="0.25">
      <c r="D71" s="1"/>
    </row>
    <row r="72" spans="4:4" ht="15.75" customHeight="1" x14ac:dyDescent="0.25">
      <c r="D72" s="1"/>
    </row>
    <row r="73" spans="4:4" ht="15.75" customHeight="1" x14ac:dyDescent="0.25">
      <c r="D73" s="1"/>
    </row>
    <row r="74" spans="4:4" ht="15.75" customHeight="1" x14ac:dyDescent="0.25">
      <c r="D74" s="1"/>
    </row>
    <row r="75" spans="4:4" ht="15.75" customHeight="1" x14ac:dyDescent="0.25">
      <c r="D75" s="1"/>
    </row>
    <row r="76" spans="4:4" ht="15.75" customHeight="1" x14ac:dyDescent="0.25">
      <c r="D76" s="1"/>
    </row>
    <row r="77" spans="4:4" ht="15.75" customHeight="1" x14ac:dyDescent="0.25">
      <c r="D77" s="1"/>
    </row>
    <row r="78" spans="4:4" ht="15.75" customHeight="1" x14ac:dyDescent="0.25">
      <c r="D78" s="1"/>
    </row>
    <row r="79" spans="4:4" ht="15.75" customHeight="1" x14ac:dyDescent="0.25">
      <c r="D79" s="1"/>
    </row>
    <row r="80" spans="4:4" ht="15.75" customHeight="1" x14ac:dyDescent="0.25">
      <c r="D80" s="1"/>
    </row>
    <row r="81" spans="4:4" ht="15.75" customHeight="1" x14ac:dyDescent="0.25">
      <c r="D81" s="1"/>
    </row>
    <row r="82" spans="4:4" ht="15.75" customHeight="1" x14ac:dyDescent="0.25">
      <c r="D82" s="1"/>
    </row>
    <row r="83" spans="4:4" ht="15.75" customHeight="1" x14ac:dyDescent="0.25">
      <c r="D83" s="1"/>
    </row>
    <row r="84" spans="4:4" ht="15.75" customHeight="1" x14ac:dyDescent="0.25">
      <c r="D84" s="1"/>
    </row>
    <row r="85" spans="4:4" ht="15.75" customHeight="1" x14ac:dyDescent="0.25">
      <c r="D85" s="1"/>
    </row>
    <row r="86" spans="4:4" ht="15.75" customHeight="1" x14ac:dyDescent="0.25">
      <c r="D86" s="1"/>
    </row>
    <row r="87" spans="4:4" ht="15.75" customHeight="1" x14ac:dyDescent="0.25">
      <c r="D87" s="1"/>
    </row>
    <row r="88" spans="4:4" ht="15.75" customHeight="1" x14ac:dyDescent="0.25">
      <c r="D88" s="1"/>
    </row>
    <row r="89" spans="4:4" ht="15.75" customHeight="1" x14ac:dyDescent="0.25">
      <c r="D89" s="1"/>
    </row>
    <row r="90" spans="4:4" ht="15.75" customHeight="1" x14ac:dyDescent="0.25">
      <c r="D90" s="1"/>
    </row>
    <row r="91" spans="4:4" ht="15.75" customHeight="1" x14ac:dyDescent="0.25">
      <c r="D91" s="1"/>
    </row>
    <row r="92" spans="4:4" ht="15.75" customHeight="1" x14ac:dyDescent="0.25">
      <c r="D92" s="1"/>
    </row>
    <row r="93" spans="4:4" ht="15.75" customHeight="1" x14ac:dyDescent="0.25">
      <c r="D93" s="1"/>
    </row>
    <row r="94" spans="4:4" ht="15.75" customHeight="1" x14ac:dyDescent="0.25">
      <c r="D94" s="1"/>
    </row>
    <row r="95" spans="4:4" ht="15.75" customHeight="1" x14ac:dyDescent="0.25">
      <c r="D95" s="1"/>
    </row>
    <row r="96" spans="4:4" ht="15.75" customHeight="1" x14ac:dyDescent="0.25">
      <c r="D96" s="1"/>
    </row>
    <row r="97" spans="4:4" ht="15.75" customHeight="1" x14ac:dyDescent="0.25">
      <c r="D97" s="1"/>
    </row>
    <row r="98" spans="4:4" ht="15.75" customHeight="1" x14ac:dyDescent="0.25">
      <c r="D98" s="1"/>
    </row>
    <row r="99" spans="4:4" ht="15.75" customHeight="1" x14ac:dyDescent="0.25">
      <c r="D99" s="1"/>
    </row>
    <row r="100" spans="4:4" ht="15.75" customHeight="1" x14ac:dyDescent="0.25">
      <c r="D100" s="1"/>
    </row>
    <row r="101" spans="4:4" ht="15.75" customHeight="1" x14ac:dyDescent="0.25">
      <c r="D101" s="1"/>
    </row>
    <row r="102" spans="4:4" ht="15.75" customHeight="1" x14ac:dyDescent="0.25">
      <c r="D102" s="1"/>
    </row>
    <row r="103" spans="4:4" ht="15.75" customHeight="1" x14ac:dyDescent="0.25">
      <c r="D103" s="1"/>
    </row>
    <row r="104" spans="4:4" ht="15.75" customHeight="1" x14ac:dyDescent="0.25">
      <c r="D104" s="1"/>
    </row>
    <row r="105" spans="4:4" ht="15.75" customHeight="1" x14ac:dyDescent="0.25">
      <c r="D105" s="1"/>
    </row>
    <row r="106" spans="4:4" ht="15.75" customHeight="1" x14ac:dyDescent="0.25">
      <c r="D106" s="1"/>
    </row>
    <row r="107" spans="4:4" ht="15.75" customHeight="1" x14ac:dyDescent="0.25">
      <c r="D107" s="1"/>
    </row>
    <row r="108" spans="4:4" ht="15.75" customHeight="1" x14ac:dyDescent="0.25">
      <c r="D108" s="1"/>
    </row>
    <row r="109" spans="4:4" ht="15.75" customHeight="1" x14ac:dyDescent="0.25">
      <c r="D109" s="1"/>
    </row>
    <row r="110" spans="4:4" ht="15.75" customHeight="1" x14ac:dyDescent="0.25">
      <c r="D110" s="1"/>
    </row>
    <row r="111" spans="4:4" ht="15.75" customHeight="1" x14ac:dyDescent="0.25">
      <c r="D111" s="1"/>
    </row>
    <row r="112" spans="4:4" ht="15.75" customHeight="1" x14ac:dyDescent="0.25">
      <c r="D112" s="1"/>
    </row>
    <row r="113" spans="4:4" ht="15.75" customHeight="1" x14ac:dyDescent="0.25">
      <c r="D113" s="1"/>
    </row>
    <row r="114" spans="4:4" ht="15.75" customHeight="1" x14ac:dyDescent="0.25">
      <c r="D114" s="1"/>
    </row>
    <row r="115" spans="4:4" ht="15.75" customHeight="1" x14ac:dyDescent="0.25">
      <c r="D115" s="1"/>
    </row>
    <row r="116" spans="4:4" ht="15.75" customHeight="1" x14ac:dyDescent="0.25">
      <c r="D116" s="1"/>
    </row>
    <row r="117" spans="4:4" ht="15.75" customHeight="1" x14ac:dyDescent="0.25">
      <c r="D117" s="1"/>
    </row>
    <row r="118" spans="4:4" ht="15.75" customHeight="1" x14ac:dyDescent="0.25">
      <c r="D118" s="1"/>
    </row>
    <row r="119" spans="4:4" ht="15.75" customHeight="1" x14ac:dyDescent="0.25">
      <c r="D119" s="1"/>
    </row>
    <row r="120" spans="4:4" ht="15.75" customHeight="1" x14ac:dyDescent="0.25">
      <c r="D120" s="1"/>
    </row>
    <row r="121" spans="4:4" ht="15.75" customHeight="1" x14ac:dyDescent="0.25">
      <c r="D121" s="1"/>
    </row>
    <row r="122" spans="4:4" ht="15.75" customHeight="1" x14ac:dyDescent="0.25">
      <c r="D122" s="1"/>
    </row>
    <row r="123" spans="4:4" ht="15.75" customHeight="1" x14ac:dyDescent="0.25">
      <c r="D123" s="1"/>
    </row>
    <row r="124" spans="4:4" ht="15.75" customHeight="1" x14ac:dyDescent="0.25">
      <c r="D124" s="1"/>
    </row>
    <row r="125" spans="4:4" ht="15.75" customHeight="1" x14ac:dyDescent="0.25">
      <c r="D125" s="1"/>
    </row>
    <row r="126" spans="4:4" ht="15.75" customHeight="1" x14ac:dyDescent="0.25">
      <c r="D126" s="1"/>
    </row>
    <row r="127" spans="4:4" ht="15.75" customHeight="1" x14ac:dyDescent="0.25">
      <c r="D127" s="1"/>
    </row>
    <row r="128" spans="4:4" ht="15.75" customHeight="1" x14ac:dyDescent="0.25">
      <c r="D128" s="1"/>
    </row>
    <row r="129" spans="4:4" ht="15.75" customHeight="1" x14ac:dyDescent="0.25">
      <c r="D129" s="1"/>
    </row>
    <row r="130" spans="4:4" ht="15.75" customHeight="1" x14ac:dyDescent="0.25">
      <c r="D130" s="1"/>
    </row>
    <row r="131" spans="4:4" ht="15.75" customHeight="1" x14ac:dyDescent="0.25">
      <c r="D131" s="1"/>
    </row>
    <row r="132" spans="4:4" ht="15.75" customHeight="1" x14ac:dyDescent="0.25">
      <c r="D132" s="1"/>
    </row>
    <row r="133" spans="4:4" ht="15.75" customHeight="1" x14ac:dyDescent="0.25">
      <c r="D133" s="1"/>
    </row>
    <row r="134" spans="4:4" ht="15.75" customHeight="1" x14ac:dyDescent="0.25">
      <c r="D134" s="1"/>
    </row>
    <row r="135" spans="4:4" ht="15.75" customHeight="1" x14ac:dyDescent="0.25">
      <c r="D135" s="1"/>
    </row>
    <row r="136" spans="4:4" ht="15.75" customHeight="1" x14ac:dyDescent="0.25">
      <c r="D136" s="1"/>
    </row>
    <row r="137" spans="4:4" ht="15.75" customHeight="1" x14ac:dyDescent="0.25">
      <c r="D137" s="1"/>
    </row>
    <row r="138" spans="4:4" ht="15.75" customHeight="1" x14ac:dyDescent="0.25">
      <c r="D138" s="1"/>
    </row>
    <row r="139" spans="4:4" ht="15.75" customHeight="1" x14ac:dyDescent="0.25">
      <c r="D139" s="1"/>
    </row>
    <row r="140" spans="4:4" ht="15.75" customHeight="1" x14ac:dyDescent="0.25">
      <c r="D140" s="1"/>
    </row>
    <row r="141" spans="4:4" ht="15.75" customHeight="1" x14ac:dyDescent="0.25">
      <c r="D141" s="1"/>
    </row>
    <row r="142" spans="4:4" ht="15.75" customHeight="1" x14ac:dyDescent="0.25">
      <c r="D142" s="1"/>
    </row>
    <row r="143" spans="4:4" ht="15.75" customHeight="1" x14ac:dyDescent="0.25">
      <c r="D143" s="1"/>
    </row>
    <row r="144" spans="4:4" ht="15.75" customHeight="1" x14ac:dyDescent="0.25">
      <c r="D144" s="1"/>
    </row>
    <row r="145" spans="4:4" ht="15.75" customHeight="1" x14ac:dyDescent="0.25">
      <c r="D145" s="1"/>
    </row>
    <row r="146" spans="4:4" ht="15.75" customHeight="1" x14ac:dyDescent="0.25">
      <c r="D146" s="1"/>
    </row>
    <row r="147" spans="4:4" ht="15.75" customHeight="1" x14ac:dyDescent="0.25">
      <c r="D147" s="1"/>
    </row>
    <row r="148" spans="4:4" ht="15.75" customHeight="1" x14ac:dyDescent="0.25">
      <c r="D148" s="1"/>
    </row>
    <row r="149" spans="4:4" ht="15.75" customHeight="1" x14ac:dyDescent="0.25">
      <c r="D149" s="1"/>
    </row>
    <row r="150" spans="4:4" ht="15.75" customHeight="1" x14ac:dyDescent="0.25">
      <c r="D150" s="1"/>
    </row>
    <row r="151" spans="4:4" ht="15.75" customHeight="1" x14ac:dyDescent="0.25">
      <c r="D151" s="1"/>
    </row>
    <row r="152" spans="4:4" ht="15.75" customHeight="1" x14ac:dyDescent="0.25">
      <c r="D152" s="1"/>
    </row>
    <row r="153" spans="4:4" ht="15.75" customHeight="1" x14ac:dyDescent="0.25">
      <c r="D153" s="1"/>
    </row>
    <row r="154" spans="4:4" ht="15.75" customHeight="1" x14ac:dyDescent="0.25">
      <c r="D154" s="1"/>
    </row>
    <row r="155" spans="4:4" ht="15.75" customHeight="1" x14ac:dyDescent="0.25">
      <c r="D155" s="1"/>
    </row>
    <row r="156" spans="4:4" ht="15.75" customHeight="1" x14ac:dyDescent="0.25">
      <c r="D156" s="1"/>
    </row>
    <row r="157" spans="4:4" ht="15.75" customHeight="1" x14ac:dyDescent="0.25">
      <c r="D157" s="1"/>
    </row>
    <row r="158" spans="4:4" ht="15.75" customHeight="1" x14ac:dyDescent="0.25">
      <c r="D158" s="1"/>
    </row>
    <row r="159" spans="4:4" ht="15.75" customHeight="1" x14ac:dyDescent="0.25">
      <c r="D159" s="1"/>
    </row>
    <row r="160" spans="4:4" ht="15.75" customHeight="1" x14ac:dyDescent="0.25">
      <c r="D160" s="1"/>
    </row>
    <row r="161" spans="4:4" ht="15.75" customHeight="1" x14ac:dyDescent="0.25">
      <c r="D161" s="1"/>
    </row>
    <row r="162" spans="4:4" ht="15.75" customHeight="1" x14ac:dyDescent="0.25">
      <c r="D162" s="1"/>
    </row>
    <row r="163" spans="4:4" ht="15.75" customHeight="1" x14ac:dyDescent="0.25">
      <c r="D163" s="1"/>
    </row>
    <row r="164" spans="4:4" ht="15.75" customHeight="1" x14ac:dyDescent="0.25">
      <c r="D164" s="1"/>
    </row>
    <row r="165" spans="4:4" ht="15.75" customHeight="1" x14ac:dyDescent="0.25">
      <c r="D165" s="1"/>
    </row>
    <row r="166" spans="4:4" ht="15.75" customHeight="1" x14ac:dyDescent="0.25">
      <c r="D166" s="1"/>
    </row>
    <row r="167" spans="4:4" ht="15.75" customHeight="1" x14ac:dyDescent="0.25">
      <c r="D167" s="1"/>
    </row>
    <row r="168" spans="4:4" ht="15.75" customHeight="1" x14ac:dyDescent="0.25">
      <c r="D168" s="1"/>
    </row>
    <row r="169" spans="4:4" ht="15.75" customHeight="1" x14ac:dyDescent="0.25">
      <c r="D169" s="1"/>
    </row>
    <row r="170" spans="4:4" ht="15.75" customHeight="1" x14ac:dyDescent="0.25">
      <c r="D170" s="1"/>
    </row>
    <row r="171" spans="4:4" ht="15.75" customHeight="1" x14ac:dyDescent="0.25">
      <c r="D171" s="1"/>
    </row>
    <row r="172" spans="4:4" ht="15.75" customHeight="1" x14ac:dyDescent="0.25">
      <c r="D172" s="1"/>
    </row>
    <row r="173" spans="4:4" ht="15.75" customHeight="1" x14ac:dyDescent="0.25">
      <c r="D173" s="1"/>
    </row>
    <row r="174" spans="4:4" ht="15.75" customHeight="1" x14ac:dyDescent="0.25">
      <c r="D174" s="1"/>
    </row>
    <row r="175" spans="4:4" ht="15.75" customHeight="1" x14ac:dyDescent="0.25">
      <c r="D175" s="1"/>
    </row>
    <row r="176" spans="4:4" ht="15.75" customHeight="1" x14ac:dyDescent="0.25">
      <c r="D176" s="1"/>
    </row>
    <row r="177" spans="4:4" ht="15.75" customHeight="1" x14ac:dyDescent="0.25">
      <c r="D177" s="1"/>
    </row>
    <row r="178" spans="4:4" ht="15.75" customHeight="1" x14ac:dyDescent="0.25">
      <c r="D178" s="1"/>
    </row>
    <row r="179" spans="4:4" ht="15.75" customHeight="1" x14ac:dyDescent="0.25">
      <c r="D179" s="1"/>
    </row>
    <row r="180" spans="4:4" ht="15.75" customHeight="1" x14ac:dyDescent="0.25">
      <c r="D180" s="1"/>
    </row>
    <row r="181" spans="4:4" ht="15.75" customHeight="1" x14ac:dyDescent="0.25">
      <c r="D181" s="1"/>
    </row>
    <row r="182" spans="4:4" ht="15.75" customHeight="1" x14ac:dyDescent="0.25">
      <c r="D182" s="1"/>
    </row>
    <row r="183" spans="4:4" ht="15.75" customHeight="1" x14ac:dyDescent="0.25">
      <c r="D183" s="1"/>
    </row>
    <row r="184" spans="4:4" ht="15.75" customHeight="1" x14ac:dyDescent="0.25">
      <c r="D184" s="1"/>
    </row>
    <row r="185" spans="4:4" ht="15.75" customHeight="1" x14ac:dyDescent="0.25">
      <c r="D185" s="1"/>
    </row>
    <row r="186" spans="4:4" ht="15.75" customHeight="1" x14ac:dyDescent="0.25">
      <c r="D186" s="1"/>
    </row>
    <row r="187" spans="4:4" ht="15.75" customHeight="1" x14ac:dyDescent="0.25">
      <c r="D187" s="1"/>
    </row>
    <row r="188" spans="4:4" ht="15.75" customHeight="1" x14ac:dyDescent="0.25">
      <c r="D188" s="1"/>
    </row>
    <row r="189" spans="4:4" ht="15.75" customHeight="1" x14ac:dyDescent="0.25">
      <c r="D189" s="1"/>
    </row>
    <row r="190" spans="4:4" ht="15.75" customHeight="1" x14ac:dyDescent="0.25">
      <c r="D190" s="1"/>
    </row>
    <row r="191" spans="4:4" ht="15.75" customHeight="1" x14ac:dyDescent="0.25">
      <c r="D191" s="1"/>
    </row>
    <row r="192" spans="4:4" ht="15.75" customHeight="1" x14ac:dyDescent="0.25">
      <c r="D192" s="1"/>
    </row>
    <row r="193" spans="4:4" ht="15.75" customHeight="1" x14ac:dyDescent="0.25">
      <c r="D193" s="1"/>
    </row>
    <row r="194" spans="4:4" ht="15.75" customHeight="1" x14ac:dyDescent="0.25">
      <c r="D194" s="1"/>
    </row>
    <row r="195" spans="4:4" ht="15.75" customHeight="1" x14ac:dyDescent="0.25">
      <c r="D195" s="1"/>
    </row>
    <row r="196" spans="4:4" ht="15.75" customHeight="1" x14ac:dyDescent="0.25">
      <c r="D196" s="1"/>
    </row>
    <row r="197" spans="4:4" ht="15.75" customHeight="1" x14ac:dyDescent="0.25">
      <c r="D197" s="1"/>
    </row>
    <row r="198" spans="4:4" ht="15.75" customHeight="1" x14ac:dyDescent="0.25">
      <c r="D198" s="1"/>
    </row>
    <row r="199" spans="4:4" ht="15.75" customHeight="1" x14ac:dyDescent="0.25">
      <c r="D199" s="1"/>
    </row>
    <row r="200" spans="4:4" ht="15.75" customHeight="1" x14ac:dyDescent="0.25">
      <c r="D200" s="1"/>
    </row>
    <row r="201" spans="4:4" ht="15.75" customHeight="1" x14ac:dyDescent="0.25">
      <c r="D201" s="1"/>
    </row>
    <row r="202" spans="4:4" ht="15.75" customHeight="1" x14ac:dyDescent="0.25">
      <c r="D202" s="1"/>
    </row>
    <row r="203" spans="4:4" ht="15.75" customHeight="1" x14ac:dyDescent="0.25">
      <c r="D203" s="1"/>
    </row>
    <row r="204" spans="4:4" ht="15.75" customHeight="1" x14ac:dyDescent="0.25">
      <c r="D204" s="1"/>
    </row>
    <row r="205" spans="4:4" ht="15.75" customHeight="1" x14ac:dyDescent="0.25">
      <c r="D205" s="1"/>
    </row>
    <row r="206" spans="4:4" ht="15.75" customHeight="1" x14ac:dyDescent="0.25">
      <c r="D206" s="1"/>
    </row>
    <row r="207" spans="4:4" ht="15.75" customHeight="1" x14ac:dyDescent="0.25">
      <c r="D207" s="1"/>
    </row>
    <row r="208" spans="4:4" ht="15.75" customHeight="1" x14ac:dyDescent="0.25">
      <c r="D208" s="1"/>
    </row>
    <row r="209" spans="4:4" ht="15.75" customHeight="1" x14ac:dyDescent="0.25">
      <c r="D209" s="1"/>
    </row>
    <row r="210" spans="4:4" ht="15.75" customHeight="1" x14ac:dyDescent="0.25">
      <c r="D210" s="1"/>
    </row>
    <row r="211" spans="4:4" ht="15.75" customHeight="1" x14ac:dyDescent="0.25">
      <c r="D211" s="1"/>
    </row>
    <row r="212" spans="4:4" ht="15.75" customHeight="1" x14ac:dyDescent="0.25">
      <c r="D212" s="1"/>
    </row>
    <row r="213" spans="4:4" ht="15.75" customHeight="1" x14ac:dyDescent="0.25">
      <c r="D213" s="1"/>
    </row>
    <row r="214" spans="4:4" ht="15.75" customHeight="1" x14ac:dyDescent="0.25">
      <c r="D214" s="1"/>
    </row>
    <row r="215" spans="4:4" ht="15.75" customHeight="1" x14ac:dyDescent="0.25">
      <c r="D215" s="1"/>
    </row>
    <row r="216" spans="4:4" ht="15.75" customHeight="1" x14ac:dyDescent="0.25">
      <c r="D216" s="1"/>
    </row>
    <row r="217" spans="4:4" ht="15.75" customHeight="1" x14ac:dyDescent="0.25">
      <c r="D217" s="1"/>
    </row>
    <row r="218" spans="4:4" ht="15.75" customHeight="1" x14ac:dyDescent="0.25">
      <c r="D218" s="1"/>
    </row>
    <row r="219" spans="4:4" ht="15.75" customHeight="1" x14ac:dyDescent="0.25">
      <c r="D219" s="1"/>
    </row>
    <row r="220" spans="4:4" ht="15.75" customHeight="1" x14ac:dyDescent="0.25">
      <c r="D220" s="1"/>
    </row>
    <row r="221" spans="4:4" ht="15.75" customHeight="1" x14ac:dyDescent="0.25">
      <c r="D221" s="1"/>
    </row>
    <row r="222" spans="4:4" ht="15.75" customHeight="1" x14ac:dyDescent="0.25">
      <c r="D222" s="1"/>
    </row>
    <row r="223" spans="4:4" ht="15.75" customHeight="1" x14ac:dyDescent="0.25">
      <c r="D223" s="1"/>
    </row>
    <row r="224" spans="4:4" ht="15.75" customHeight="1" x14ac:dyDescent="0.25">
      <c r="D224" s="1"/>
    </row>
    <row r="225" spans="4:4" ht="15.75" customHeight="1" x14ac:dyDescent="0.25">
      <c r="D225" s="1"/>
    </row>
    <row r="226" spans="4:4" ht="15.75" customHeight="1" x14ac:dyDescent="0.25">
      <c r="D226" s="1"/>
    </row>
    <row r="227" spans="4:4" ht="15.75" customHeight="1" x14ac:dyDescent="0.25">
      <c r="D227" s="1"/>
    </row>
    <row r="228" spans="4:4" ht="15.75" customHeight="1" x14ac:dyDescent="0.25">
      <c r="D228" s="1"/>
    </row>
    <row r="229" spans="4:4" ht="15.75" customHeight="1" x14ac:dyDescent="0.25">
      <c r="D229" s="1"/>
    </row>
    <row r="230" spans="4:4" ht="15.75" customHeight="1" x14ac:dyDescent="0.25">
      <c r="D230" s="1"/>
    </row>
    <row r="231" spans="4:4" ht="15.75" customHeight="1" x14ac:dyDescent="0.25">
      <c r="D231" s="1"/>
    </row>
    <row r="232" spans="4:4" ht="15.75" customHeight="1" x14ac:dyDescent="0.25">
      <c r="D232" s="1"/>
    </row>
    <row r="233" spans="4:4" ht="15.75" customHeight="1" x14ac:dyDescent="0.25">
      <c r="D233" s="1"/>
    </row>
    <row r="234" spans="4:4" ht="15.75" customHeight="1" x14ac:dyDescent="0.25">
      <c r="D234" s="1"/>
    </row>
    <row r="235" spans="4:4" ht="15.75" customHeight="1" x14ac:dyDescent="0.25">
      <c r="D235" s="1"/>
    </row>
    <row r="236" spans="4:4" ht="15.75" customHeight="1" x14ac:dyDescent="0.25">
      <c r="D236" s="1"/>
    </row>
    <row r="237" spans="4:4" ht="15.75" customHeight="1" x14ac:dyDescent="0.25">
      <c r="D237" s="1"/>
    </row>
    <row r="238" spans="4:4" ht="15.75" customHeight="1" x14ac:dyDescent="0.25">
      <c r="D238" s="1"/>
    </row>
    <row r="239" spans="4:4" ht="15.75" customHeight="1" x14ac:dyDescent="0.25">
      <c r="D239" s="1"/>
    </row>
    <row r="240" spans="4:4" ht="15.75" customHeight="1" x14ac:dyDescent="0.25">
      <c r="D240" s="1"/>
    </row>
    <row r="241" spans="4:4" ht="15.75" customHeight="1" x14ac:dyDescent="0.25">
      <c r="D241" s="1"/>
    </row>
    <row r="242" spans="4:4" ht="15.75" customHeight="1" x14ac:dyDescent="0.25">
      <c r="D242" s="1"/>
    </row>
    <row r="243" spans="4:4" ht="15.75" customHeight="1" x14ac:dyDescent="0.25">
      <c r="D243" s="1"/>
    </row>
    <row r="244" spans="4:4" ht="15.75" customHeight="1" x14ac:dyDescent="0.25">
      <c r="D244" s="1"/>
    </row>
    <row r="245" spans="4:4" ht="15.75" customHeight="1" x14ac:dyDescent="0.25">
      <c r="D245" s="1"/>
    </row>
    <row r="246" spans="4:4" ht="15.75" customHeight="1" x14ac:dyDescent="0.25">
      <c r="D246" s="1"/>
    </row>
    <row r="247" spans="4:4" ht="15.75" customHeight="1" x14ac:dyDescent="0.25">
      <c r="D247" s="1"/>
    </row>
    <row r="248" spans="4:4" ht="15.75" customHeight="1" x14ac:dyDescent="0.25">
      <c r="D248" s="1"/>
    </row>
    <row r="249" spans="4:4" ht="15.75" customHeight="1" x14ac:dyDescent="0.25">
      <c r="D249" s="1"/>
    </row>
    <row r="250" spans="4:4" ht="15.75" customHeight="1" x14ac:dyDescent="0.25">
      <c r="D250" s="1"/>
    </row>
    <row r="251" spans="4:4" ht="15.75" customHeight="1" x14ac:dyDescent="0.25">
      <c r="D251" s="1"/>
    </row>
    <row r="252" spans="4:4" ht="15.75" customHeight="1" x14ac:dyDescent="0.25">
      <c r="D252" s="1"/>
    </row>
    <row r="253" spans="4:4" ht="15.75" customHeight="1" x14ac:dyDescent="0.25">
      <c r="D253" s="1"/>
    </row>
    <row r="254" spans="4:4" ht="15.75" customHeight="1" x14ac:dyDescent="0.25">
      <c r="D254" s="1"/>
    </row>
    <row r="255" spans="4:4" ht="15.75" customHeight="1" x14ac:dyDescent="0.25">
      <c r="D255" s="1"/>
    </row>
    <row r="256" spans="4:4" ht="15.75" customHeight="1" x14ac:dyDescent="0.25">
      <c r="D256" s="1"/>
    </row>
    <row r="257" spans="4:4" ht="15.75" customHeight="1" x14ac:dyDescent="0.25">
      <c r="D257" s="1"/>
    </row>
    <row r="258" spans="4:4" ht="15.75" customHeight="1" x14ac:dyDescent="0.25">
      <c r="D258" s="1"/>
    </row>
    <row r="259" spans="4:4" ht="15.75" customHeight="1" x14ac:dyDescent="0.25">
      <c r="D259" s="1"/>
    </row>
    <row r="260" spans="4:4" ht="15.75" customHeight="1" x14ac:dyDescent="0.25">
      <c r="D260" s="1"/>
    </row>
    <row r="261" spans="4:4" ht="15.75" customHeight="1" x14ac:dyDescent="0.25">
      <c r="D261" s="1"/>
    </row>
    <row r="262" spans="4:4" ht="15.75" customHeight="1" x14ac:dyDescent="0.25">
      <c r="D262" s="1"/>
    </row>
    <row r="263" spans="4:4" ht="15.75" customHeight="1" x14ac:dyDescent="0.25">
      <c r="D263" s="1"/>
    </row>
    <row r="264" spans="4:4" ht="15.75" customHeight="1" x14ac:dyDescent="0.25">
      <c r="D264" s="1"/>
    </row>
    <row r="265" spans="4:4" ht="15.75" customHeight="1" x14ac:dyDescent="0.25">
      <c r="D265" s="1"/>
    </row>
    <row r="266" spans="4:4" ht="15.75" customHeight="1" x14ac:dyDescent="0.25">
      <c r="D266" s="1"/>
    </row>
    <row r="267" spans="4:4" ht="15.75" customHeight="1" x14ac:dyDescent="0.25">
      <c r="D267" s="1"/>
    </row>
    <row r="268" spans="4:4" ht="15.75" customHeight="1" x14ac:dyDescent="0.25">
      <c r="D268" s="1"/>
    </row>
    <row r="269" spans="4:4" ht="15.75" customHeight="1" x14ac:dyDescent="0.25">
      <c r="D269" s="1"/>
    </row>
    <row r="270" spans="4:4" ht="15.75" customHeight="1" x14ac:dyDescent="0.25">
      <c r="D270" s="1"/>
    </row>
    <row r="271" spans="4:4" ht="15.75" customHeight="1" x14ac:dyDescent="0.25">
      <c r="D271" s="1"/>
    </row>
    <row r="272" spans="4:4" ht="15.75" customHeight="1" x14ac:dyDescent="0.25">
      <c r="D272" s="1"/>
    </row>
    <row r="273" spans="4:4" ht="15.75" customHeight="1" x14ac:dyDescent="0.25">
      <c r="D273" s="1"/>
    </row>
    <row r="274" spans="4:4" ht="15.75" customHeight="1" x14ac:dyDescent="0.25">
      <c r="D274" s="1"/>
    </row>
    <row r="275" spans="4:4" ht="15.75" customHeight="1" x14ac:dyDescent="0.25">
      <c r="D275" s="1"/>
    </row>
    <row r="276" spans="4:4" ht="15.75" customHeight="1" x14ac:dyDescent="0.25">
      <c r="D276" s="1"/>
    </row>
    <row r="277" spans="4:4" ht="15.75" customHeight="1" x14ac:dyDescent="0.25">
      <c r="D277" s="1"/>
    </row>
    <row r="278" spans="4:4" ht="15.75" customHeight="1" x14ac:dyDescent="0.25">
      <c r="D278" s="1"/>
    </row>
    <row r="279" spans="4:4" ht="15.75" customHeight="1" x14ac:dyDescent="0.25">
      <c r="D279" s="1"/>
    </row>
    <row r="280" spans="4:4" ht="15.75" customHeight="1" x14ac:dyDescent="0.25">
      <c r="D280" s="1"/>
    </row>
    <row r="281" spans="4:4" ht="15.75" customHeight="1" x14ac:dyDescent="0.25">
      <c r="D281" s="1"/>
    </row>
    <row r="282" spans="4:4" ht="15.75" customHeight="1" x14ac:dyDescent="0.25">
      <c r="D282" s="1"/>
    </row>
    <row r="283" spans="4:4" ht="15.75" customHeight="1" x14ac:dyDescent="0.25">
      <c r="D283" s="1"/>
    </row>
    <row r="284" spans="4:4" ht="15.75" customHeight="1" x14ac:dyDescent="0.25">
      <c r="D284" s="1"/>
    </row>
    <row r="285" spans="4:4" ht="15.75" customHeight="1" x14ac:dyDescent="0.25">
      <c r="D285" s="1"/>
    </row>
    <row r="286" spans="4:4" ht="15.75" customHeight="1" x14ac:dyDescent="0.25">
      <c r="D286" s="1"/>
    </row>
    <row r="287" spans="4:4" ht="15.75" customHeight="1" x14ac:dyDescent="0.25">
      <c r="D287" s="1"/>
    </row>
    <row r="288" spans="4:4" ht="15.75" customHeight="1" x14ac:dyDescent="0.25">
      <c r="D288" s="1"/>
    </row>
    <row r="289" spans="4:4" ht="15.75" customHeight="1" x14ac:dyDescent="0.25">
      <c r="D289" s="1"/>
    </row>
    <row r="290" spans="4:4" ht="15.75" customHeight="1" x14ac:dyDescent="0.25">
      <c r="D290" s="1"/>
    </row>
    <row r="291" spans="4:4" ht="15.75" customHeight="1" x14ac:dyDescent="0.25">
      <c r="D291" s="1"/>
    </row>
    <row r="292" spans="4:4" ht="15.75" customHeight="1" x14ac:dyDescent="0.25">
      <c r="D292" s="1"/>
    </row>
    <row r="293" spans="4:4" ht="15.75" customHeight="1" x14ac:dyDescent="0.25">
      <c r="D293" s="1"/>
    </row>
    <row r="294" spans="4:4" ht="15.75" customHeight="1" x14ac:dyDescent="0.25">
      <c r="D294" s="1"/>
    </row>
    <row r="295" spans="4:4" ht="15.75" customHeight="1" x14ac:dyDescent="0.25">
      <c r="D295" s="1"/>
    </row>
    <row r="296" spans="4:4" ht="15.75" customHeight="1" x14ac:dyDescent="0.25">
      <c r="D296" s="1"/>
    </row>
    <row r="297" spans="4:4" ht="15.75" customHeight="1" x14ac:dyDescent="0.25">
      <c r="D297" s="1"/>
    </row>
    <row r="298" spans="4:4" ht="15.75" customHeight="1" x14ac:dyDescent="0.25">
      <c r="D298" s="1"/>
    </row>
    <row r="299" spans="4:4" ht="15.75" customHeight="1" x14ac:dyDescent="0.25">
      <c r="D299" s="1"/>
    </row>
    <row r="300" spans="4:4" ht="15.75" customHeight="1" x14ac:dyDescent="0.25">
      <c r="D300" s="1"/>
    </row>
    <row r="301" spans="4:4" ht="15.75" customHeight="1" x14ac:dyDescent="0.25">
      <c r="D301" s="1"/>
    </row>
    <row r="302" spans="4:4" ht="15.75" customHeight="1" x14ac:dyDescent="0.25">
      <c r="D302" s="1"/>
    </row>
    <row r="303" spans="4:4" ht="15.75" customHeight="1" x14ac:dyDescent="0.25">
      <c r="D303" s="1"/>
    </row>
    <row r="304" spans="4:4" ht="15.75" customHeight="1" x14ac:dyDescent="0.25">
      <c r="D304" s="1"/>
    </row>
    <row r="305" spans="4:4" ht="15.75" customHeight="1" x14ac:dyDescent="0.25">
      <c r="D305" s="1"/>
    </row>
    <row r="306" spans="4:4" ht="15.75" customHeight="1" x14ac:dyDescent="0.25">
      <c r="D306" s="1"/>
    </row>
    <row r="307" spans="4:4" ht="15.75" customHeight="1" x14ac:dyDescent="0.25">
      <c r="D307" s="1"/>
    </row>
    <row r="308" spans="4:4" ht="15.75" customHeight="1" x14ac:dyDescent="0.25">
      <c r="D308" s="1"/>
    </row>
    <row r="309" spans="4:4" ht="15.75" customHeight="1" x14ac:dyDescent="0.25">
      <c r="D309" s="1"/>
    </row>
    <row r="310" spans="4:4" ht="15.75" customHeight="1" x14ac:dyDescent="0.25">
      <c r="D310" s="1"/>
    </row>
    <row r="311" spans="4:4" ht="15.75" customHeight="1" x14ac:dyDescent="0.25">
      <c r="D311" s="1"/>
    </row>
    <row r="312" spans="4:4" ht="15.75" customHeight="1" x14ac:dyDescent="0.25">
      <c r="D312" s="1"/>
    </row>
    <row r="313" spans="4:4" ht="15.75" customHeight="1" x14ac:dyDescent="0.25">
      <c r="D313" s="1"/>
    </row>
    <row r="314" spans="4:4" ht="15.75" customHeight="1" x14ac:dyDescent="0.25">
      <c r="D314" s="1"/>
    </row>
    <row r="315" spans="4:4" ht="15.75" customHeight="1" x14ac:dyDescent="0.25">
      <c r="D315" s="1"/>
    </row>
    <row r="316" spans="4:4" ht="15.75" customHeight="1" x14ac:dyDescent="0.25">
      <c r="D316" s="1"/>
    </row>
    <row r="317" spans="4:4" ht="15.75" customHeight="1" x14ac:dyDescent="0.25">
      <c r="D317" s="1"/>
    </row>
    <row r="318" spans="4:4" ht="15.75" customHeight="1" x14ac:dyDescent="0.25">
      <c r="D318" s="1"/>
    </row>
    <row r="319" spans="4:4" ht="15.75" customHeight="1" x14ac:dyDescent="0.25">
      <c r="D319" s="1"/>
    </row>
    <row r="320" spans="4:4" ht="15.75" customHeight="1" x14ac:dyDescent="0.25">
      <c r="D320" s="1"/>
    </row>
    <row r="321" spans="4:4" ht="15.75" customHeight="1" x14ac:dyDescent="0.25">
      <c r="D321" s="1"/>
    </row>
    <row r="322" spans="4:4" ht="15.75" customHeight="1" x14ac:dyDescent="0.25">
      <c r="D322" s="1"/>
    </row>
    <row r="323" spans="4:4" ht="15.75" customHeight="1" x14ac:dyDescent="0.25">
      <c r="D323" s="1"/>
    </row>
    <row r="324" spans="4:4" ht="15.75" customHeight="1" x14ac:dyDescent="0.25">
      <c r="D324" s="1"/>
    </row>
    <row r="325" spans="4:4" ht="15.75" customHeight="1" x14ac:dyDescent="0.25">
      <c r="D325" s="1"/>
    </row>
    <row r="326" spans="4:4" ht="15.75" customHeight="1" x14ac:dyDescent="0.25">
      <c r="D326" s="1"/>
    </row>
    <row r="327" spans="4:4" ht="15.75" customHeight="1" x14ac:dyDescent="0.25">
      <c r="D327" s="1"/>
    </row>
    <row r="328" spans="4:4" ht="15.75" customHeight="1" x14ac:dyDescent="0.25">
      <c r="D328" s="1"/>
    </row>
    <row r="329" spans="4:4" ht="15.75" customHeight="1" x14ac:dyDescent="0.25">
      <c r="D329" s="1"/>
    </row>
    <row r="330" spans="4:4" ht="15.75" customHeight="1" x14ac:dyDescent="0.25">
      <c r="D330" s="1"/>
    </row>
    <row r="331" spans="4:4" ht="15.75" customHeight="1" x14ac:dyDescent="0.25">
      <c r="D331" s="1"/>
    </row>
    <row r="332" spans="4:4" ht="15.75" customHeight="1" x14ac:dyDescent="0.25">
      <c r="D332" s="1"/>
    </row>
    <row r="333" spans="4:4" ht="15.75" customHeight="1" x14ac:dyDescent="0.25">
      <c r="D333" s="1"/>
    </row>
    <row r="334" spans="4:4" ht="15.75" customHeight="1" x14ac:dyDescent="0.25">
      <c r="D334" s="1"/>
    </row>
    <row r="335" spans="4:4" ht="15.75" customHeight="1" x14ac:dyDescent="0.25">
      <c r="D335" s="1"/>
    </row>
    <row r="336" spans="4:4" ht="15.75" customHeight="1" x14ac:dyDescent="0.25">
      <c r="D336" s="1"/>
    </row>
    <row r="337" spans="4:4" ht="15.75" customHeight="1" x14ac:dyDescent="0.25">
      <c r="D337" s="1"/>
    </row>
    <row r="338" spans="4:4" ht="15.75" customHeight="1" x14ac:dyDescent="0.25">
      <c r="D338" s="1"/>
    </row>
    <row r="339" spans="4:4" ht="15.75" customHeight="1" x14ac:dyDescent="0.25">
      <c r="D339" s="1"/>
    </row>
    <row r="340" spans="4:4" ht="15.75" customHeight="1" x14ac:dyDescent="0.25">
      <c r="D340" s="1"/>
    </row>
    <row r="341" spans="4:4" ht="15.75" customHeight="1" x14ac:dyDescent="0.25">
      <c r="D341" s="1"/>
    </row>
    <row r="342" spans="4:4" ht="15.75" customHeight="1" x14ac:dyDescent="0.25">
      <c r="D342" s="1"/>
    </row>
    <row r="343" spans="4:4" ht="15.75" customHeight="1" x14ac:dyDescent="0.25">
      <c r="D343" s="1"/>
    </row>
    <row r="344" spans="4:4" ht="15.75" customHeight="1" x14ac:dyDescent="0.25">
      <c r="D344" s="1"/>
    </row>
    <row r="345" spans="4:4" ht="15.75" customHeight="1" x14ac:dyDescent="0.25">
      <c r="D345" s="1"/>
    </row>
    <row r="346" spans="4:4" ht="15.75" customHeight="1" x14ac:dyDescent="0.25">
      <c r="D346" s="1"/>
    </row>
    <row r="347" spans="4:4" ht="15.75" customHeight="1" x14ac:dyDescent="0.25">
      <c r="D347" s="1"/>
    </row>
    <row r="348" spans="4:4" ht="15.75" customHeight="1" x14ac:dyDescent="0.25">
      <c r="D348" s="1"/>
    </row>
    <row r="349" spans="4:4" ht="15.75" customHeight="1" x14ac:dyDescent="0.25">
      <c r="D349" s="1"/>
    </row>
    <row r="350" spans="4:4" ht="15.75" customHeight="1" x14ac:dyDescent="0.25">
      <c r="D350" s="1"/>
    </row>
    <row r="351" spans="4:4" ht="15.75" customHeight="1" x14ac:dyDescent="0.25">
      <c r="D351" s="1"/>
    </row>
    <row r="352" spans="4:4" ht="15.75" customHeight="1" x14ac:dyDescent="0.25">
      <c r="D352" s="1"/>
    </row>
    <row r="353" spans="4:4" ht="15.75" customHeight="1" x14ac:dyDescent="0.25">
      <c r="D353" s="1"/>
    </row>
    <row r="354" spans="4:4" ht="15.75" customHeight="1" x14ac:dyDescent="0.25">
      <c r="D354" s="1"/>
    </row>
    <row r="355" spans="4:4" ht="15.75" customHeight="1" x14ac:dyDescent="0.25">
      <c r="D355" s="1"/>
    </row>
    <row r="356" spans="4:4" ht="15.75" customHeight="1" x14ac:dyDescent="0.25">
      <c r="D356" s="1"/>
    </row>
    <row r="357" spans="4:4" ht="15.75" customHeight="1" x14ac:dyDescent="0.25">
      <c r="D357" s="1"/>
    </row>
    <row r="358" spans="4:4" ht="15.75" customHeight="1" x14ac:dyDescent="0.25">
      <c r="D358" s="1"/>
    </row>
    <row r="359" spans="4:4" ht="15.75" customHeight="1" x14ac:dyDescent="0.25">
      <c r="D359" s="1"/>
    </row>
    <row r="360" spans="4:4" ht="15.75" customHeight="1" x14ac:dyDescent="0.25">
      <c r="D360" s="1"/>
    </row>
    <row r="361" spans="4:4" ht="15.75" customHeight="1" x14ac:dyDescent="0.25">
      <c r="D361" s="1"/>
    </row>
    <row r="362" spans="4:4" ht="15.75" customHeight="1" x14ac:dyDescent="0.25">
      <c r="D362" s="1"/>
    </row>
    <row r="363" spans="4:4" ht="15.75" customHeight="1" x14ac:dyDescent="0.25">
      <c r="D363" s="1"/>
    </row>
    <row r="364" spans="4:4" ht="15.75" customHeight="1" x14ac:dyDescent="0.25">
      <c r="D364" s="1"/>
    </row>
    <row r="365" spans="4:4" ht="15.75" customHeight="1" x14ac:dyDescent="0.25">
      <c r="D365" s="1"/>
    </row>
    <row r="366" spans="4:4" ht="15.75" customHeight="1" x14ac:dyDescent="0.25">
      <c r="D366" s="1"/>
    </row>
    <row r="367" spans="4:4" ht="15.75" customHeight="1" x14ac:dyDescent="0.25">
      <c r="D367" s="1"/>
    </row>
    <row r="368" spans="4:4" ht="15.75" customHeight="1" x14ac:dyDescent="0.25">
      <c r="D368" s="1"/>
    </row>
    <row r="369" spans="4:4" ht="15.75" customHeight="1" x14ac:dyDescent="0.25">
      <c r="D369" s="1"/>
    </row>
    <row r="370" spans="4:4" ht="15.75" customHeight="1" x14ac:dyDescent="0.25">
      <c r="D370" s="1"/>
    </row>
    <row r="371" spans="4:4" ht="15.75" customHeight="1" x14ac:dyDescent="0.25">
      <c r="D371" s="1"/>
    </row>
    <row r="372" spans="4:4" ht="15.75" customHeight="1" x14ac:dyDescent="0.25">
      <c r="D372" s="1"/>
    </row>
    <row r="373" spans="4:4" ht="15.75" customHeight="1" x14ac:dyDescent="0.25">
      <c r="D373" s="1"/>
    </row>
    <row r="374" spans="4:4" ht="15.75" customHeight="1" x14ac:dyDescent="0.25">
      <c r="D374" s="1"/>
    </row>
    <row r="375" spans="4:4" ht="15.75" customHeight="1" x14ac:dyDescent="0.25">
      <c r="D375" s="1"/>
    </row>
    <row r="376" spans="4:4" ht="15.75" customHeight="1" x14ac:dyDescent="0.25">
      <c r="D376" s="1"/>
    </row>
    <row r="377" spans="4:4" ht="15.75" customHeight="1" x14ac:dyDescent="0.25">
      <c r="D377" s="1"/>
    </row>
    <row r="378" spans="4:4" ht="15.75" customHeight="1" x14ac:dyDescent="0.25">
      <c r="D378" s="1"/>
    </row>
    <row r="379" spans="4:4" ht="15.75" customHeight="1" x14ac:dyDescent="0.25">
      <c r="D379" s="1"/>
    </row>
    <row r="380" spans="4:4" ht="15.75" customHeight="1" x14ac:dyDescent="0.25">
      <c r="D380" s="1"/>
    </row>
    <row r="381" spans="4:4" ht="15.75" customHeight="1" x14ac:dyDescent="0.25">
      <c r="D381" s="1"/>
    </row>
    <row r="382" spans="4:4" ht="15.75" customHeight="1" x14ac:dyDescent="0.25">
      <c r="D382" s="1"/>
    </row>
    <row r="383" spans="4:4" ht="15.75" customHeight="1" x14ac:dyDescent="0.25">
      <c r="D383" s="1"/>
    </row>
    <row r="384" spans="4:4" ht="15.75" customHeight="1" x14ac:dyDescent="0.25">
      <c r="D384" s="1"/>
    </row>
    <row r="385" spans="4:4" ht="15.75" customHeight="1" x14ac:dyDescent="0.25">
      <c r="D385" s="1"/>
    </row>
    <row r="386" spans="4:4" ht="15.75" customHeight="1" x14ac:dyDescent="0.25">
      <c r="D386" s="1"/>
    </row>
    <row r="387" spans="4:4" ht="15.75" customHeight="1" x14ac:dyDescent="0.25">
      <c r="D387" s="1"/>
    </row>
    <row r="388" spans="4:4" ht="15.75" customHeight="1" x14ac:dyDescent="0.25">
      <c r="D388" s="1"/>
    </row>
    <row r="389" spans="4:4" ht="15.75" customHeight="1" x14ac:dyDescent="0.25">
      <c r="D389" s="1"/>
    </row>
    <row r="390" spans="4:4" ht="15.75" customHeight="1" x14ac:dyDescent="0.25">
      <c r="D390" s="1"/>
    </row>
    <row r="391" spans="4:4" ht="15.75" customHeight="1" x14ac:dyDescent="0.25">
      <c r="D391" s="1"/>
    </row>
    <row r="392" spans="4:4" ht="15.75" customHeight="1" x14ac:dyDescent="0.25">
      <c r="D392" s="1"/>
    </row>
    <row r="393" spans="4:4" ht="15.75" customHeight="1" x14ac:dyDescent="0.25">
      <c r="D393" s="1"/>
    </row>
    <row r="394" spans="4:4" ht="15.75" customHeight="1" x14ac:dyDescent="0.25">
      <c r="D394" s="1"/>
    </row>
    <row r="395" spans="4:4" ht="15.75" customHeight="1" x14ac:dyDescent="0.25">
      <c r="D395" s="1"/>
    </row>
    <row r="396" spans="4:4" ht="15.75" customHeight="1" x14ac:dyDescent="0.25">
      <c r="D396" s="1"/>
    </row>
    <row r="397" spans="4:4" ht="15.75" customHeight="1" x14ac:dyDescent="0.25">
      <c r="D397" s="1"/>
    </row>
    <row r="398" spans="4:4" ht="15.75" customHeight="1" x14ac:dyDescent="0.25">
      <c r="D398" s="1"/>
    </row>
    <row r="399" spans="4:4" ht="15.75" customHeight="1" x14ac:dyDescent="0.25">
      <c r="D399" s="1"/>
    </row>
    <row r="400" spans="4:4" ht="15.75" customHeight="1" x14ac:dyDescent="0.25">
      <c r="D400" s="1"/>
    </row>
    <row r="401" spans="4:4" ht="15.75" customHeight="1" x14ac:dyDescent="0.25">
      <c r="D401" s="1"/>
    </row>
    <row r="402" spans="4:4" ht="15.75" customHeight="1" x14ac:dyDescent="0.25">
      <c r="D402" s="1"/>
    </row>
    <row r="403" spans="4:4" ht="15.75" customHeight="1" x14ac:dyDescent="0.25">
      <c r="D403" s="1"/>
    </row>
    <row r="404" spans="4:4" ht="15.75" customHeight="1" x14ac:dyDescent="0.25">
      <c r="D404" s="1"/>
    </row>
    <row r="405" spans="4:4" ht="15.75" customHeight="1" x14ac:dyDescent="0.25">
      <c r="D405" s="1"/>
    </row>
    <row r="406" spans="4:4" ht="15.75" customHeight="1" x14ac:dyDescent="0.25">
      <c r="D406" s="1"/>
    </row>
    <row r="407" spans="4:4" ht="15.75" customHeight="1" x14ac:dyDescent="0.25">
      <c r="D407" s="1"/>
    </row>
    <row r="408" spans="4:4" ht="15.75" customHeight="1" x14ac:dyDescent="0.25">
      <c r="D408" s="1"/>
    </row>
    <row r="409" spans="4:4" ht="15.75" customHeight="1" x14ac:dyDescent="0.25">
      <c r="D409" s="1"/>
    </row>
    <row r="410" spans="4:4" ht="15.75" customHeight="1" x14ac:dyDescent="0.25">
      <c r="D410" s="1"/>
    </row>
    <row r="411" spans="4:4" ht="15.75" customHeight="1" x14ac:dyDescent="0.25">
      <c r="D411" s="1"/>
    </row>
    <row r="412" spans="4:4" ht="15.75" customHeight="1" x14ac:dyDescent="0.25">
      <c r="D412" s="1"/>
    </row>
    <row r="413" spans="4:4" ht="15.75" customHeight="1" x14ac:dyDescent="0.25">
      <c r="D413" s="1"/>
    </row>
    <row r="414" spans="4:4" ht="15.75" customHeight="1" x14ac:dyDescent="0.25">
      <c r="D414" s="1"/>
    </row>
    <row r="415" spans="4:4" ht="15.75" customHeight="1" x14ac:dyDescent="0.25">
      <c r="D415" s="1"/>
    </row>
    <row r="416" spans="4:4" ht="15.75" customHeight="1" x14ac:dyDescent="0.25">
      <c r="D416" s="1"/>
    </row>
    <row r="417" spans="4:4" ht="15.75" customHeight="1" x14ac:dyDescent="0.25">
      <c r="D417" s="1"/>
    </row>
    <row r="418" spans="4:4" ht="15.75" customHeight="1" x14ac:dyDescent="0.25">
      <c r="D418" s="1"/>
    </row>
    <row r="419" spans="4:4" ht="15.75" customHeight="1" x14ac:dyDescent="0.25">
      <c r="D419" s="1"/>
    </row>
    <row r="420" spans="4:4" ht="15.75" customHeight="1" x14ac:dyDescent="0.25">
      <c r="D420" s="1"/>
    </row>
    <row r="421" spans="4:4" ht="15.75" customHeight="1" x14ac:dyDescent="0.25">
      <c r="D421" s="1"/>
    </row>
    <row r="422" spans="4:4" ht="15.75" customHeight="1" x14ac:dyDescent="0.25">
      <c r="D422" s="1"/>
    </row>
    <row r="423" spans="4:4" ht="15.75" customHeight="1" x14ac:dyDescent="0.25">
      <c r="D423" s="1"/>
    </row>
    <row r="424" spans="4:4" ht="15.75" customHeight="1" x14ac:dyDescent="0.25">
      <c r="D424" s="1"/>
    </row>
    <row r="425" spans="4:4" ht="15.75" customHeight="1" x14ac:dyDescent="0.25">
      <c r="D425" s="1"/>
    </row>
    <row r="426" spans="4:4" ht="15.75" customHeight="1" x14ac:dyDescent="0.25">
      <c r="D426" s="1"/>
    </row>
    <row r="427" spans="4:4" ht="15.75" customHeight="1" x14ac:dyDescent="0.25">
      <c r="D427" s="1"/>
    </row>
    <row r="428" spans="4:4" ht="15.75" customHeight="1" x14ac:dyDescent="0.25">
      <c r="D428" s="1"/>
    </row>
    <row r="429" spans="4:4" ht="15.75" customHeight="1" x14ac:dyDescent="0.25">
      <c r="D429" s="1"/>
    </row>
    <row r="430" spans="4:4" ht="15.75" customHeight="1" x14ac:dyDescent="0.25">
      <c r="D430" s="1"/>
    </row>
    <row r="431" spans="4:4" ht="15.75" customHeight="1" x14ac:dyDescent="0.25">
      <c r="D431" s="1"/>
    </row>
    <row r="432" spans="4:4" ht="15.75" customHeight="1" x14ac:dyDescent="0.25">
      <c r="D432" s="1"/>
    </row>
    <row r="433" spans="4:4" ht="15.75" customHeight="1" x14ac:dyDescent="0.25">
      <c r="D433" s="1"/>
    </row>
    <row r="434" spans="4:4" ht="15.75" customHeight="1" x14ac:dyDescent="0.25">
      <c r="D434" s="1"/>
    </row>
    <row r="435" spans="4:4" ht="15.75" customHeight="1" x14ac:dyDescent="0.25">
      <c r="D435" s="1"/>
    </row>
    <row r="436" spans="4:4" ht="15.75" customHeight="1" x14ac:dyDescent="0.25">
      <c r="D436" s="1"/>
    </row>
    <row r="437" spans="4:4" ht="15.75" customHeight="1" x14ac:dyDescent="0.25">
      <c r="D437" s="1"/>
    </row>
    <row r="438" spans="4:4" ht="15.75" customHeight="1" x14ac:dyDescent="0.25">
      <c r="D438" s="1"/>
    </row>
    <row r="439" spans="4:4" ht="15.75" customHeight="1" x14ac:dyDescent="0.25">
      <c r="D439" s="1"/>
    </row>
    <row r="440" spans="4:4" ht="15.75" customHeight="1" x14ac:dyDescent="0.25">
      <c r="D440" s="1"/>
    </row>
    <row r="441" spans="4:4" ht="15.75" customHeight="1" x14ac:dyDescent="0.25">
      <c r="D441" s="1"/>
    </row>
    <row r="442" spans="4:4" ht="15.75" customHeight="1" x14ac:dyDescent="0.25">
      <c r="D442" s="1"/>
    </row>
    <row r="443" spans="4:4" ht="15.75" customHeight="1" x14ac:dyDescent="0.25">
      <c r="D443" s="1"/>
    </row>
    <row r="444" spans="4:4" ht="15.75" customHeight="1" x14ac:dyDescent="0.25">
      <c r="D444" s="1"/>
    </row>
    <row r="445" spans="4:4" ht="15.75" customHeight="1" x14ac:dyDescent="0.25">
      <c r="D445" s="1"/>
    </row>
    <row r="446" spans="4:4" ht="15.75" customHeight="1" x14ac:dyDescent="0.25">
      <c r="D446" s="1"/>
    </row>
    <row r="447" spans="4:4" ht="15.75" customHeight="1" x14ac:dyDescent="0.25">
      <c r="D447" s="1"/>
    </row>
    <row r="448" spans="4:4" ht="15.75" customHeight="1" x14ac:dyDescent="0.25">
      <c r="D448" s="1"/>
    </row>
    <row r="449" spans="4:4" ht="15.75" customHeight="1" x14ac:dyDescent="0.25">
      <c r="D449" s="1"/>
    </row>
    <row r="450" spans="4:4" ht="15.75" customHeight="1" x14ac:dyDescent="0.25">
      <c r="D450" s="1"/>
    </row>
    <row r="451" spans="4:4" ht="15.75" customHeight="1" x14ac:dyDescent="0.25">
      <c r="D451" s="1"/>
    </row>
    <row r="452" spans="4:4" ht="15.75" customHeight="1" x14ac:dyDescent="0.25">
      <c r="D452" s="1"/>
    </row>
    <row r="453" spans="4:4" ht="15.75" customHeight="1" x14ac:dyDescent="0.25">
      <c r="D453" s="1"/>
    </row>
    <row r="454" spans="4:4" ht="15.75" customHeight="1" x14ac:dyDescent="0.25">
      <c r="D454" s="1"/>
    </row>
    <row r="455" spans="4:4" ht="15.75" customHeight="1" x14ac:dyDescent="0.25">
      <c r="D455" s="1"/>
    </row>
    <row r="456" spans="4:4" ht="15.75" customHeight="1" x14ac:dyDescent="0.25">
      <c r="D456" s="1"/>
    </row>
    <row r="457" spans="4:4" ht="15.75" customHeight="1" x14ac:dyDescent="0.25">
      <c r="D457" s="1"/>
    </row>
    <row r="458" spans="4:4" ht="15.75" customHeight="1" x14ac:dyDescent="0.25">
      <c r="D458" s="1"/>
    </row>
    <row r="459" spans="4:4" ht="15.75" customHeight="1" x14ac:dyDescent="0.25">
      <c r="D459" s="1"/>
    </row>
    <row r="460" spans="4:4" ht="15.75" customHeight="1" x14ac:dyDescent="0.25">
      <c r="D460" s="1"/>
    </row>
    <row r="461" spans="4:4" ht="15.75" customHeight="1" x14ac:dyDescent="0.25">
      <c r="D461" s="1"/>
    </row>
    <row r="462" spans="4:4" ht="15.75" customHeight="1" x14ac:dyDescent="0.25">
      <c r="D462" s="1"/>
    </row>
    <row r="463" spans="4:4" ht="15.75" customHeight="1" x14ac:dyDescent="0.25">
      <c r="D463" s="1"/>
    </row>
    <row r="464" spans="4:4" ht="15.75" customHeight="1" x14ac:dyDescent="0.25">
      <c r="D464" s="1"/>
    </row>
    <row r="465" spans="4:4" ht="15.75" customHeight="1" x14ac:dyDescent="0.25">
      <c r="D465" s="1"/>
    </row>
    <row r="466" spans="4:4" ht="15.75" customHeight="1" x14ac:dyDescent="0.25">
      <c r="D466" s="1"/>
    </row>
    <row r="467" spans="4:4" ht="15.75" customHeight="1" x14ac:dyDescent="0.25">
      <c r="D467" s="1"/>
    </row>
    <row r="468" spans="4:4" ht="15.75" customHeight="1" x14ac:dyDescent="0.25">
      <c r="D468" s="1"/>
    </row>
    <row r="469" spans="4:4" ht="15.75" customHeight="1" x14ac:dyDescent="0.25">
      <c r="D469" s="1"/>
    </row>
    <row r="470" spans="4:4" ht="15.75" customHeight="1" x14ac:dyDescent="0.25">
      <c r="D470" s="1"/>
    </row>
    <row r="471" spans="4:4" ht="15.75" customHeight="1" x14ac:dyDescent="0.25">
      <c r="D471" s="1"/>
    </row>
    <row r="472" spans="4:4" ht="15.75" customHeight="1" x14ac:dyDescent="0.25">
      <c r="D472" s="1"/>
    </row>
    <row r="473" spans="4:4" ht="15.75" customHeight="1" x14ac:dyDescent="0.25">
      <c r="D473" s="1"/>
    </row>
    <row r="474" spans="4:4" ht="15.75" customHeight="1" x14ac:dyDescent="0.25">
      <c r="D474" s="1"/>
    </row>
    <row r="475" spans="4:4" ht="15.75" customHeight="1" x14ac:dyDescent="0.25">
      <c r="D475" s="1"/>
    </row>
    <row r="476" spans="4:4" ht="15.75" customHeight="1" x14ac:dyDescent="0.25">
      <c r="D476" s="1"/>
    </row>
    <row r="477" spans="4:4" ht="15.75" customHeight="1" x14ac:dyDescent="0.25">
      <c r="D477" s="1"/>
    </row>
    <row r="478" spans="4:4" ht="15.75" customHeight="1" x14ac:dyDescent="0.25">
      <c r="D478" s="1"/>
    </row>
    <row r="479" spans="4:4" ht="15.75" customHeight="1" x14ac:dyDescent="0.25">
      <c r="D479" s="1"/>
    </row>
    <row r="480" spans="4:4" ht="15.75" customHeight="1" x14ac:dyDescent="0.25">
      <c r="D480" s="1"/>
    </row>
    <row r="481" spans="4:4" ht="15.75" customHeight="1" x14ac:dyDescent="0.25">
      <c r="D481" s="1"/>
    </row>
    <row r="482" spans="4:4" ht="15.75" customHeight="1" x14ac:dyDescent="0.25">
      <c r="D482" s="1"/>
    </row>
    <row r="483" spans="4:4" ht="15.75" customHeight="1" x14ac:dyDescent="0.25">
      <c r="D483" s="1"/>
    </row>
    <row r="484" spans="4:4" ht="15.75" customHeight="1" x14ac:dyDescent="0.25">
      <c r="D484" s="1"/>
    </row>
    <row r="485" spans="4:4" ht="15.75" customHeight="1" x14ac:dyDescent="0.25">
      <c r="D485" s="1"/>
    </row>
    <row r="486" spans="4:4" ht="15.75" customHeight="1" x14ac:dyDescent="0.25">
      <c r="D486" s="1"/>
    </row>
    <row r="487" spans="4:4" ht="15.75" customHeight="1" x14ac:dyDescent="0.25">
      <c r="D487" s="1"/>
    </row>
    <row r="488" spans="4:4" ht="15.75" customHeight="1" x14ac:dyDescent="0.25">
      <c r="D488" s="1"/>
    </row>
    <row r="489" spans="4:4" ht="15.75" customHeight="1" x14ac:dyDescent="0.25">
      <c r="D489" s="1"/>
    </row>
    <row r="490" spans="4:4" ht="15.75" customHeight="1" x14ac:dyDescent="0.25">
      <c r="D490" s="1"/>
    </row>
    <row r="491" spans="4:4" ht="15.75" customHeight="1" x14ac:dyDescent="0.25">
      <c r="D491" s="1"/>
    </row>
    <row r="492" spans="4:4" ht="15.75" customHeight="1" x14ac:dyDescent="0.25">
      <c r="D492" s="1"/>
    </row>
    <row r="493" spans="4:4" ht="15.75" customHeight="1" x14ac:dyDescent="0.25">
      <c r="D493" s="1"/>
    </row>
    <row r="494" spans="4:4" ht="15.75" customHeight="1" x14ac:dyDescent="0.25">
      <c r="D494" s="1"/>
    </row>
    <row r="495" spans="4:4" ht="15.75" customHeight="1" x14ac:dyDescent="0.25">
      <c r="D495" s="1"/>
    </row>
    <row r="496" spans="4:4" ht="15.75" customHeight="1" x14ac:dyDescent="0.25">
      <c r="D496" s="1"/>
    </row>
    <row r="497" spans="4:4" ht="15.75" customHeight="1" x14ac:dyDescent="0.25">
      <c r="D497" s="1"/>
    </row>
    <row r="498" spans="4:4" ht="15.75" customHeight="1" x14ac:dyDescent="0.25">
      <c r="D498" s="1"/>
    </row>
    <row r="499" spans="4:4" ht="15.75" customHeight="1" x14ac:dyDescent="0.25">
      <c r="D499" s="1"/>
    </row>
    <row r="500" spans="4:4" ht="15.75" customHeight="1" x14ac:dyDescent="0.25">
      <c r="D500" s="1"/>
    </row>
    <row r="501" spans="4:4" ht="15.75" customHeight="1" x14ac:dyDescent="0.25">
      <c r="D501" s="1"/>
    </row>
    <row r="502" spans="4:4" ht="15.75" customHeight="1" x14ac:dyDescent="0.25">
      <c r="D502" s="1"/>
    </row>
    <row r="503" spans="4:4" ht="15.75" customHeight="1" x14ac:dyDescent="0.25">
      <c r="D503" s="1"/>
    </row>
    <row r="504" spans="4:4" ht="15.75" customHeight="1" x14ac:dyDescent="0.25">
      <c r="D504" s="1"/>
    </row>
    <row r="505" spans="4:4" ht="15.75" customHeight="1" x14ac:dyDescent="0.25">
      <c r="D505" s="1"/>
    </row>
    <row r="506" spans="4:4" ht="15.75" customHeight="1" x14ac:dyDescent="0.25">
      <c r="D506" s="1"/>
    </row>
    <row r="507" spans="4:4" ht="15.75" customHeight="1" x14ac:dyDescent="0.25">
      <c r="D507" s="1"/>
    </row>
    <row r="508" spans="4:4" ht="15.75" customHeight="1" x14ac:dyDescent="0.25">
      <c r="D508" s="1"/>
    </row>
    <row r="509" spans="4:4" ht="15.75" customHeight="1" x14ac:dyDescent="0.25">
      <c r="D509" s="1"/>
    </row>
    <row r="510" spans="4:4" ht="15.75" customHeight="1" x14ac:dyDescent="0.25">
      <c r="D510" s="1"/>
    </row>
    <row r="511" spans="4:4" ht="15.75" customHeight="1" x14ac:dyDescent="0.25">
      <c r="D511" s="1"/>
    </row>
    <row r="512" spans="4:4" ht="15.75" customHeight="1" x14ac:dyDescent="0.25">
      <c r="D512" s="1"/>
    </row>
    <row r="513" spans="4:4" ht="15.75" customHeight="1" x14ac:dyDescent="0.25">
      <c r="D513" s="1"/>
    </row>
    <row r="514" spans="4:4" ht="15.75" customHeight="1" x14ac:dyDescent="0.25">
      <c r="D514" s="1"/>
    </row>
    <row r="515" spans="4:4" ht="15.75" customHeight="1" x14ac:dyDescent="0.25">
      <c r="D515" s="1"/>
    </row>
    <row r="516" spans="4:4" ht="15.75" customHeight="1" x14ac:dyDescent="0.25">
      <c r="D516" s="1"/>
    </row>
    <row r="517" spans="4:4" ht="15.75" customHeight="1" x14ac:dyDescent="0.25">
      <c r="D517" s="1"/>
    </row>
    <row r="518" spans="4:4" ht="15.75" customHeight="1" x14ac:dyDescent="0.25">
      <c r="D518" s="1"/>
    </row>
    <row r="519" spans="4:4" ht="15.75" customHeight="1" x14ac:dyDescent="0.25">
      <c r="D519" s="1"/>
    </row>
    <row r="520" spans="4:4" ht="15.75" customHeight="1" x14ac:dyDescent="0.25">
      <c r="D520" s="1"/>
    </row>
    <row r="521" spans="4:4" ht="15.75" customHeight="1" x14ac:dyDescent="0.25">
      <c r="D521" s="1"/>
    </row>
    <row r="522" spans="4:4" ht="15.75" customHeight="1" x14ac:dyDescent="0.25">
      <c r="D522" s="1"/>
    </row>
    <row r="523" spans="4:4" ht="15.75" customHeight="1" x14ac:dyDescent="0.25">
      <c r="D523" s="1"/>
    </row>
    <row r="524" spans="4:4" ht="15.75" customHeight="1" x14ac:dyDescent="0.25">
      <c r="D524" s="1"/>
    </row>
    <row r="525" spans="4:4" ht="15.75" customHeight="1" x14ac:dyDescent="0.25">
      <c r="D525" s="1"/>
    </row>
    <row r="526" spans="4:4" ht="15.75" customHeight="1" x14ac:dyDescent="0.25">
      <c r="D526" s="1"/>
    </row>
    <row r="527" spans="4:4" ht="15.75" customHeight="1" x14ac:dyDescent="0.25">
      <c r="D527" s="1"/>
    </row>
    <row r="528" spans="4:4" ht="15.75" customHeight="1" x14ac:dyDescent="0.25">
      <c r="D528" s="1"/>
    </row>
    <row r="529" spans="4:4" ht="15.75" customHeight="1" x14ac:dyDescent="0.25">
      <c r="D529" s="1"/>
    </row>
    <row r="530" spans="4:4" ht="15.75" customHeight="1" x14ac:dyDescent="0.25">
      <c r="D530" s="1"/>
    </row>
    <row r="531" spans="4:4" ht="15.75" customHeight="1" x14ac:dyDescent="0.25">
      <c r="D531" s="1"/>
    </row>
    <row r="532" spans="4:4" ht="15.75" customHeight="1" x14ac:dyDescent="0.25">
      <c r="D532" s="1"/>
    </row>
    <row r="533" spans="4:4" ht="15.75" customHeight="1" x14ac:dyDescent="0.25">
      <c r="D533" s="1"/>
    </row>
    <row r="534" spans="4:4" ht="15.75" customHeight="1" x14ac:dyDescent="0.25">
      <c r="D534" s="1"/>
    </row>
    <row r="535" spans="4:4" ht="15.75" customHeight="1" x14ac:dyDescent="0.25">
      <c r="D535" s="1"/>
    </row>
    <row r="536" spans="4:4" ht="15.75" customHeight="1" x14ac:dyDescent="0.25">
      <c r="D536" s="1"/>
    </row>
    <row r="537" spans="4:4" ht="15.75" customHeight="1" x14ac:dyDescent="0.25">
      <c r="D537" s="1"/>
    </row>
    <row r="538" spans="4:4" ht="15.75" customHeight="1" x14ac:dyDescent="0.25">
      <c r="D538" s="1"/>
    </row>
    <row r="539" spans="4:4" ht="15.75" customHeight="1" x14ac:dyDescent="0.25">
      <c r="D539" s="1"/>
    </row>
    <row r="540" spans="4:4" ht="15.75" customHeight="1" x14ac:dyDescent="0.25">
      <c r="D540" s="1"/>
    </row>
    <row r="541" spans="4:4" ht="15.75" customHeight="1" x14ac:dyDescent="0.25">
      <c r="D541" s="1"/>
    </row>
    <row r="542" spans="4:4" ht="15.75" customHeight="1" x14ac:dyDescent="0.25">
      <c r="D542" s="1"/>
    </row>
    <row r="543" spans="4:4" ht="15.75" customHeight="1" x14ac:dyDescent="0.25">
      <c r="D543" s="1"/>
    </row>
    <row r="544" spans="4:4" ht="15.75" customHeight="1" x14ac:dyDescent="0.25">
      <c r="D544" s="1"/>
    </row>
    <row r="545" spans="4:4" ht="15.75" customHeight="1" x14ac:dyDescent="0.25">
      <c r="D545" s="1"/>
    </row>
    <row r="546" spans="4:4" ht="15.75" customHeight="1" x14ac:dyDescent="0.25">
      <c r="D546" s="1"/>
    </row>
    <row r="547" spans="4:4" ht="15.75" customHeight="1" x14ac:dyDescent="0.25">
      <c r="D547" s="1"/>
    </row>
    <row r="548" spans="4:4" ht="15.75" customHeight="1" x14ac:dyDescent="0.25">
      <c r="D548" s="1"/>
    </row>
    <row r="549" spans="4:4" ht="15.75" customHeight="1" x14ac:dyDescent="0.25">
      <c r="D549" s="1"/>
    </row>
    <row r="550" spans="4:4" ht="15.75" customHeight="1" x14ac:dyDescent="0.25">
      <c r="D550" s="1"/>
    </row>
    <row r="551" spans="4:4" ht="15.75" customHeight="1" x14ac:dyDescent="0.25">
      <c r="D551" s="1"/>
    </row>
    <row r="552" spans="4:4" ht="15.75" customHeight="1" x14ac:dyDescent="0.25">
      <c r="D552" s="1"/>
    </row>
    <row r="553" spans="4:4" ht="15.75" customHeight="1" x14ac:dyDescent="0.25">
      <c r="D553" s="1"/>
    </row>
    <row r="554" spans="4:4" ht="15.75" customHeight="1" x14ac:dyDescent="0.25">
      <c r="D554" s="1"/>
    </row>
    <row r="555" spans="4:4" ht="15.75" customHeight="1" x14ac:dyDescent="0.25">
      <c r="D555" s="1"/>
    </row>
    <row r="556" spans="4:4" ht="15.75" customHeight="1" x14ac:dyDescent="0.25">
      <c r="D556" s="1"/>
    </row>
    <row r="557" spans="4:4" ht="15.75" customHeight="1" x14ac:dyDescent="0.25">
      <c r="D557" s="1"/>
    </row>
    <row r="558" spans="4:4" ht="15.75" customHeight="1" x14ac:dyDescent="0.25">
      <c r="D558" s="1"/>
    </row>
    <row r="559" spans="4:4" ht="15.75" customHeight="1" x14ac:dyDescent="0.25">
      <c r="D559" s="1"/>
    </row>
    <row r="560" spans="4:4" ht="15.75" customHeight="1" x14ac:dyDescent="0.25">
      <c r="D560" s="1"/>
    </row>
    <row r="561" spans="4:4" ht="15.75" customHeight="1" x14ac:dyDescent="0.25">
      <c r="D561" s="1"/>
    </row>
    <row r="562" spans="4:4" ht="15.75" customHeight="1" x14ac:dyDescent="0.25">
      <c r="D562" s="1"/>
    </row>
    <row r="563" spans="4:4" ht="15.75" customHeight="1" x14ac:dyDescent="0.25">
      <c r="D563" s="1"/>
    </row>
    <row r="564" spans="4:4" ht="15.75" customHeight="1" x14ac:dyDescent="0.25">
      <c r="D564" s="1"/>
    </row>
    <row r="565" spans="4:4" ht="15.75" customHeight="1" x14ac:dyDescent="0.25">
      <c r="D565" s="1"/>
    </row>
    <row r="566" spans="4:4" ht="15.75" customHeight="1" x14ac:dyDescent="0.25">
      <c r="D566" s="1"/>
    </row>
    <row r="567" spans="4:4" ht="15.75" customHeight="1" x14ac:dyDescent="0.25">
      <c r="D567" s="1"/>
    </row>
    <row r="568" spans="4:4" ht="15.75" customHeight="1" x14ac:dyDescent="0.25">
      <c r="D568" s="1"/>
    </row>
    <row r="569" spans="4:4" ht="15.75" customHeight="1" x14ac:dyDescent="0.25">
      <c r="D569" s="1"/>
    </row>
    <row r="570" spans="4:4" ht="15.75" customHeight="1" x14ac:dyDescent="0.25">
      <c r="D570" s="1"/>
    </row>
    <row r="571" spans="4:4" ht="15.75" customHeight="1" x14ac:dyDescent="0.25">
      <c r="D571" s="1"/>
    </row>
    <row r="572" spans="4:4" ht="15.75" customHeight="1" x14ac:dyDescent="0.25">
      <c r="D572" s="1"/>
    </row>
    <row r="573" spans="4:4" ht="15.75" customHeight="1" x14ac:dyDescent="0.25">
      <c r="D573" s="1"/>
    </row>
    <row r="574" spans="4:4" ht="15.75" customHeight="1" x14ac:dyDescent="0.25">
      <c r="D574" s="1"/>
    </row>
    <row r="575" spans="4:4" ht="15.75" customHeight="1" x14ac:dyDescent="0.25">
      <c r="D575" s="1"/>
    </row>
    <row r="576" spans="4:4" ht="15.75" customHeight="1" x14ac:dyDescent="0.25">
      <c r="D576" s="1"/>
    </row>
    <row r="577" spans="4:4" ht="15.75" customHeight="1" x14ac:dyDescent="0.25">
      <c r="D577" s="1"/>
    </row>
    <row r="578" spans="4:4" ht="15.75" customHeight="1" x14ac:dyDescent="0.25">
      <c r="D578" s="1"/>
    </row>
    <row r="579" spans="4:4" ht="15.75" customHeight="1" x14ac:dyDescent="0.25">
      <c r="D579" s="1"/>
    </row>
    <row r="580" spans="4:4" ht="15.75" customHeight="1" x14ac:dyDescent="0.25">
      <c r="D580" s="1"/>
    </row>
    <row r="581" spans="4:4" ht="15.75" customHeight="1" x14ac:dyDescent="0.25">
      <c r="D581" s="1"/>
    </row>
    <row r="582" spans="4:4" ht="15.75" customHeight="1" x14ac:dyDescent="0.25">
      <c r="D582" s="1"/>
    </row>
    <row r="583" spans="4:4" ht="15.75" customHeight="1" x14ac:dyDescent="0.25">
      <c r="D583" s="1"/>
    </row>
    <row r="584" spans="4:4" ht="15.75" customHeight="1" x14ac:dyDescent="0.25">
      <c r="D584" s="1"/>
    </row>
    <row r="585" spans="4:4" ht="15.75" customHeight="1" x14ac:dyDescent="0.25">
      <c r="D585" s="1"/>
    </row>
    <row r="586" spans="4:4" ht="15.75" customHeight="1" x14ac:dyDescent="0.25">
      <c r="D586" s="1"/>
    </row>
    <row r="587" spans="4:4" ht="15.75" customHeight="1" x14ac:dyDescent="0.25">
      <c r="D587" s="1"/>
    </row>
    <row r="588" spans="4:4" ht="15.75" customHeight="1" x14ac:dyDescent="0.25">
      <c r="D588" s="1"/>
    </row>
    <row r="589" spans="4:4" ht="15.75" customHeight="1" x14ac:dyDescent="0.25">
      <c r="D589" s="1"/>
    </row>
    <row r="590" spans="4:4" ht="15.75" customHeight="1" x14ac:dyDescent="0.25">
      <c r="D590" s="1"/>
    </row>
    <row r="591" spans="4:4" ht="15.75" customHeight="1" x14ac:dyDescent="0.25">
      <c r="D591" s="1"/>
    </row>
    <row r="592" spans="4:4" ht="15.75" customHeight="1" x14ac:dyDescent="0.25">
      <c r="D592" s="1"/>
    </row>
    <row r="593" spans="4:4" ht="15.75" customHeight="1" x14ac:dyDescent="0.25">
      <c r="D593" s="1"/>
    </row>
    <row r="594" spans="4:4" ht="15.75" customHeight="1" x14ac:dyDescent="0.25">
      <c r="D594" s="1"/>
    </row>
    <row r="595" spans="4:4" ht="15.75" customHeight="1" x14ac:dyDescent="0.25">
      <c r="D595" s="1"/>
    </row>
    <row r="596" spans="4:4" ht="15.75" customHeight="1" x14ac:dyDescent="0.25">
      <c r="D596" s="1"/>
    </row>
    <row r="597" spans="4:4" ht="15.75" customHeight="1" x14ac:dyDescent="0.25">
      <c r="D597" s="1"/>
    </row>
    <row r="598" spans="4:4" ht="15.75" customHeight="1" x14ac:dyDescent="0.25">
      <c r="D598" s="1"/>
    </row>
    <row r="599" spans="4:4" ht="15.75" customHeight="1" x14ac:dyDescent="0.25">
      <c r="D599" s="1"/>
    </row>
    <row r="600" spans="4:4" ht="15.75" customHeight="1" x14ac:dyDescent="0.25">
      <c r="D600" s="1"/>
    </row>
    <row r="601" spans="4:4" ht="15.75" customHeight="1" x14ac:dyDescent="0.25">
      <c r="D601" s="1"/>
    </row>
    <row r="602" spans="4:4" ht="15.75" customHeight="1" x14ac:dyDescent="0.25">
      <c r="D602" s="1"/>
    </row>
    <row r="603" spans="4:4" ht="15.75" customHeight="1" x14ac:dyDescent="0.25">
      <c r="D603" s="1"/>
    </row>
    <row r="604" spans="4:4" ht="15.75" customHeight="1" x14ac:dyDescent="0.25">
      <c r="D604" s="1"/>
    </row>
    <row r="605" spans="4:4" ht="15.75" customHeight="1" x14ac:dyDescent="0.25">
      <c r="D605" s="1"/>
    </row>
    <row r="606" spans="4:4" ht="15.75" customHeight="1" x14ac:dyDescent="0.25">
      <c r="D606" s="1"/>
    </row>
    <row r="607" spans="4:4" ht="15.75" customHeight="1" x14ac:dyDescent="0.25">
      <c r="D607" s="1"/>
    </row>
    <row r="608" spans="4:4" ht="15.75" customHeight="1" x14ac:dyDescent="0.25">
      <c r="D608" s="1"/>
    </row>
    <row r="609" spans="4:4" ht="15.75" customHeight="1" x14ac:dyDescent="0.25">
      <c r="D609" s="1"/>
    </row>
    <row r="610" spans="4:4" ht="15.75" customHeight="1" x14ac:dyDescent="0.25">
      <c r="D610" s="1"/>
    </row>
    <row r="611" spans="4:4" ht="15.75" customHeight="1" x14ac:dyDescent="0.25">
      <c r="D611" s="1"/>
    </row>
    <row r="612" spans="4:4" ht="15.75" customHeight="1" x14ac:dyDescent="0.25">
      <c r="D612" s="1"/>
    </row>
    <row r="613" spans="4:4" ht="15.75" customHeight="1" x14ac:dyDescent="0.25">
      <c r="D613" s="1"/>
    </row>
    <row r="614" spans="4:4" ht="15.75" customHeight="1" x14ac:dyDescent="0.25">
      <c r="D614" s="1"/>
    </row>
    <row r="615" spans="4:4" ht="15.75" customHeight="1" x14ac:dyDescent="0.25">
      <c r="D615" s="1"/>
    </row>
    <row r="616" spans="4:4" ht="15.75" customHeight="1" x14ac:dyDescent="0.25">
      <c r="D616" s="1"/>
    </row>
    <row r="617" spans="4:4" ht="15.75" customHeight="1" x14ac:dyDescent="0.25">
      <c r="D617" s="1"/>
    </row>
    <row r="618" spans="4:4" ht="15.75" customHeight="1" x14ac:dyDescent="0.25">
      <c r="D618" s="1"/>
    </row>
    <row r="619" spans="4:4" ht="15.75" customHeight="1" x14ac:dyDescent="0.25">
      <c r="D619" s="1"/>
    </row>
    <row r="620" spans="4:4" ht="15.75" customHeight="1" x14ac:dyDescent="0.25">
      <c r="D620" s="1"/>
    </row>
    <row r="621" spans="4:4" ht="15.75" customHeight="1" x14ac:dyDescent="0.25">
      <c r="D621" s="1"/>
    </row>
    <row r="622" spans="4:4" ht="15.75" customHeight="1" x14ac:dyDescent="0.25">
      <c r="D622" s="1"/>
    </row>
    <row r="623" spans="4:4" ht="15.75" customHeight="1" x14ac:dyDescent="0.25">
      <c r="D623" s="1"/>
    </row>
    <row r="624" spans="4:4" ht="15.75" customHeight="1" x14ac:dyDescent="0.25">
      <c r="D624" s="1"/>
    </row>
    <row r="625" spans="4:4" ht="15.75" customHeight="1" x14ac:dyDescent="0.25">
      <c r="D625" s="1"/>
    </row>
    <row r="626" spans="4:4" ht="15.75" customHeight="1" x14ac:dyDescent="0.25">
      <c r="D626" s="1"/>
    </row>
    <row r="627" spans="4:4" ht="15.75" customHeight="1" x14ac:dyDescent="0.25">
      <c r="D627" s="1"/>
    </row>
    <row r="628" spans="4:4" ht="15.75" customHeight="1" x14ac:dyDescent="0.25">
      <c r="D628" s="1"/>
    </row>
    <row r="629" spans="4:4" ht="15.75" customHeight="1" x14ac:dyDescent="0.25">
      <c r="D629" s="1"/>
    </row>
    <row r="630" spans="4:4" ht="15.75" customHeight="1" x14ac:dyDescent="0.25">
      <c r="D630" s="1"/>
    </row>
    <row r="631" spans="4:4" ht="15.75" customHeight="1" x14ac:dyDescent="0.25">
      <c r="D631" s="1"/>
    </row>
    <row r="632" spans="4:4" ht="15.75" customHeight="1" x14ac:dyDescent="0.25">
      <c r="D632" s="1"/>
    </row>
    <row r="633" spans="4:4" ht="15.75" customHeight="1" x14ac:dyDescent="0.25">
      <c r="D633" s="1"/>
    </row>
    <row r="634" spans="4:4" ht="15.75" customHeight="1" x14ac:dyDescent="0.25">
      <c r="D634" s="1"/>
    </row>
    <row r="635" spans="4:4" ht="15.75" customHeight="1" x14ac:dyDescent="0.25">
      <c r="D635" s="1"/>
    </row>
    <row r="636" spans="4:4" ht="15.75" customHeight="1" x14ac:dyDescent="0.25">
      <c r="D636" s="1"/>
    </row>
    <row r="637" spans="4:4" ht="15.75" customHeight="1" x14ac:dyDescent="0.25">
      <c r="D637" s="1"/>
    </row>
    <row r="638" spans="4:4" ht="15.75" customHeight="1" x14ac:dyDescent="0.25">
      <c r="D638" s="1"/>
    </row>
    <row r="639" spans="4:4" ht="15.75" customHeight="1" x14ac:dyDescent="0.25">
      <c r="D639" s="1"/>
    </row>
    <row r="640" spans="4:4" ht="15.75" customHeight="1" x14ac:dyDescent="0.25">
      <c r="D640" s="1"/>
    </row>
    <row r="641" spans="4:4" ht="15.75" customHeight="1" x14ac:dyDescent="0.25">
      <c r="D641" s="1"/>
    </row>
    <row r="642" spans="4:4" ht="15.75" customHeight="1" x14ac:dyDescent="0.25">
      <c r="D642" s="1"/>
    </row>
    <row r="643" spans="4:4" ht="15.75" customHeight="1" x14ac:dyDescent="0.25">
      <c r="D643" s="1"/>
    </row>
    <row r="644" spans="4:4" ht="15.75" customHeight="1" x14ac:dyDescent="0.25">
      <c r="D644" s="1"/>
    </row>
    <row r="645" spans="4:4" ht="15.75" customHeight="1" x14ac:dyDescent="0.25">
      <c r="D645" s="1"/>
    </row>
    <row r="646" spans="4:4" ht="15.75" customHeight="1" x14ac:dyDescent="0.25">
      <c r="D646" s="1"/>
    </row>
    <row r="647" spans="4:4" ht="15.75" customHeight="1" x14ac:dyDescent="0.25">
      <c r="D647" s="1"/>
    </row>
    <row r="648" spans="4:4" ht="15.75" customHeight="1" x14ac:dyDescent="0.25">
      <c r="D648" s="1"/>
    </row>
    <row r="649" spans="4:4" ht="15.75" customHeight="1" x14ac:dyDescent="0.25">
      <c r="D649" s="1"/>
    </row>
    <row r="650" spans="4:4" ht="15.75" customHeight="1" x14ac:dyDescent="0.25">
      <c r="D650" s="1"/>
    </row>
    <row r="651" spans="4:4" ht="15.75" customHeight="1" x14ac:dyDescent="0.25">
      <c r="D651" s="1"/>
    </row>
    <row r="652" spans="4:4" ht="15.75" customHeight="1" x14ac:dyDescent="0.25">
      <c r="D652" s="1"/>
    </row>
    <row r="653" spans="4:4" ht="15.75" customHeight="1" x14ac:dyDescent="0.25">
      <c r="D653" s="1"/>
    </row>
    <row r="654" spans="4:4" ht="15.75" customHeight="1" x14ac:dyDescent="0.25">
      <c r="D654" s="1"/>
    </row>
    <row r="655" spans="4:4" ht="15.75" customHeight="1" x14ac:dyDescent="0.25">
      <c r="D655" s="1"/>
    </row>
    <row r="656" spans="4:4" ht="15.75" customHeight="1" x14ac:dyDescent="0.25">
      <c r="D656" s="1"/>
    </row>
    <row r="657" spans="4:4" ht="15.75" customHeight="1" x14ac:dyDescent="0.25">
      <c r="D657" s="1"/>
    </row>
    <row r="658" spans="4:4" ht="15.75" customHeight="1" x14ac:dyDescent="0.25">
      <c r="D658" s="1"/>
    </row>
    <row r="659" spans="4:4" ht="15.75" customHeight="1" x14ac:dyDescent="0.25">
      <c r="D659" s="1"/>
    </row>
    <row r="660" spans="4:4" ht="15.75" customHeight="1" x14ac:dyDescent="0.25">
      <c r="D660" s="1"/>
    </row>
    <row r="661" spans="4:4" ht="15.75" customHeight="1" x14ac:dyDescent="0.25">
      <c r="D661" s="1"/>
    </row>
    <row r="662" spans="4:4" ht="15.75" customHeight="1" x14ac:dyDescent="0.25">
      <c r="D662" s="1"/>
    </row>
    <row r="663" spans="4:4" ht="15.75" customHeight="1" x14ac:dyDescent="0.25">
      <c r="D663" s="1"/>
    </row>
    <row r="664" spans="4:4" ht="15.75" customHeight="1" x14ac:dyDescent="0.25">
      <c r="D664" s="1"/>
    </row>
    <row r="665" spans="4:4" ht="15.75" customHeight="1" x14ac:dyDescent="0.25">
      <c r="D665" s="1"/>
    </row>
    <row r="666" spans="4:4" ht="15.75" customHeight="1" x14ac:dyDescent="0.25">
      <c r="D666" s="1"/>
    </row>
    <row r="667" spans="4:4" ht="15.75" customHeight="1" x14ac:dyDescent="0.25">
      <c r="D667" s="1"/>
    </row>
    <row r="668" spans="4:4" ht="15.75" customHeight="1" x14ac:dyDescent="0.25">
      <c r="D668" s="1"/>
    </row>
    <row r="669" spans="4:4" ht="15.75" customHeight="1" x14ac:dyDescent="0.25">
      <c r="D669" s="1"/>
    </row>
    <row r="670" spans="4:4" ht="15.75" customHeight="1" x14ac:dyDescent="0.25">
      <c r="D670" s="1"/>
    </row>
    <row r="671" spans="4:4" ht="15.75" customHeight="1" x14ac:dyDescent="0.25">
      <c r="D671" s="1"/>
    </row>
    <row r="672" spans="4:4" ht="15.75" customHeight="1" x14ac:dyDescent="0.25">
      <c r="D672" s="1"/>
    </row>
    <row r="673" spans="4:4" ht="15.75" customHeight="1" x14ac:dyDescent="0.25">
      <c r="D673" s="1"/>
    </row>
    <row r="674" spans="4:4" ht="15.75" customHeight="1" x14ac:dyDescent="0.25">
      <c r="D674" s="1"/>
    </row>
    <row r="675" spans="4:4" ht="15.75" customHeight="1" x14ac:dyDescent="0.25">
      <c r="D675" s="1"/>
    </row>
    <row r="676" spans="4:4" ht="15.75" customHeight="1" x14ac:dyDescent="0.25">
      <c r="D676" s="1"/>
    </row>
    <row r="677" spans="4:4" ht="15.75" customHeight="1" x14ac:dyDescent="0.25">
      <c r="D677" s="1"/>
    </row>
    <row r="678" spans="4:4" ht="15.75" customHeight="1" x14ac:dyDescent="0.25">
      <c r="D678" s="1"/>
    </row>
    <row r="679" spans="4:4" ht="15.75" customHeight="1" x14ac:dyDescent="0.25">
      <c r="D679" s="1"/>
    </row>
    <row r="680" spans="4:4" ht="15.75" customHeight="1" x14ac:dyDescent="0.25">
      <c r="D680" s="1"/>
    </row>
    <row r="681" spans="4:4" ht="15.75" customHeight="1" x14ac:dyDescent="0.25">
      <c r="D681" s="1"/>
    </row>
    <row r="682" spans="4:4" ht="15.75" customHeight="1" x14ac:dyDescent="0.25">
      <c r="D682" s="1"/>
    </row>
    <row r="683" spans="4:4" ht="15.75" customHeight="1" x14ac:dyDescent="0.25">
      <c r="D683" s="1"/>
    </row>
    <row r="684" spans="4:4" ht="15.75" customHeight="1" x14ac:dyDescent="0.25">
      <c r="D684" s="1"/>
    </row>
    <row r="685" spans="4:4" ht="15.75" customHeight="1" x14ac:dyDescent="0.25">
      <c r="D685" s="1"/>
    </row>
    <row r="686" spans="4:4" ht="15.75" customHeight="1" x14ac:dyDescent="0.25">
      <c r="D686" s="1"/>
    </row>
    <row r="687" spans="4:4" ht="15.75" customHeight="1" x14ac:dyDescent="0.25">
      <c r="D687" s="1"/>
    </row>
    <row r="688" spans="4:4" ht="15.75" customHeight="1" x14ac:dyDescent="0.25">
      <c r="D688" s="1"/>
    </row>
    <row r="689" spans="4:4" ht="15.75" customHeight="1" x14ac:dyDescent="0.25">
      <c r="D689" s="1"/>
    </row>
    <row r="690" spans="4:4" ht="15.75" customHeight="1" x14ac:dyDescent="0.25">
      <c r="D690" s="1"/>
    </row>
    <row r="691" spans="4:4" ht="15.75" customHeight="1" x14ac:dyDescent="0.25">
      <c r="D691" s="1"/>
    </row>
    <row r="692" spans="4:4" ht="15.75" customHeight="1" x14ac:dyDescent="0.25">
      <c r="D692" s="1"/>
    </row>
    <row r="693" spans="4:4" ht="15.75" customHeight="1" x14ac:dyDescent="0.25">
      <c r="D693" s="1"/>
    </row>
    <row r="694" spans="4:4" ht="15.75" customHeight="1" x14ac:dyDescent="0.25">
      <c r="D694" s="1"/>
    </row>
    <row r="695" spans="4:4" ht="15.75" customHeight="1" x14ac:dyDescent="0.25">
      <c r="D695" s="1"/>
    </row>
    <row r="696" spans="4:4" ht="15.75" customHeight="1" x14ac:dyDescent="0.25">
      <c r="D696" s="1"/>
    </row>
    <row r="697" spans="4:4" ht="15.75" customHeight="1" x14ac:dyDescent="0.25">
      <c r="D697" s="1"/>
    </row>
    <row r="698" spans="4:4" ht="15.75" customHeight="1" x14ac:dyDescent="0.25">
      <c r="D698" s="1"/>
    </row>
    <row r="699" spans="4:4" ht="15.75" customHeight="1" x14ac:dyDescent="0.25">
      <c r="D699" s="1"/>
    </row>
    <row r="700" spans="4:4" ht="15.75" customHeight="1" x14ac:dyDescent="0.25">
      <c r="D700" s="1"/>
    </row>
    <row r="701" spans="4:4" ht="15.75" customHeight="1" x14ac:dyDescent="0.25">
      <c r="D701" s="1"/>
    </row>
    <row r="702" spans="4:4" ht="15.75" customHeight="1" x14ac:dyDescent="0.25">
      <c r="D702" s="1"/>
    </row>
    <row r="703" spans="4:4" ht="15.75" customHeight="1" x14ac:dyDescent="0.25">
      <c r="D703" s="1"/>
    </row>
    <row r="704" spans="4:4" ht="15.75" customHeight="1" x14ac:dyDescent="0.25">
      <c r="D704" s="1"/>
    </row>
    <row r="705" spans="4:4" ht="15.75" customHeight="1" x14ac:dyDescent="0.25">
      <c r="D705" s="1"/>
    </row>
    <row r="706" spans="4:4" ht="15.75" customHeight="1" x14ac:dyDescent="0.25">
      <c r="D706" s="1"/>
    </row>
    <row r="707" spans="4:4" ht="15.75" customHeight="1" x14ac:dyDescent="0.25">
      <c r="D707" s="1"/>
    </row>
    <row r="708" spans="4:4" ht="15.75" customHeight="1" x14ac:dyDescent="0.25">
      <c r="D708" s="1"/>
    </row>
    <row r="709" spans="4:4" ht="15.75" customHeight="1" x14ac:dyDescent="0.25">
      <c r="D709" s="1"/>
    </row>
    <row r="710" spans="4:4" ht="15.75" customHeight="1" x14ac:dyDescent="0.25">
      <c r="D710" s="1"/>
    </row>
    <row r="711" spans="4:4" ht="15.75" customHeight="1" x14ac:dyDescent="0.25">
      <c r="D711" s="1"/>
    </row>
    <row r="712" spans="4:4" ht="15.75" customHeight="1" x14ac:dyDescent="0.25">
      <c r="D712" s="1"/>
    </row>
    <row r="713" spans="4:4" ht="15.75" customHeight="1" x14ac:dyDescent="0.25">
      <c r="D713" s="1"/>
    </row>
    <row r="714" spans="4:4" ht="15.75" customHeight="1" x14ac:dyDescent="0.25">
      <c r="D714" s="1"/>
    </row>
    <row r="715" spans="4:4" ht="15.75" customHeight="1" x14ac:dyDescent="0.25">
      <c r="D715" s="1"/>
    </row>
    <row r="716" spans="4:4" ht="15.75" customHeight="1" x14ac:dyDescent="0.25">
      <c r="D716" s="1"/>
    </row>
    <row r="717" spans="4:4" ht="15.75" customHeight="1" x14ac:dyDescent="0.25">
      <c r="D717" s="1"/>
    </row>
    <row r="718" spans="4:4" ht="15.75" customHeight="1" x14ac:dyDescent="0.25">
      <c r="D718" s="1"/>
    </row>
    <row r="719" spans="4:4" ht="15.75" customHeight="1" x14ac:dyDescent="0.25">
      <c r="D719" s="1"/>
    </row>
    <row r="720" spans="4:4" ht="15.75" customHeight="1" x14ac:dyDescent="0.25">
      <c r="D720" s="1"/>
    </row>
    <row r="721" spans="4:4" ht="15.75" customHeight="1" x14ac:dyDescent="0.25">
      <c r="D721" s="1"/>
    </row>
    <row r="722" spans="4:4" ht="15.75" customHeight="1" x14ac:dyDescent="0.25">
      <c r="D722" s="1"/>
    </row>
    <row r="723" spans="4:4" ht="15.75" customHeight="1" x14ac:dyDescent="0.25">
      <c r="D723" s="1"/>
    </row>
    <row r="724" spans="4:4" ht="15.75" customHeight="1" x14ac:dyDescent="0.25">
      <c r="D724" s="1"/>
    </row>
    <row r="725" spans="4:4" ht="15.75" customHeight="1" x14ac:dyDescent="0.25">
      <c r="D725" s="1"/>
    </row>
    <row r="726" spans="4:4" ht="15.75" customHeight="1" x14ac:dyDescent="0.25">
      <c r="D726" s="1"/>
    </row>
    <row r="727" spans="4:4" ht="15.75" customHeight="1" x14ac:dyDescent="0.25">
      <c r="D727" s="1"/>
    </row>
    <row r="728" spans="4:4" ht="15.75" customHeight="1" x14ac:dyDescent="0.25">
      <c r="D728" s="1"/>
    </row>
    <row r="729" spans="4:4" ht="15.75" customHeight="1" x14ac:dyDescent="0.25">
      <c r="D729" s="1"/>
    </row>
    <row r="730" spans="4:4" ht="15.75" customHeight="1" x14ac:dyDescent="0.25">
      <c r="D730" s="1"/>
    </row>
    <row r="731" spans="4:4" ht="15.75" customHeight="1" x14ac:dyDescent="0.25">
      <c r="D731" s="1"/>
    </row>
    <row r="732" spans="4:4" ht="15.75" customHeight="1" x14ac:dyDescent="0.25">
      <c r="D732" s="1"/>
    </row>
    <row r="733" spans="4:4" ht="15.75" customHeight="1" x14ac:dyDescent="0.25">
      <c r="D733" s="1"/>
    </row>
    <row r="734" spans="4:4" ht="15.75" customHeight="1" x14ac:dyDescent="0.25">
      <c r="D734" s="1"/>
    </row>
    <row r="735" spans="4:4" ht="15.75" customHeight="1" x14ac:dyDescent="0.25">
      <c r="D735" s="1"/>
    </row>
    <row r="736" spans="4:4" ht="15.75" customHeight="1" x14ac:dyDescent="0.25">
      <c r="D736" s="1"/>
    </row>
    <row r="737" spans="4:4" ht="15.75" customHeight="1" x14ac:dyDescent="0.25">
      <c r="D737" s="1"/>
    </row>
    <row r="738" spans="4:4" ht="15.75" customHeight="1" x14ac:dyDescent="0.25">
      <c r="D738" s="1"/>
    </row>
    <row r="739" spans="4:4" ht="15.75" customHeight="1" x14ac:dyDescent="0.25">
      <c r="D739" s="1"/>
    </row>
    <row r="740" spans="4:4" ht="15.75" customHeight="1" x14ac:dyDescent="0.25">
      <c r="D740" s="1"/>
    </row>
    <row r="741" spans="4:4" ht="15.75" customHeight="1" x14ac:dyDescent="0.25">
      <c r="D741" s="1"/>
    </row>
    <row r="742" spans="4:4" ht="15.75" customHeight="1" x14ac:dyDescent="0.25">
      <c r="D742" s="1"/>
    </row>
    <row r="743" spans="4:4" ht="15.75" customHeight="1" x14ac:dyDescent="0.25">
      <c r="D743" s="1"/>
    </row>
    <row r="744" spans="4:4" ht="15.75" customHeight="1" x14ac:dyDescent="0.25">
      <c r="D744" s="1"/>
    </row>
    <row r="745" spans="4:4" ht="15.75" customHeight="1" x14ac:dyDescent="0.25">
      <c r="D745" s="1"/>
    </row>
    <row r="746" spans="4:4" ht="15.75" customHeight="1" x14ac:dyDescent="0.25">
      <c r="D746" s="1"/>
    </row>
    <row r="747" spans="4:4" ht="15.75" customHeight="1" x14ac:dyDescent="0.25">
      <c r="D747" s="1"/>
    </row>
    <row r="748" spans="4:4" ht="15.75" customHeight="1" x14ac:dyDescent="0.25">
      <c r="D748" s="1"/>
    </row>
    <row r="749" spans="4:4" ht="15.75" customHeight="1" x14ac:dyDescent="0.25">
      <c r="D749" s="1"/>
    </row>
    <row r="750" spans="4:4" ht="15.75" customHeight="1" x14ac:dyDescent="0.25">
      <c r="D750" s="1"/>
    </row>
    <row r="751" spans="4:4" ht="15.75" customHeight="1" x14ac:dyDescent="0.25">
      <c r="D751" s="1"/>
    </row>
    <row r="752" spans="4:4" ht="15.75" customHeight="1" x14ac:dyDescent="0.25">
      <c r="D752" s="1"/>
    </row>
    <row r="753" spans="4:4" ht="15.75" customHeight="1" x14ac:dyDescent="0.25">
      <c r="D753" s="1"/>
    </row>
    <row r="754" spans="4:4" ht="15.75" customHeight="1" x14ac:dyDescent="0.25">
      <c r="D754" s="1"/>
    </row>
    <row r="755" spans="4:4" ht="15.75" customHeight="1" x14ac:dyDescent="0.25">
      <c r="D755" s="1"/>
    </row>
    <row r="756" spans="4:4" ht="15.75" customHeight="1" x14ac:dyDescent="0.25">
      <c r="D756" s="1"/>
    </row>
    <row r="757" spans="4:4" ht="15.75" customHeight="1" x14ac:dyDescent="0.25">
      <c r="D757" s="1"/>
    </row>
    <row r="758" spans="4:4" ht="15.75" customHeight="1" x14ac:dyDescent="0.25">
      <c r="D758" s="1"/>
    </row>
    <row r="759" spans="4:4" ht="15.75" customHeight="1" x14ac:dyDescent="0.25">
      <c r="D759" s="1"/>
    </row>
    <row r="760" spans="4:4" ht="15.75" customHeight="1" x14ac:dyDescent="0.25">
      <c r="D760" s="1"/>
    </row>
    <row r="761" spans="4:4" ht="15.75" customHeight="1" x14ac:dyDescent="0.25">
      <c r="D761" s="1"/>
    </row>
    <row r="762" spans="4:4" ht="15.75" customHeight="1" x14ac:dyDescent="0.25">
      <c r="D762" s="1"/>
    </row>
    <row r="763" spans="4:4" ht="15.75" customHeight="1" x14ac:dyDescent="0.25">
      <c r="D763" s="1"/>
    </row>
    <row r="764" spans="4:4" ht="15.75" customHeight="1" x14ac:dyDescent="0.25">
      <c r="D764" s="1"/>
    </row>
    <row r="765" spans="4:4" ht="15.75" customHeight="1" x14ac:dyDescent="0.25">
      <c r="D765" s="1"/>
    </row>
    <row r="766" spans="4:4" ht="15.75" customHeight="1" x14ac:dyDescent="0.25">
      <c r="D766" s="1"/>
    </row>
    <row r="767" spans="4:4" ht="15.75" customHeight="1" x14ac:dyDescent="0.25">
      <c r="D767" s="1"/>
    </row>
    <row r="768" spans="4:4" ht="15.75" customHeight="1" x14ac:dyDescent="0.25">
      <c r="D768" s="1"/>
    </row>
    <row r="769" spans="4:4" ht="15.75" customHeight="1" x14ac:dyDescent="0.25">
      <c r="D769" s="1"/>
    </row>
    <row r="770" spans="4:4" ht="15.75" customHeight="1" x14ac:dyDescent="0.25">
      <c r="D770" s="1"/>
    </row>
    <row r="771" spans="4:4" ht="15.75" customHeight="1" x14ac:dyDescent="0.25">
      <c r="D771" s="1"/>
    </row>
    <row r="772" spans="4:4" ht="15.75" customHeight="1" x14ac:dyDescent="0.25">
      <c r="D772" s="1"/>
    </row>
    <row r="773" spans="4:4" ht="15.75" customHeight="1" x14ac:dyDescent="0.25">
      <c r="D773" s="1"/>
    </row>
    <row r="774" spans="4:4" ht="15.75" customHeight="1" x14ac:dyDescent="0.25">
      <c r="D774" s="1"/>
    </row>
    <row r="775" spans="4:4" ht="15.75" customHeight="1" x14ac:dyDescent="0.25">
      <c r="D775" s="1"/>
    </row>
    <row r="776" spans="4:4" ht="15.75" customHeight="1" x14ac:dyDescent="0.25">
      <c r="D776" s="1"/>
    </row>
    <row r="777" spans="4:4" ht="15.75" customHeight="1" x14ac:dyDescent="0.25">
      <c r="D777" s="1"/>
    </row>
    <row r="778" spans="4:4" ht="15.75" customHeight="1" x14ac:dyDescent="0.25">
      <c r="D778" s="1"/>
    </row>
    <row r="779" spans="4:4" ht="15.75" customHeight="1" x14ac:dyDescent="0.25">
      <c r="D779" s="1"/>
    </row>
    <row r="780" spans="4:4" ht="15.75" customHeight="1" x14ac:dyDescent="0.25">
      <c r="D780" s="1"/>
    </row>
    <row r="781" spans="4:4" ht="15.75" customHeight="1" x14ac:dyDescent="0.25">
      <c r="D781" s="1"/>
    </row>
    <row r="782" spans="4:4" ht="15.75" customHeight="1" x14ac:dyDescent="0.25">
      <c r="D782" s="1"/>
    </row>
    <row r="783" spans="4:4" ht="15.75" customHeight="1" x14ac:dyDescent="0.25">
      <c r="D783" s="1"/>
    </row>
    <row r="784" spans="4:4" ht="15.75" customHeight="1" x14ac:dyDescent="0.25">
      <c r="D784" s="1"/>
    </row>
    <row r="785" spans="4:4" ht="15.75" customHeight="1" x14ac:dyDescent="0.25">
      <c r="D785" s="1"/>
    </row>
    <row r="786" spans="4:4" ht="15.75" customHeight="1" x14ac:dyDescent="0.25">
      <c r="D786" s="1"/>
    </row>
    <row r="787" spans="4:4" ht="15.75" customHeight="1" x14ac:dyDescent="0.25">
      <c r="D787" s="1"/>
    </row>
    <row r="788" spans="4:4" ht="15.75" customHeight="1" x14ac:dyDescent="0.25">
      <c r="D788" s="1"/>
    </row>
    <row r="789" spans="4:4" ht="15.75" customHeight="1" x14ac:dyDescent="0.25">
      <c r="D789" s="1"/>
    </row>
    <row r="790" spans="4:4" ht="15.75" customHeight="1" x14ac:dyDescent="0.25">
      <c r="D790" s="1"/>
    </row>
    <row r="791" spans="4:4" ht="15.75" customHeight="1" x14ac:dyDescent="0.25">
      <c r="D791" s="1"/>
    </row>
    <row r="792" spans="4:4" ht="15.75" customHeight="1" x14ac:dyDescent="0.25">
      <c r="D792" s="1"/>
    </row>
    <row r="793" spans="4:4" ht="15.75" customHeight="1" x14ac:dyDescent="0.25">
      <c r="D793" s="1"/>
    </row>
    <row r="794" spans="4:4" ht="15.75" customHeight="1" x14ac:dyDescent="0.25">
      <c r="D794" s="1"/>
    </row>
    <row r="795" spans="4:4" ht="15.75" customHeight="1" x14ac:dyDescent="0.25">
      <c r="D795" s="1"/>
    </row>
    <row r="796" spans="4:4" ht="15.75" customHeight="1" x14ac:dyDescent="0.25">
      <c r="D796" s="1"/>
    </row>
    <row r="797" spans="4:4" ht="15.75" customHeight="1" x14ac:dyDescent="0.25">
      <c r="D797" s="1"/>
    </row>
    <row r="798" spans="4:4" ht="15.75" customHeight="1" x14ac:dyDescent="0.25">
      <c r="D798" s="1"/>
    </row>
    <row r="799" spans="4:4" ht="15.75" customHeight="1" x14ac:dyDescent="0.25">
      <c r="D799" s="1"/>
    </row>
    <row r="800" spans="4:4" ht="15.75" customHeight="1" x14ac:dyDescent="0.25">
      <c r="D800" s="1"/>
    </row>
    <row r="801" spans="4:4" ht="15.75" customHeight="1" x14ac:dyDescent="0.25">
      <c r="D801" s="1"/>
    </row>
    <row r="802" spans="4:4" ht="15.75" customHeight="1" x14ac:dyDescent="0.25">
      <c r="D802" s="1"/>
    </row>
    <row r="803" spans="4:4" ht="15.75" customHeight="1" x14ac:dyDescent="0.25">
      <c r="D803" s="1"/>
    </row>
    <row r="804" spans="4:4" ht="15.75" customHeight="1" x14ac:dyDescent="0.25">
      <c r="D804" s="1"/>
    </row>
    <row r="805" spans="4:4" ht="15.75" customHeight="1" x14ac:dyDescent="0.25">
      <c r="D805" s="1"/>
    </row>
    <row r="806" spans="4:4" ht="15.75" customHeight="1" x14ac:dyDescent="0.25">
      <c r="D806" s="1"/>
    </row>
    <row r="807" spans="4:4" ht="15.75" customHeight="1" x14ac:dyDescent="0.25">
      <c r="D807" s="1"/>
    </row>
    <row r="808" spans="4:4" ht="15.75" customHeight="1" x14ac:dyDescent="0.25">
      <c r="D808" s="1"/>
    </row>
    <row r="809" spans="4:4" ht="15.75" customHeight="1" x14ac:dyDescent="0.25">
      <c r="D809" s="1"/>
    </row>
    <row r="810" spans="4:4" ht="15.75" customHeight="1" x14ac:dyDescent="0.25">
      <c r="D810" s="1"/>
    </row>
    <row r="811" spans="4:4" ht="15.75" customHeight="1" x14ac:dyDescent="0.25">
      <c r="D811" s="1"/>
    </row>
    <row r="812" spans="4:4" ht="15.75" customHeight="1" x14ac:dyDescent="0.25">
      <c r="D812" s="1"/>
    </row>
    <row r="813" spans="4:4" ht="15.75" customHeight="1" x14ac:dyDescent="0.25">
      <c r="D813" s="1"/>
    </row>
    <row r="814" spans="4:4" ht="15.75" customHeight="1" x14ac:dyDescent="0.25">
      <c r="D814" s="1"/>
    </row>
    <row r="815" spans="4:4" ht="15.75" customHeight="1" x14ac:dyDescent="0.25">
      <c r="D815" s="1"/>
    </row>
    <row r="816" spans="4:4" ht="15.75" customHeight="1" x14ac:dyDescent="0.25">
      <c r="D816" s="1"/>
    </row>
    <row r="817" spans="4:4" ht="15.75" customHeight="1" x14ac:dyDescent="0.25">
      <c r="D817" s="1"/>
    </row>
    <row r="818" spans="4:4" ht="15.75" customHeight="1" x14ac:dyDescent="0.25">
      <c r="D818" s="1"/>
    </row>
    <row r="819" spans="4:4" ht="15.75" customHeight="1" x14ac:dyDescent="0.25">
      <c r="D819" s="1"/>
    </row>
    <row r="820" spans="4:4" ht="15.75" customHeight="1" x14ac:dyDescent="0.25">
      <c r="D820" s="1"/>
    </row>
    <row r="821" spans="4:4" ht="15.75" customHeight="1" x14ac:dyDescent="0.25">
      <c r="D821" s="1"/>
    </row>
    <row r="822" spans="4:4" ht="15.75" customHeight="1" x14ac:dyDescent="0.25">
      <c r="D822" s="1"/>
    </row>
    <row r="823" spans="4:4" ht="15.75" customHeight="1" x14ac:dyDescent="0.25">
      <c r="D823" s="1"/>
    </row>
    <row r="824" spans="4:4" ht="15.75" customHeight="1" x14ac:dyDescent="0.25">
      <c r="D824" s="1"/>
    </row>
    <row r="825" spans="4:4" ht="15.75" customHeight="1" x14ac:dyDescent="0.25">
      <c r="D825" s="1"/>
    </row>
    <row r="826" spans="4:4" ht="15.75" customHeight="1" x14ac:dyDescent="0.25">
      <c r="D826" s="1"/>
    </row>
    <row r="827" spans="4:4" ht="15.75" customHeight="1" x14ac:dyDescent="0.25">
      <c r="D827" s="1"/>
    </row>
    <row r="828" spans="4:4" ht="15.75" customHeight="1" x14ac:dyDescent="0.25">
      <c r="D828" s="1"/>
    </row>
    <row r="829" spans="4:4" ht="15.75" customHeight="1" x14ac:dyDescent="0.25">
      <c r="D829" s="1"/>
    </row>
    <row r="830" spans="4:4" ht="15.75" customHeight="1" x14ac:dyDescent="0.25">
      <c r="D830" s="1"/>
    </row>
    <row r="831" spans="4:4" ht="15.75" customHeight="1" x14ac:dyDescent="0.25">
      <c r="D831" s="1"/>
    </row>
    <row r="832" spans="4:4" ht="15.75" customHeight="1" x14ac:dyDescent="0.25">
      <c r="D832" s="1"/>
    </row>
    <row r="833" spans="4:4" ht="15.75" customHeight="1" x14ac:dyDescent="0.25">
      <c r="D833" s="1"/>
    </row>
    <row r="834" spans="4:4" ht="15.75" customHeight="1" x14ac:dyDescent="0.25">
      <c r="D834" s="1"/>
    </row>
    <row r="835" spans="4:4" ht="15.75" customHeight="1" x14ac:dyDescent="0.25">
      <c r="D835" s="1"/>
    </row>
    <row r="836" spans="4:4" ht="15.75" customHeight="1" x14ac:dyDescent="0.25">
      <c r="D836" s="1"/>
    </row>
    <row r="837" spans="4:4" ht="15.75" customHeight="1" x14ac:dyDescent="0.25">
      <c r="D837" s="1"/>
    </row>
    <row r="838" spans="4:4" ht="15.75" customHeight="1" x14ac:dyDescent="0.25">
      <c r="D838" s="1"/>
    </row>
    <row r="839" spans="4:4" ht="15.75" customHeight="1" x14ac:dyDescent="0.25">
      <c r="D839" s="1"/>
    </row>
    <row r="840" spans="4:4" ht="15.75" customHeight="1" x14ac:dyDescent="0.25">
      <c r="D840" s="1"/>
    </row>
    <row r="841" spans="4:4" ht="15.75" customHeight="1" x14ac:dyDescent="0.25">
      <c r="D841" s="1"/>
    </row>
    <row r="842" spans="4:4" ht="15.75" customHeight="1" x14ac:dyDescent="0.25">
      <c r="D842" s="1"/>
    </row>
    <row r="843" spans="4:4" ht="15.75" customHeight="1" x14ac:dyDescent="0.25">
      <c r="D843" s="1"/>
    </row>
    <row r="844" spans="4:4" ht="15.75" customHeight="1" x14ac:dyDescent="0.25">
      <c r="D844" s="1"/>
    </row>
    <row r="845" spans="4:4" ht="15.75" customHeight="1" x14ac:dyDescent="0.25">
      <c r="D845" s="1"/>
    </row>
    <row r="846" spans="4:4" ht="15.75" customHeight="1" x14ac:dyDescent="0.25">
      <c r="D846" s="1"/>
    </row>
    <row r="847" spans="4:4" ht="15.75" customHeight="1" x14ac:dyDescent="0.25">
      <c r="D847" s="1"/>
    </row>
    <row r="848" spans="4:4" ht="15.75" customHeight="1" x14ac:dyDescent="0.25">
      <c r="D848" s="1"/>
    </row>
    <row r="849" spans="4:4" ht="15.75" customHeight="1" x14ac:dyDescent="0.25">
      <c r="D849" s="1"/>
    </row>
    <row r="850" spans="4:4" ht="15.75" customHeight="1" x14ac:dyDescent="0.25">
      <c r="D850" s="1"/>
    </row>
    <row r="851" spans="4:4" ht="15.75" customHeight="1" x14ac:dyDescent="0.25">
      <c r="D851" s="1"/>
    </row>
    <row r="852" spans="4:4" ht="15.75" customHeight="1" x14ac:dyDescent="0.25">
      <c r="D852" s="1"/>
    </row>
    <row r="853" spans="4:4" ht="15.75" customHeight="1" x14ac:dyDescent="0.25">
      <c r="D853" s="1"/>
    </row>
    <row r="854" spans="4:4" ht="15.75" customHeight="1" x14ac:dyDescent="0.25">
      <c r="D854" s="1"/>
    </row>
    <row r="855" spans="4:4" ht="15.75" customHeight="1" x14ac:dyDescent="0.25">
      <c r="D855" s="1"/>
    </row>
    <row r="856" spans="4:4" ht="15.75" customHeight="1" x14ac:dyDescent="0.25">
      <c r="D856" s="1"/>
    </row>
    <row r="857" spans="4:4" ht="15.75" customHeight="1" x14ac:dyDescent="0.25">
      <c r="D857" s="1"/>
    </row>
    <row r="858" spans="4:4" ht="15.75" customHeight="1" x14ac:dyDescent="0.25">
      <c r="D858" s="1"/>
    </row>
    <row r="859" spans="4:4" ht="15.75" customHeight="1" x14ac:dyDescent="0.25">
      <c r="D859" s="1"/>
    </row>
    <row r="860" spans="4:4" ht="15.75" customHeight="1" x14ac:dyDescent="0.25">
      <c r="D860" s="1"/>
    </row>
    <row r="861" spans="4:4" ht="15.75" customHeight="1" x14ac:dyDescent="0.25">
      <c r="D861" s="1"/>
    </row>
    <row r="862" spans="4:4" ht="15.75" customHeight="1" x14ac:dyDescent="0.25">
      <c r="D862" s="1"/>
    </row>
    <row r="863" spans="4:4" ht="15.75" customHeight="1" x14ac:dyDescent="0.25">
      <c r="D863" s="1"/>
    </row>
    <row r="864" spans="4:4" ht="15.75" customHeight="1" x14ac:dyDescent="0.25">
      <c r="D864" s="1"/>
    </row>
    <row r="865" spans="4:4" ht="15.75" customHeight="1" x14ac:dyDescent="0.25">
      <c r="D865" s="1"/>
    </row>
    <row r="866" spans="4:4" ht="15.75" customHeight="1" x14ac:dyDescent="0.25">
      <c r="D866" s="1"/>
    </row>
    <row r="867" spans="4:4" ht="15.75" customHeight="1" x14ac:dyDescent="0.25">
      <c r="D867" s="1"/>
    </row>
    <row r="868" spans="4:4" ht="15.75" customHeight="1" x14ac:dyDescent="0.25">
      <c r="D868" s="1"/>
    </row>
    <row r="869" spans="4:4" ht="15.75" customHeight="1" x14ac:dyDescent="0.25">
      <c r="D869" s="1"/>
    </row>
    <row r="870" spans="4:4" ht="15.75" customHeight="1" x14ac:dyDescent="0.25">
      <c r="D870" s="1"/>
    </row>
    <row r="871" spans="4:4" ht="15.75" customHeight="1" x14ac:dyDescent="0.25">
      <c r="D871" s="1"/>
    </row>
    <row r="872" spans="4:4" ht="15.75" customHeight="1" x14ac:dyDescent="0.25">
      <c r="D872" s="1"/>
    </row>
    <row r="873" spans="4:4" ht="15.75" customHeight="1" x14ac:dyDescent="0.25">
      <c r="D873" s="1"/>
    </row>
    <row r="874" spans="4:4" ht="15.75" customHeight="1" x14ac:dyDescent="0.25">
      <c r="D874" s="1"/>
    </row>
    <row r="875" spans="4:4" ht="15.75" customHeight="1" x14ac:dyDescent="0.25">
      <c r="D875" s="1"/>
    </row>
    <row r="876" spans="4:4" ht="15.75" customHeight="1" x14ac:dyDescent="0.25">
      <c r="D876" s="1"/>
    </row>
    <row r="877" spans="4:4" ht="15.75" customHeight="1" x14ac:dyDescent="0.25">
      <c r="D877" s="1"/>
    </row>
    <row r="878" spans="4:4" ht="15.75" customHeight="1" x14ac:dyDescent="0.25">
      <c r="D878" s="1"/>
    </row>
    <row r="879" spans="4:4" ht="15.75" customHeight="1" x14ac:dyDescent="0.25">
      <c r="D879" s="1"/>
    </row>
    <row r="880" spans="4:4" ht="15.75" customHeight="1" x14ac:dyDescent="0.25">
      <c r="D880" s="1"/>
    </row>
    <row r="881" spans="4:4" ht="15.75" customHeight="1" x14ac:dyDescent="0.25">
      <c r="D881" s="1"/>
    </row>
    <row r="882" spans="4:4" ht="15.75" customHeight="1" x14ac:dyDescent="0.25">
      <c r="D882" s="1"/>
    </row>
    <row r="883" spans="4:4" ht="15.75" customHeight="1" x14ac:dyDescent="0.25">
      <c r="D883" s="1"/>
    </row>
    <row r="884" spans="4:4" ht="15.75" customHeight="1" x14ac:dyDescent="0.25">
      <c r="D884" s="1"/>
    </row>
    <row r="885" spans="4:4" ht="15.75" customHeight="1" x14ac:dyDescent="0.25">
      <c r="D885" s="1"/>
    </row>
    <row r="886" spans="4:4" ht="15.75" customHeight="1" x14ac:dyDescent="0.25">
      <c r="D886" s="1"/>
    </row>
    <row r="887" spans="4:4" ht="15.75" customHeight="1" x14ac:dyDescent="0.25">
      <c r="D887" s="1"/>
    </row>
    <row r="888" spans="4:4" ht="15.75" customHeight="1" x14ac:dyDescent="0.25">
      <c r="D888" s="1"/>
    </row>
    <row r="889" spans="4:4" ht="15.75" customHeight="1" x14ac:dyDescent="0.25">
      <c r="D889" s="1"/>
    </row>
    <row r="890" spans="4:4" ht="15.75" customHeight="1" x14ac:dyDescent="0.25">
      <c r="D890" s="1"/>
    </row>
    <row r="891" spans="4:4" ht="15.75" customHeight="1" x14ac:dyDescent="0.25">
      <c r="D891" s="1"/>
    </row>
    <row r="892" spans="4:4" ht="15.75" customHeight="1" x14ac:dyDescent="0.25">
      <c r="D892" s="1"/>
    </row>
    <row r="893" spans="4:4" ht="15.75" customHeight="1" x14ac:dyDescent="0.25">
      <c r="D893" s="1"/>
    </row>
    <row r="894" spans="4:4" ht="15.75" customHeight="1" x14ac:dyDescent="0.25">
      <c r="D894" s="1"/>
    </row>
    <row r="895" spans="4:4" ht="15.75" customHeight="1" x14ac:dyDescent="0.25">
      <c r="D895" s="1"/>
    </row>
    <row r="896" spans="4:4" ht="15.75" customHeight="1" x14ac:dyDescent="0.25">
      <c r="D896" s="1"/>
    </row>
    <row r="897" spans="4:4" ht="15.75" customHeight="1" x14ac:dyDescent="0.25">
      <c r="D897" s="1"/>
    </row>
    <row r="898" spans="4:4" ht="15.75" customHeight="1" x14ac:dyDescent="0.25">
      <c r="D898" s="1"/>
    </row>
    <row r="899" spans="4:4" ht="15.75" customHeight="1" x14ac:dyDescent="0.25">
      <c r="D899" s="1"/>
    </row>
    <row r="900" spans="4:4" ht="15.75" customHeight="1" x14ac:dyDescent="0.25">
      <c r="D900" s="1"/>
    </row>
    <row r="901" spans="4:4" ht="15.75" customHeight="1" x14ac:dyDescent="0.25">
      <c r="D901" s="1"/>
    </row>
    <row r="902" spans="4:4" ht="15.75" customHeight="1" x14ac:dyDescent="0.25">
      <c r="D902" s="1"/>
    </row>
    <row r="903" spans="4:4" ht="15.75" customHeight="1" x14ac:dyDescent="0.25">
      <c r="D903" s="1"/>
    </row>
    <row r="904" spans="4:4" ht="15.75" customHeight="1" x14ac:dyDescent="0.25">
      <c r="D904" s="1"/>
    </row>
    <row r="905" spans="4:4" ht="15.75" customHeight="1" x14ac:dyDescent="0.25">
      <c r="D905" s="1"/>
    </row>
    <row r="906" spans="4:4" ht="15.75" customHeight="1" x14ac:dyDescent="0.25">
      <c r="D906" s="1"/>
    </row>
    <row r="907" spans="4:4" ht="15.75" customHeight="1" x14ac:dyDescent="0.25">
      <c r="D907" s="1"/>
    </row>
    <row r="908" spans="4:4" ht="15.75" customHeight="1" x14ac:dyDescent="0.25">
      <c r="D908" s="1"/>
    </row>
    <row r="909" spans="4:4" ht="15.75" customHeight="1" x14ac:dyDescent="0.25">
      <c r="D909" s="1"/>
    </row>
    <row r="910" spans="4:4" ht="15.75" customHeight="1" x14ac:dyDescent="0.25">
      <c r="D910" s="1"/>
    </row>
    <row r="911" spans="4:4" ht="15.75" customHeight="1" x14ac:dyDescent="0.25">
      <c r="D911" s="1"/>
    </row>
    <row r="912" spans="4:4" ht="15.75" customHeight="1" x14ac:dyDescent="0.25">
      <c r="D912" s="1"/>
    </row>
    <row r="913" spans="4:4" ht="15.75" customHeight="1" x14ac:dyDescent="0.25">
      <c r="D913" s="1"/>
    </row>
    <row r="914" spans="4:4" ht="15.75" customHeight="1" x14ac:dyDescent="0.25">
      <c r="D914" s="1"/>
    </row>
    <row r="915" spans="4:4" ht="15.75" customHeight="1" x14ac:dyDescent="0.25">
      <c r="D915" s="1"/>
    </row>
    <row r="916" spans="4:4" ht="15.75" customHeight="1" x14ac:dyDescent="0.25">
      <c r="D916" s="1"/>
    </row>
    <row r="917" spans="4:4" ht="15.75" customHeight="1" x14ac:dyDescent="0.25">
      <c r="D917" s="1"/>
    </row>
    <row r="918" spans="4:4" ht="15.75" customHeight="1" x14ac:dyDescent="0.25">
      <c r="D918" s="1"/>
    </row>
    <row r="919" spans="4:4" ht="15.75" customHeight="1" x14ac:dyDescent="0.25">
      <c r="D919" s="1"/>
    </row>
    <row r="920" spans="4:4" ht="15.75" customHeight="1" x14ac:dyDescent="0.25">
      <c r="D920" s="1"/>
    </row>
    <row r="921" spans="4:4" ht="15.75" customHeight="1" x14ac:dyDescent="0.25">
      <c r="D921" s="1"/>
    </row>
    <row r="922" spans="4:4" ht="15.75" customHeight="1" x14ac:dyDescent="0.25">
      <c r="D922" s="1"/>
    </row>
    <row r="923" spans="4:4" ht="15.75" customHeight="1" x14ac:dyDescent="0.25">
      <c r="D923" s="1"/>
    </row>
    <row r="924" spans="4:4" ht="15.75" customHeight="1" x14ac:dyDescent="0.25">
      <c r="D924" s="1"/>
    </row>
    <row r="925" spans="4:4" ht="15.75" customHeight="1" x14ac:dyDescent="0.25">
      <c r="D925" s="1"/>
    </row>
    <row r="926" spans="4:4" ht="15.75" customHeight="1" x14ac:dyDescent="0.25">
      <c r="D926" s="1"/>
    </row>
    <row r="927" spans="4:4" ht="15.75" customHeight="1" x14ac:dyDescent="0.25">
      <c r="D927" s="1"/>
    </row>
    <row r="928" spans="4:4" ht="15.75" customHeight="1" x14ac:dyDescent="0.25">
      <c r="D928" s="1"/>
    </row>
    <row r="929" spans="4:4" ht="15.75" customHeight="1" x14ac:dyDescent="0.25">
      <c r="D929" s="1"/>
    </row>
    <row r="930" spans="4:4" ht="15.75" customHeight="1" x14ac:dyDescent="0.25">
      <c r="D930" s="1"/>
    </row>
    <row r="931" spans="4:4" ht="15.75" customHeight="1" x14ac:dyDescent="0.25">
      <c r="D931" s="1"/>
    </row>
    <row r="932" spans="4:4" ht="15.75" customHeight="1" x14ac:dyDescent="0.25">
      <c r="D932" s="1"/>
    </row>
    <row r="933" spans="4:4" ht="15.75" customHeight="1" x14ac:dyDescent="0.25">
      <c r="D933" s="1"/>
    </row>
    <row r="934" spans="4:4" ht="15.75" customHeight="1" x14ac:dyDescent="0.25">
      <c r="D934" s="1"/>
    </row>
    <row r="935" spans="4:4" ht="15.75" customHeight="1" x14ac:dyDescent="0.25">
      <c r="D935" s="1"/>
    </row>
    <row r="936" spans="4:4" ht="15.75" customHeight="1" x14ac:dyDescent="0.25">
      <c r="D936" s="1"/>
    </row>
    <row r="937" spans="4:4" ht="15.75" customHeight="1" x14ac:dyDescent="0.25">
      <c r="D937" s="1"/>
    </row>
    <row r="938" spans="4:4" ht="15.75" customHeight="1" x14ac:dyDescent="0.25">
      <c r="D938" s="1"/>
    </row>
    <row r="939" spans="4:4" ht="15.75" customHeight="1" x14ac:dyDescent="0.25">
      <c r="D939" s="1"/>
    </row>
    <row r="940" spans="4:4" ht="15.75" customHeight="1" x14ac:dyDescent="0.25">
      <c r="D940" s="1"/>
    </row>
    <row r="941" spans="4:4" ht="15.75" customHeight="1" x14ac:dyDescent="0.25">
      <c r="D941" s="1"/>
    </row>
    <row r="942" spans="4:4" ht="15.75" customHeight="1" x14ac:dyDescent="0.25">
      <c r="D942" s="1"/>
    </row>
    <row r="943" spans="4:4" ht="15.75" customHeight="1" x14ac:dyDescent="0.25">
      <c r="D943" s="1"/>
    </row>
    <row r="944" spans="4:4" ht="15.75" customHeight="1" x14ac:dyDescent="0.25">
      <c r="D944" s="1"/>
    </row>
    <row r="945" spans="4:4" ht="15.75" customHeight="1" x14ac:dyDescent="0.25">
      <c r="D945" s="1"/>
    </row>
    <row r="946" spans="4:4" ht="15.75" customHeight="1" x14ac:dyDescent="0.25">
      <c r="D946" s="1"/>
    </row>
    <row r="947" spans="4:4" ht="15.75" customHeight="1" x14ac:dyDescent="0.25">
      <c r="D947" s="1"/>
    </row>
    <row r="948" spans="4:4" ht="15.75" customHeight="1" x14ac:dyDescent="0.25">
      <c r="D948" s="1"/>
    </row>
    <row r="949" spans="4:4" ht="15.75" customHeight="1" x14ac:dyDescent="0.25">
      <c r="D949" s="1"/>
    </row>
    <row r="950" spans="4:4" ht="15.75" customHeight="1" x14ac:dyDescent="0.25">
      <c r="D950" s="1"/>
    </row>
    <row r="951" spans="4:4" ht="15.75" customHeight="1" x14ac:dyDescent="0.25">
      <c r="D951" s="1"/>
    </row>
    <row r="952" spans="4:4" ht="15.75" customHeight="1" x14ac:dyDescent="0.25">
      <c r="D952" s="1"/>
    </row>
    <row r="953" spans="4:4" ht="15.75" customHeight="1" x14ac:dyDescent="0.25">
      <c r="D953" s="1"/>
    </row>
    <row r="954" spans="4:4" ht="15.75" customHeight="1" x14ac:dyDescent="0.25">
      <c r="D954" s="1"/>
    </row>
    <row r="955" spans="4:4" ht="15.75" customHeight="1" x14ac:dyDescent="0.25">
      <c r="D955" s="1"/>
    </row>
    <row r="956" spans="4:4" ht="15.75" customHeight="1" x14ac:dyDescent="0.25">
      <c r="D956" s="1"/>
    </row>
    <row r="957" spans="4:4" ht="15.75" customHeight="1" x14ac:dyDescent="0.25">
      <c r="D957" s="1"/>
    </row>
    <row r="958" spans="4:4" ht="15.75" customHeight="1" x14ac:dyDescent="0.25">
      <c r="D958" s="1"/>
    </row>
    <row r="959" spans="4:4" ht="15.75" customHeight="1" x14ac:dyDescent="0.25">
      <c r="D959" s="1"/>
    </row>
    <row r="960" spans="4:4" ht="15.75" customHeight="1" x14ac:dyDescent="0.25">
      <c r="D960" s="1"/>
    </row>
    <row r="961" spans="4:4" ht="15.75" customHeight="1" x14ac:dyDescent="0.25">
      <c r="D961" s="1"/>
    </row>
    <row r="962" spans="4:4" ht="15.75" customHeight="1" x14ac:dyDescent="0.25">
      <c r="D962" s="1"/>
    </row>
    <row r="963" spans="4:4" ht="15.75" customHeight="1" x14ac:dyDescent="0.25">
      <c r="D963" s="1"/>
    </row>
    <row r="964" spans="4:4" ht="15.75" customHeight="1" x14ac:dyDescent="0.25">
      <c r="D964" s="1"/>
    </row>
    <row r="965" spans="4:4" ht="15.75" customHeight="1" x14ac:dyDescent="0.25">
      <c r="D965" s="1"/>
    </row>
    <row r="966" spans="4:4" ht="15.75" customHeight="1" x14ac:dyDescent="0.25">
      <c r="D966" s="1"/>
    </row>
    <row r="967" spans="4:4" ht="15.75" customHeight="1" x14ac:dyDescent="0.25">
      <c r="D967" s="1"/>
    </row>
    <row r="968" spans="4:4" ht="15.75" customHeight="1" x14ac:dyDescent="0.25">
      <c r="D968" s="1"/>
    </row>
    <row r="969" spans="4:4" ht="15.75" customHeight="1" x14ac:dyDescent="0.25">
      <c r="D969" s="1"/>
    </row>
    <row r="970" spans="4:4" ht="15.75" customHeight="1" x14ac:dyDescent="0.25">
      <c r="D970" s="1"/>
    </row>
    <row r="971" spans="4:4" ht="15.75" customHeight="1" x14ac:dyDescent="0.25">
      <c r="D971" s="1"/>
    </row>
    <row r="972" spans="4:4" ht="15.75" customHeight="1" x14ac:dyDescent="0.25">
      <c r="D972" s="1"/>
    </row>
    <row r="973" spans="4:4" ht="15.75" customHeight="1" x14ac:dyDescent="0.25">
      <c r="D973" s="1"/>
    </row>
    <row r="974" spans="4:4" ht="15.75" customHeight="1" x14ac:dyDescent="0.25">
      <c r="D974" s="1"/>
    </row>
    <row r="975" spans="4:4" ht="15.75" customHeight="1" x14ac:dyDescent="0.25">
      <c r="D975" s="1"/>
    </row>
    <row r="976" spans="4:4" ht="15.75" customHeight="1" x14ac:dyDescent="0.25">
      <c r="D976" s="1"/>
    </row>
    <row r="977" spans="4:4" ht="15.75" customHeight="1" x14ac:dyDescent="0.25">
      <c r="D977" s="1"/>
    </row>
    <row r="978" spans="4:4" ht="15.75" customHeight="1" x14ac:dyDescent="0.25">
      <c r="D978" s="1"/>
    </row>
    <row r="979" spans="4:4" ht="15.75" customHeight="1" x14ac:dyDescent="0.25">
      <c r="D979" s="1"/>
    </row>
    <row r="980" spans="4:4" ht="15.75" customHeight="1" x14ac:dyDescent="0.25">
      <c r="D980" s="1"/>
    </row>
    <row r="981" spans="4:4" ht="15.75" customHeight="1" x14ac:dyDescent="0.25">
      <c r="D981" s="1"/>
    </row>
    <row r="982" spans="4:4" ht="15.75" customHeight="1" x14ac:dyDescent="0.25">
      <c r="D982" s="1"/>
    </row>
    <row r="983" spans="4:4" ht="15.75" customHeight="1" x14ac:dyDescent="0.25">
      <c r="D983" s="1"/>
    </row>
    <row r="984" spans="4:4" ht="15.75" customHeight="1" x14ac:dyDescent="0.25">
      <c r="D984" s="1"/>
    </row>
    <row r="985" spans="4:4" ht="15.75" customHeight="1" x14ac:dyDescent="0.25">
      <c r="D985" s="1"/>
    </row>
    <row r="986" spans="4:4" ht="15.75" customHeight="1" x14ac:dyDescent="0.25">
      <c r="D986" s="1"/>
    </row>
    <row r="987" spans="4:4" ht="15.75" customHeight="1" x14ac:dyDescent="0.25">
      <c r="D987" s="1"/>
    </row>
    <row r="988" spans="4:4" ht="15.75" customHeight="1" x14ac:dyDescent="0.25">
      <c r="D988" s="1"/>
    </row>
    <row r="989" spans="4:4" ht="15.75" customHeight="1" x14ac:dyDescent="0.25">
      <c r="D989" s="1"/>
    </row>
    <row r="990" spans="4:4" ht="15.75" customHeight="1" x14ac:dyDescent="0.25">
      <c r="D990" s="1"/>
    </row>
    <row r="991" spans="4:4" ht="15.75" customHeight="1" x14ac:dyDescent="0.25">
      <c r="D991" s="1"/>
    </row>
    <row r="992" spans="4:4" ht="15.75" customHeight="1" x14ac:dyDescent="0.25">
      <c r="D992" s="1"/>
    </row>
    <row r="993" spans="4:4" ht="15.75" customHeight="1" x14ac:dyDescent="0.25">
      <c r="D993" s="1"/>
    </row>
    <row r="994" spans="4:4" ht="15.75" customHeight="1" x14ac:dyDescent="0.25">
      <c r="D994" s="1"/>
    </row>
    <row r="995" spans="4:4" ht="15.75" customHeight="1" x14ac:dyDescent="0.25">
      <c r="D995" s="1"/>
    </row>
    <row r="996" spans="4:4" ht="15.75" customHeight="1" x14ac:dyDescent="0.25">
      <c r="D996" s="1"/>
    </row>
    <row r="997" spans="4:4" ht="15.75" customHeight="1" x14ac:dyDescent="0.25">
      <c r="D997" s="1"/>
    </row>
    <row r="998" spans="4:4" ht="15.75" customHeight="1" x14ac:dyDescent="0.25">
      <c r="D998" s="1"/>
    </row>
    <row r="999" spans="4:4" ht="15.75" customHeight="1" x14ac:dyDescent="0.25">
      <c r="D999" s="1"/>
    </row>
    <row r="1000" spans="4:4" ht="15.75" customHeight="1" x14ac:dyDescent="0.25">
      <c r="D1000" s="1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2:P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11.28515625" customWidth="1"/>
    <col min="5" max="7" width="8.7109375" customWidth="1"/>
    <col min="8" max="8" width="12.28515625" customWidth="1"/>
    <col min="9" max="26" width="8.7109375" customWidth="1"/>
  </cols>
  <sheetData>
    <row r="2" spans="3:16" x14ac:dyDescent="0.25">
      <c r="C2" s="1"/>
    </row>
    <row r="3" spans="3:16" ht="15.75" x14ac:dyDescent="0.25">
      <c r="C3" s="1"/>
      <c r="D3" s="2" t="s">
        <v>47</v>
      </c>
      <c r="E3" s="2"/>
      <c r="F3" s="2"/>
      <c r="G3" s="2"/>
      <c r="H3" s="2"/>
      <c r="I3" s="2"/>
      <c r="J3" s="2"/>
      <c r="K3" s="2"/>
      <c r="L3" s="2"/>
      <c r="M3" s="3"/>
    </row>
    <row r="4" spans="3:16" x14ac:dyDescent="0.25">
      <c r="C4" s="1"/>
      <c r="D4" s="4" t="s">
        <v>1</v>
      </c>
      <c r="E4" s="4" t="s">
        <v>2</v>
      </c>
      <c r="F4" s="4">
        <v>1799</v>
      </c>
      <c r="G4" s="4">
        <v>2099</v>
      </c>
      <c r="H4" s="4">
        <v>2699</v>
      </c>
      <c r="I4" s="4">
        <v>588</v>
      </c>
      <c r="J4" s="4">
        <v>2088</v>
      </c>
      <c r="K4" s="4">
        <v>2488</v>
      </c>
      <c r="L4" s="4">
        <v>2688</v>
      </c>
      <c r="M4" s="5" t="s">
        <v>3</v>
      </c>
    </row>
    <row r="5" spans="3:16" ht="15.75" x14ac:dyDescent="0.25">
      <c r="C5" s="1"/>
      <c r="D5" s="6" t="s">
        <v>4</v>
      </c>
      <c r="E5" s="7">
        <f>'Feb 2023'!$I$54</f>
        <v>16330</v>
      </c>
      <c r="F5" s="7">
        <f>'Feb 2023'!$J$54</f>
        <v>1100</v>
      </c>
      <c r="G5" s="7">
        <f>'Feb 2023'!$K$54</f>
        <v>1300</v>
      </c>
      <c r="H5" s="7">
        <f>'Feb 2023'!$L$54</f>
        <v>4820</v>
      </c>
      <c r="I5" s="7">
        <f>'Feb 2023'!$M$54</f>
        <v>1000</v>
      </c>
      <c r="J5" s="7">
        <f>'Feb 2023'!$N$54</f>
        <v>8925</v>
      </c>
      <c r="K5" s="7">
        <f>'Feb 2023'!$O$54</f>
        <v>3660</v>
      </c>
      <c r="L5" s="7">
        <f>'Feb 2023'!$P$54</f>
        <v>600</v>
      </c>
      <c r="M5" s="8">
        <f>SUM(E5:L5)</f>
        <v>37735</v>
      </c>
    </row>
    <row r="6" spans="3:16" x14ac:dyDescent="0.25">
      <c r="C6" s="1"/>
      <c r="D6" s="6" t="s">
        <v>5</v>
      </c>
      <c r="E6" s="7"/>
      <c r="F6" s="7"/>
      <c r="G6" s="7"/>
      <c r="H6" s="7"/>
      <c r="I6" s="7"/>
      <c r="J6" s="7"/>
      <c r="K6" s="7"/>
      <c r="L6" s="7"/>
      <c r="M6" s="7"/>
    </row>
    <row r="7" spans="3:16" x14ac:dyDescent="0.25">
      <c r="C7" s="1"/>
      <c r="D7" s="6" t="s">
        <v>6</v>
      </c>
      <c r="E7" s="7"/>
      <c r="F7" s="7"/>
      <c r="G7" s="7"/>
      <c r="H7" s="7"/>
      <c r="I7" s="7"/>
      <c r="J7" s="7"/>
      <c r="K7" s="7"/>
      <c r="L7" s="7"/>
      <c r="M7" s="7"/>
    </row>
    <row r="8" spans="3:16" x14ac:dyDescent="0.25">
      <c r="C8" s="1"/>
      <c r="D8" s="6" t="s">
        <v>7</v>
      </c>
      <c r="E8" s="7"/>
      <c r="F8" s="7"/>
      <c r="G8" s="7"/>
      <c r="H8" s="7"/>
      <c r="I8" s="7"/>
      <c r="J8" s="7"/>
      <c r="K8" s="7"/>
      <c r="L8" s="7"/>
      <c r="M8" s="7"/>
    </row>
    <row r="9" spans="3:16" x14ac:dyDescent="0.25">
      <c r="C9" s="1"/>
    </row>
    <row r="10" spans="3:16" x14ac:dyDescent="0.25">
      <c r="C10" s="1"/>
    </row>
    <row r="11" spans="3:16" x14ac:dyDescent="0.25">
      <c r="C11" s="1"/>
    </row>
    <row r="12" spans="3:16" x14ac:dyDescent="0.25">
      <c r="C12" s="9" t="s">
        <v>8</v>
      </c>
      <c r="D12" s="4" t="s">
        <v>9</v>
      </c>
      <c r="E12" s="4" t="s">
        <v>10</v>
      </c>
      <c r="F12" s="4" t="s">
        <v>11</v>
      </c>
      <c r="G12" s="4" t="s">
        <v>4</v>
      </c>
      <c r="H12" s="4" t="s">
        <v>12</v>
      </c>
      <c r="I12" s="4" t="s">
        <v>2</v>
      </c>
      <c r="J12" s="4" t="s">
        <v>13</v>
      </c>
      <c r="K12" s="4" t="s">
        <v>14</v>
      </c>
      <c r="L12" s="4" t="s">
        <v>15</v>
      </c>
      <c r="M12" s="4" t="s">
        <v>16</v>
      </c>
      <c r="N12" s="4" t="s">
        <v>17</v>
      </c>
      <c r="O12" s="4" t="s">
        <v>18</v>
      </c>
      <c r="P12" s="4" t="s">
        <v>19</v>
      </c>
    </row>
    <row r="13" spans="3:16" x14ac:dyDescent="0.25">
      <c r="C13" s="10">
        <v>1</v>
      </c>
      <c r="D13" s="11">
        <v>44958</v>
      </c>
      <c r="E13" s="12">
        <v>282</v>
      </c>
      <c r="F13" s="7" t="s">
        <v>48</v>
      </c>
      <c r="G13" s="7">
        <v>60</v>
      </c>
      <c r="H13" s="12">
        <v>160</v>
      </c>
      <c r="I13" s="7">
        <v>60</v>
      </c>
      <c r="J13" s="7"/>
      <c r="K13" s="7"/>
      <c r="L13" s="7"/>
      <c r="M13" s="7"/>
      <c r="N13" s="7"/>
      <c r="O13" s="7"/>
      <c r="P13" s="7"/>
    </row>
    <row r="14" spans="3:16" x14ac:dyDescent="0.25">
      <c r="C14" s="10">
        <v>2</v>
      </c>
      <c r="D14" s="11">
        <v>44961</v>
      </c>
      <c r="E14" s="12">
        <v>283</v>
      </c>
      <c r="F14" s="7" t="s">
        <v>49</v>
      </c>
      <c r="G14" s="7">
        <v>1500</v>
      </c>
      <c r="H14" s="12">
        <v>205</v>
      </c>
      <c r="I14" s="7"/>
      <c r="J14" s="7"/>
      <c r="K14" s="7"/>
      <c r="L14" s="7">
        <v>1500</v>
      </c>
      <c r="M14" s="7"/>
      <c r="N14" s="7"/>
      <c r="O14" s="7"/>
      <c r="P14" s="7"/>
    </row>
    <row r="15" spans="3:16" x14ac:dyDescent="0.25">
      <c r="C15" s="10">
        <v>3</v>
      </c>
      <c r="D15" s="11">
        <v>44961</v>
      </c>
      <c r="E15" s="12">
        <v>284</v>
      </c>
      <c r="F15" s="7" t="s">
        <v>32</v>
      </c>
      <c r="G15" s="7">
        <v>400</v>
      </c>
      <c r="H15" s="12">
        <v>225</v>
      </c>
      <c r="I15" s="7"/>
      <c r="J15" s="7"/>
      <c r="K15" s="7"/>
      <c r="L15" s="7"/>
      <c r="M15" s="7"/>
      <c r="N15" s="7"/>
      <c r="O15" s="7">
        <v>400</v>
      </c>
      <c r="P15" s="7"/>
    </row>
    <row r="16" spans="3:16" x14ac:dyDescent="0.25">
      <c r="C16" s="10">
        <v>4</v>
      </c>
      <c r="D16" s="11">
        <v>44596</v>
      </c>
      <c r="E16" s="12" t="s">
        <v>27</v>
      </c>
      <c r="F16" s="7" t="s">
        <v>28</v>
      </c>
      <c r="G16" s="7">
        <v>500</v>
      </c>
      <c r="H16" s="12" t="s">
        <v>50</v>
      </c>
      <c r="I16" s="7"/>
      <c r="J16" s="7">
        <v>200</v>
      </c>
      <c r="K16" s="7">
        <v>300</v>
      </c>
      <c r="L16" s="7"/>
      <c r="M16" s="7"/>
      <c r="N16" s="7"/>
      <c r="O16" s="7"/>
      <c r="P16" s="7"/>
    </row>
    <row r="17" spans="3:16" x14ac:dyDescent="0.25">
      <c r="C17" s="10">
        <v>5</v>
      </c>
      <c r="D17" s="11">
        <v>44964</v>
      </c>
      <c r="E17" s="12">
        <v>287</v>
      </c>
      <c r="F17" s="7" t="s">
        <v>51</v>
      </c>
      <c r="G17" s="7">
        <v>500</v>
      </c>
      <c r="H17" s="12">
        <v>220</v>
      </c>
      <c r="I17" s="7"/>
      <c r="J17" s="7"/>
      <c r="K17" s="7"/>
      <c r="L17" s="7"/>
      <c r="M17" s="7"/>
      <c r="N17" s="7">
        <v>500</v>
      </c>
      <c r="O17" s="7"/>
      <c r="P17" s="7"/>
    </row>
    <row r="18" spans="3:16" x14ac:dyDescent="0.25">
      <c r="C18" s="10">
        <v>6</v>
      </c>
      <c r="D18" s="11">
        <v>44966</v>
      </c>
      <c r="E18" s="12">
        <v>288</v>
      </c>
      <c r="F18" s="7" t="s">
        <v>52</v>
      </c>
      <c r="G18" s="7">
        <v>10000</v>
      </c>
      <c r="H18" s="12">
        <v>150</v>
      </c>
      <c r="I18" s="7">
        <v>10000</v>
      </c>
      <c r="J18" s="7"/>
      <c r="K18" s="7"/>
      <c r="L18" s="7"/>
      <c r="M18" s="7"/>
      <c r="N18" s="7"/>
      <c r="O18" s="7"/>
      <c r="P18" s="7"/>
    </row>
    <row r="19" spans="3:16" x14ac:dyDescent="0.25">
      <c r="C19" s="10">
        <v>7</v>
      </c>
      <c r="D19" s="11">
        <v>44966</v>
      </c>
      <c r="E19" s="12">
        <v>289</v>
      </c>
      <c r="F19" s="7" t="s">
        <v>51</v>
      </c>
      <c r="G19" s="7">
        <v>1000</v>
      </c>
      <c r="H19" s="12" t="s">
        <v>53</v>
      </c>
      <c r="I19" s="7"/>
      <c r="J19" s="7"/>
      <c r="K19" s="7"/>
      <c r="L19" s="7"/>
      <c r="M19" s="7"/>
      <c r="N19" s="7"/>
      <c r="O19" s="7">
        <v>500</v>
      </c>
      <c r="P19" s="7">
        <v>500</v>
      </c>
    </row>
    <row r="20" spans="3:16" x14ac:dyDescent="0.25">
      <c r="C20" s="10">
        <v>8</v>
      </c>
      <c r="D20" s="11">
        <v>44966</v>
      </c>
      <c r="E20" s="12" t="s">
        <v>27</v>
      </c>
      <c r="F20" s="7" t="s">
        <v>54</v>
      </c>
      <c r="G20" s="7">
        <v>700</v>
      </c>
      <c r="H20" s="12">
        <v>155</v>
      </c>
      <c r="I20" s="7">
        <v>700</v>
      </c>
      <c r="J20" s="7"/>
      <c r="K20" s="7"/>
      <c r="L20" s="7"/>
      <c r="M20" s="7"/>
      <c r="N20" s="7"/>
      <c r="O20" s="7"/>
      <c r="P20" s="7"/>
    </row>
    <row r="21" spans="3:16" ht="15.75" customHeight="1" x14ac:dyDescent="0.25">
      <c r="C21" s="10">
        <v>9</v>
      </c>
      <c r="D21" s="11">
        <v>44967</v>
      </c>
      <c r="E21" s="12">
        <v>291</v>
      </c>
      <c r="F21" s="7" t="s">
        <v>55</v>
      </c>
      <c r="G21" s="7">
        <v>900</v>
      </c>
      <c r="H21" s="12">
        <v>201</v>
      </c>
      <c r="I21" s="7"/>
      <c r="J21" s="7">
        <v>900</v>
      </c>
      <c r="K21" s="7"/>
      <c r="L21" s="7"/>
      <c r="M21" s="7"/>
      <c r="N21" s="7"/>
      <c r="O21" s="7"/>
      <c r="P21" s="7"/>
    </row>
    <row r="22" spans="3:16" ht="15.75" customHeight="1" x14ac:dyDescent="0.25">
      <c r="C22" s="10">
        <v>10</v>
      </c>
      <c r="D22" s="11">
        <v>44968</v>
      </c>
      <c r="E22" s="12">
        <v>292</v>
      </c>
      <c r="F22" s="7" t="s">
        <v>20</v>
      </c>
      <c r="G22" s="7">
        <v>200</v>
      </c>
      <c r="H22" s="12">
        <v>160</v>
      </c>
      <c r="I22" s="7">
        <v>200</v>
      </c>
      <c r="J22" s="7"/>
      <c r="K22" s="7"/>
      <c r="L22" s="7"/>
      <c r="M22" s="7"/>
      <c r="N22" s="7"/>
      <c r="O22" s="7"/>
      <c r="P22" s="7"/>
    </row>
    <row r="23" spans="3:16" ht="15.75" customHeight="1" x14ac:dyDescent="0.25">
      <c r="C23" s="10">
        <v>11</v>
      </c>
      <c r="D23" s="11">
        <v>44968</v>
      </c>
      <c r="E23" s="12">
        <v>295</v>
      </c>
      <c r="F23" s="7" t="s">
        <v>56</v>
      </c>
      <c r="G23" s="7">
        <v>100</v>
      </c>
      <c r="H23" s="12">
        <v>160</v>
      </c>
      <c r="I23" s="7">
        <v>160</v>
      </c>
      <c r="J23" s="7"/>
      <c r="K23" s="7"/>
      <c r="L23" s="7"/>
      <c r="M23" s="7"/>
      <c r="N23" s="7"/>
      <c r="O23" s="7"/>
      <c r="P23" s="7"/>
    </row>
    <row r="24" spans="3:16" ht="15.75" customHeight="1" x14ac:dyDescent="0.25">
      <c r="C24" s="10">
        <v>12</v>
      </c>
      <c r="D24" s="11">
        <v>44968</v>
      </c>
      <c r="E24" s="12">
        <v>296</v>
      </c>
      <c r="F24" s="7" t="s">
        <v>51</v>
      </c>
      <c r="G24" s="7">
        <v>5000</v>
      </c>
      <c r="H24" s="12">
        <v>216</v>
      </c>
      <c r="I24" s="7"/>
      <c r="J24" s="7"/>
      <c r="K24" s="7"/>
      <c r="L24" s="7"/>
      <c r="M24" s="7"/>
      <c r="N24" s="7">
        <v>5000</v>
      </c>
      <c r="O24" s="7"/>
      <c r="P24" s="7"/>
    </row>
    <row r="25" spans="3:16" ht="15.75" customHeight="1" x14ac:dyDescent="0.25">
      <c r="C25" s="10">
        <v>13</v>
      </c>
      <c r="D25" s="11">
        <v>44968</v>
      </c>
      <c r="E25" s="12">
        <v>297</v>
      </c>
      <c r="F25" s="7" t="s">
        <v>57</v>
      </c>
      <c r="G25" s="7">
        <v>200</v>
      </c>
      <c r="H25" s="12">
        <v>160</v>
      </c>
      <c r="I25" s="7">
        <v>200</v>
      </c>
      <c r="J25" s="7"/>
      <c r="K25" s="7"/>
      <c r="L25" s="7"/>
      <c r="M25" s="7"/>
      <c r="N25" s="7"/>
      <c r="O25" s="7"/>
      <c r="P25" s="7"/>
    </row>
    <row r="26" spans="3:16" ht="15.75" customHeight="1" x14ac:dyDescent="0.25">
      <c r="C26" s="10">
        <v>14</v>
      </c>
      <c r="D26" s="11">
        <v>44970</v>
      </c>
      <c r="E26" s="12">
        <v>298</v>
      </c>
      <c r="F26" s="7" t="s">
        <v>58</v>
      </c>
      <c r="G26" s="7">
        <v>50</v>
      </c>
      <c r="H26" s="12">
        <v>217</v>
      </c>
      <c r="I26" s="7"/>
      <c r="J26" s="7"/>
      <c r="K26" s="7"/>
      <c r="L26" s="7"/>
      <c r="M26" s="7"/>
      <c r="N26" s="7"/>
      <c r="O26" s="7">
        <v>50</v>
      </c>
      <c r="P26" s="7"/>
    </row>
    <row r="27" spans="3:16" ht="15.75" customHeight="1" x14ac:dyDescent="0.25">
      <c r="C27" s="10">
        <v>15</v>
      </c>
      <c r="D27" s="11">
        <v>44970</v>
      </c>
      <c r="E27" s="12" t="s">
        <v>27</v>
      </c>
      <c r="F27" s="7" t="s">
        <v>28</v>
      </c>
      <c r="G27" s="7">
        <v>300</v>
      </c>
      <c r="H27" s="12">
        <v>155</v>
      </c>
      <c r="I27" s="7">
        <v>300</v>
      </c>
      <c r="J27" s="7"/>
      <c r="K27" s="7"/>
      <c r="L27" s="7"/>
      <c r="M27" s="7"/>
      <c r="N27" s="7"/>
      <c r="O27" s="7"/>
      <c r="P27" s="7"/>
    </row>
    <row r="28" spans="3:16" ht="15.75" customHeight="1" x14ac:dyDescent="0.25">
      <c r="C28" s="10">
        <v>16</v>
      </c>
      <c r="D28" s="11">
        <v>44971</v>
      </c>
      <c r="E28" s="12" t="s">
        <v>59</v>
      </c>
      <c r="F28" s="7" t="s">
        <v>32</v>
      </c>
      <c r="G28" s="7">
        <v>500</v>
      </c>
      <c r="H28" s="12">
        <v>225</v>
      </c>
      <c r="I28" s="7"/>
      <c r="J28" s="7"/>
      <c r="K28" s="7"/>
      <c r="L28" s="7"/>
      <c r="M28" s="7"/>
      <c r="N28" s="7"/>
      <c r="O28" s="7">
        <v>500</v>
      </c>
      <c r="P28" s="7"/>
    </row>
    <row r="29" spans="3:16" ht="15.75" customHeight="1" x14ac:dyDescent="0.25">
      <c r="C29" s="10">
        <v>17</v>
      </c>
      <c r="D29" s="11">
        <v>44972</v>
      </c>
      <c r="E29" s="12">
        <v>299</v>
      </c>
      <c r="F29" s="7" t="s">
        <v>60</v>
      </c>
      <c r="G29" s="7">
        <v>250</v>
      </c>
      <c r="H29" s="12">
        <v>150</v>
      </c>
      <c r="I29" s="7">
        <v>250</v>
      </c>
      <c r="J29" s="7"/>
      <c r="K29" s="7"/>
      <c r="L29" s="7"/>
      <c r="M29" s="7"/>
      <c r="N29" s="7"/>
      <c r="O29" s="7"/>
      <c r="P29" s="7"/>
    </row>
    <row r="30" spans="3:16" ht="15.75" customHeight="1" x14ac:dyDescent="0.25">
      <c r="C30" s="10">
        <v>18</v>
      </c>
      <c r="D30" s="11">
        <v>44972</v>
      </c>
      <c r="E30" s="12">
        <v>301</v>
      </c>
      <c r="F30" s="7" t="s">
        <v>40</v>
      </c>
      <c r="G30" s="7">
        <v>500</v>
      </c>
      <c r="H30" s="12">
        <v>150</v>
      </c>
      <c r="I30" s="7">
        <v>500</v>
      </c>
      <c r="J30" s="7"/>
      <c r="K30" s="7"/>
      <c r="L30" s="7"/>
      <c r="M30" s="7"/>
      <c r="N30" s="7"/>
      <c r="O30" s="7"/>
      <c r="P30" s="7"/>
    </row>
    <row r="31" spans="3:16" ht="15.75" customHeight="1" x14ac:dyDescent="0.25">
      <c r="C31" s="10">
        <v>19</v>
      </c>
      <c r="D31" s="11">
        <v>44972</v>
      </c>
      <c r="E31" s="12">
        <v>300</v>
      </c>
      <c r="F31" s="7" t="s">
        <v>61</v>
      </c>
      <c r="G31" s="7">
        <v>760</v>
      </c>
      <c r="H31" s="12">
        <v>160</v>
      </c>
      <c r="I31" s="7">
        <v>760</v>
      </c>
      <c r="J31" s="7"/>
      <c r="K31" s="7"/>
      <c r="L31" s="7"/>
      <c r="M31" s="7"/>
      <c r="N31" s="7"/>
      <c r="O31" s="7"/>
      <c r="P31" s="7"/>
    </row>
    <row r="32" spans="3:16" ht="15.75" customHeight="1" x14ac:dyDescent="0.25">
      <c r="C32" s="10">
        <v>20</v>
      </c>
      <c r="D32" s="11">
        <v>44972</v>
      </c>
      <c r="E32" s="12">
        <v>302</v>
      </c>
      <c r="F32" s="7" t="s">
        <v>60</v>
      </c>
      <c r="G32" s="7">
        <v>200</v>
      </c>
      <c r="H32" s="12">
        <v>160</v>
      </c>
      <c r="I32" s="7">
        <v>200</v>
      </c>
      <c r="J32" s="7"/>
      <c r="K32" s="7"/>
      <c r="L32" s="7"/>
      <c r="M32" s="7"/>
      <c r="N32" s="7"/>
      <c r="O32" s="7"/>
      <c r="P32" s="7"/>
    </row>
    <row r="33" spans="3:16" ht="15.75" customHeight="1" x14ac:dyDescent="0.25">
      <c r="C33" s="10">
        <v>21</v>
      </c>
      <c r="D33" s="11">
        <v>44972</v>
      </c>
      <c r="E33" s="12" t="s">
        <v>62</v>
      </c>
      <c r="F33" s="7" t="s">
        <v>63</v>
      </c>
      <c r="G33" s="7">
        <v>4000</v>
      </c>
      <c r="H33" s="12" t="s">
        <v>64</v>
      </c>
      <c r="I33" s="7">
        <v>2000</v>
      </c>
      <c r="J33" s="7"/>
      <c r="K33" s="7">
        <v>500</v>
      </c>
      <c r="L33" s="7">
        <v>1500</v>
      </c>
      <c r="M33" s="7"/>
      <c r="N33" s="7"/>
      <c r="O33" s="7"/>
      <c r="P33" s="7"/>
    </row>
    <row r="34" spans="3:16" ht="15.75" customHeight="1" x14ac:dyDescent="0.25">
      <c r="C34" s="10">
        <v>22</v>
      </c>
      <c r="D34" s="11">
        <v>44977</v>
      </c>
      <c r="E34" s="12">
        <v>305</v>
      </c>
      <c r="F34" s="7" t="s">
        <v>48</v>
      </c>
      <c r="G34" s="7">
        <v>200</v>
      </c>
      <c r="H34" s="12">
        <v>160</v>
      </c>
      <c r="I34" s="7">
        <v>200</v>
      </c>
      <c r="J34" s="7"/>
      <c r="K34" s="7"/>
      <c r="L34" s="7"/>
      <c r="M34" s="7"/>
      <c r="N34" s="7"/>
      <c r="O34" s="7"/>
      <c r="P34" s="7"/>
    </row>
    <row r="35" spans="3:16" ht="15.75" customHeight="1" x14ac:dyDescent="0.25">
      <c r="C35" s="10">
        <v>23</v>
      </c>
      <c r="D35" s="11">
        <v>44977</v>
      </c>
      <c r="E35" s="12">
        <v>306</v>
      </c>
      <c r="F35" s="7" t="s">
        <v>65</v>
      </c>
      <c r="G35" s="7">
        <v>1000</v>
      </c>
      <c r="H35" s="12">
        <v>215</v>
      </c>
      <c r="I35" s="7"/>
      <c r="J35" s="7"/>
      <c r="K35" s="7"/>
      <c r="L35" s="7"/>
      <c r="M35" s="7"/>
      <c r="N35" s="7">
        <v>1000</v>
      </c>
      <c r="O35" s="7"/>
      <c r="P35" s="7"/>
    </row>
    <row r="36" spans="3:16" ht="15.75" customHeight="1" x14ac:dyDescent="0.25">
      <c r="C36" s="10">
        <v>24</v>
      </c>
      <c r="D36" s="11">
        <v>44977</v>
      </c>
      <c r="E36" s="12">
        <v>307</v>
      </c>
      <c r="F36" s="7" t="s">
        <v>65</v>
      </c>
      <c r="G36" s="7">
        <v>1200</v>
      </c>
      <c r="H36" s="12">
        <v>216</v>
      </c>
      <c r="I36" s="7"/>
      <c r="J36" s="7"/>
      <c r="K36" s="7"/>
      <c r="L36" s="7"/>
      <c r="M36" s="7"/>
      <c r="N36" s="7">
        <v>1200</v>
      </c>
      <c r="O36" s="7"/>
      <c r="P36" s="7"/>
    </row>
    <row r="37" spans="3:16" ht="15.75" customHeight="1" x14ac:dyDescent="0.25">
      <c r="C37" s="10">
        <v>25</v>
      </c>
      <c r="D37" s="11">
        <v>44977</v>
      </c>
      <c r="E37" s="12" t="s">
        <v>27</v>
      </c>
      <c r="F37" s="7" t="s">
        <v>28</v>
      </c>
      <c r="G37" s="7">
        <v>100</v>
      </c>
      <c r="H37" s="12">
        <v>215</v>
      </c>
      <c r="I37" s="7"/>
      <c r="J37" s="7"/>
      <c r="K37" s="7"/>
      <c r="L37" s="7">
        <v>100</v>
      </c>
      <c r="M37" s="7"/>
      <c r="N37" s="7"/>
      <c r="O37" s="7"/>
      <c r="P37" s="7"/>
    </row>
    <row r="38" spans="3:16" ht="15.75" customHeight="1" x14ac:dyDescent="0.25">
      <c r="C38" s="10">
        <v>26</v>
      </c>
      <c r="D38" s="11">
        <v>44977</v>
      </c>
      <c r="E38" s="12">
        <v>308</v>
      </c>
      <c r="F38" s="7" t="s">
        <v>49</v>
      </c>
      <c r="G38" s="7">
        <v>1000</v>
      </c>
      <c r="H38" s="12">
        <v>220</v>
      </c>
      <c r="I38" s="7"/>
      <c r="J38" s="7"/>
      <c r="K38" s="7"/>
      <c r="L38" s="7"/>
      <c r="M38" s="7">
        <v>1000</v>
      </c>
      <c r="N38" s="7"/>
      <c r="O38" s="7"/>
      <c r="P38" s="7"/>
    </row>
    <row r="39" spans="3:16" ht="15.75" customHeight="1" x14ac:dyDescent="0.25">
      <c r="C39" s="10">
        <v>27</v>
      </c>
      <c r="D39" s="11">
        <v>44979</v>
      </c>
      <c r="E39" s="12">
        <v>309</v>
      </c>
      <c r="F39" s="7" t="s">
        <v>66</v>
      </c>
      <c r="G39" s="7">
        <v>500</v>
      </c>
      <c r="H39" s="12">
        <v>220</v>
      </c>
      <c r="I39" s="7"/>
      <c r="J39" s="7"/>
      <c r="K39" s="7"/>
      <c r="L39" s="7"/>
      <c r="M39" s="7"/>
      <c r="N39" s="7"/>
      <c r="O39" s="7">
        <v>220</v>
      </c>
      <c r="P39" s="7"/>
    </row>
    <row r="40" spans="3:16" ht="15.75" customHeight="1" x14ac:dyDescent="0.25">
      <c r="C40" s="10">
        <v>28</v>
      </c>
      <c r="D40" s="11">
        <v>44981</v>
      </c>
      <c r="E40" s="12">
        <v>311</v>
      </c>
      <c r="F40" s="7" t="s">
        <v>51</v>
      </c>
      <c r="G40" s="7">
        <v>3000</v>
      </c>
      <c r="H40" s="12" t="s">
        <v>67</v>
      </c>
      <c r="I40" s="7"/>
      <c r="J40" s="7"/>
      <c r="K40" s="7"/>
      <c r="L40" s="7"/>
      <c r="M40" s="7"/>
      <c r="N40" s="7">
        <v>1225</v>
      </c>
      <c r="O40" s="7">
        <v>1775</v>
      </c>
      <c r="P40" s="7"/>
    </row>
    <row r="41" spans="3:16" ht="15.75" customHeight="1" x14ac:dyDescent="0.25">
      <c r="C41" s="10">
        <v>29</v>
      </c>
      <c r="D41" s="11">
        <v>44981</v>
      </c>
      <c r="E41" s="12" t="s">
        <v>68</v>
      </c>
      <c r="F41" s="7" t="s">
        <v>37</v>
      </c>
      <c r="G41" s="7">
        <v>250</v>
      </c>
      <c r="H41" s="12">
        <v>220</v>
      </c>
      <c r="I41" s="7"/>
      <c r="J41" s="7"/>
      <c r="K41" s="7"/>
      <c r="L41" s="7">
        <v>220</v>
      </c>
      <c r="M41" s="7"/>
      <c r="N41" s="7"/>
      <c r="O41" s="7"/>
      <c r="P41" s="7"/>
    </row>
    <row r="42" spans="3:16" ht="15.75" customHeight="1" x14ac:dyDescent="0.25">
      <c r="C42" s="10">
        <v>30</v>
      </c>
      <c r="D42" s="11">
        <v>44984</v>
      </c>
      <c r="E42" s="12">
        <v>313</v>
      </c>
      <c r="F42" s="7" t="s">
        <v>60</v>
      </c>
      <c r="G42" s="7">
        <v>500</v>
      </c>
      <c r="H42" s="12">
        <v>155</v>
      </c>
      <c r="I42" s="7">
        <v>500</v>
      </c>
      <c r="J42" s="7"/>
      <c r="K42" s="7"/>
      <c r="L42" s="7"/>
      <c r="M42" s="7"/>
      <c r="N42" s="7"/>
      <c r="O42" s="7"/>
      <c r="P42" s="7"/>
    </row>
    <row r="43" spans="3:16" ht="15.75" customHeight="1" x14ac:dyDescent="0.25">
      <c r="C43" s="10">
        <v>31</v>
      </c>
      <c r="D43" s="11">
        <v>44984</v>
      </c>
      <c r="E43" s="12">
        <v>314</v>
      </c>
      <c r="F43" s="7" t="s">
        <v>26</v>
      </c>
      <c r="G43" s="7">
        <v>100</v>
      </c>
      <c r="H43" s="12">
        <v>230</v>
      </c>
      <c r="I43" s="7"/>
      <c r="J43" s="7"/>
      <c r="K43" s="7"/>
      <c r="L43" s="7"/>
      <c r="M43" s="7"/>
      <c r="N43" s="7"/>
      <c r="O43" s="7"/>
      <c r="P43" s="7">
        <v>100</v>
      </c>
    </row>
    <row r="44" spans="3:16" ht="15.75" customHeight="1" x14ac:dyDescent="0.25">
      <c r="C44" s="10">
        <v>32</v>
      </c>
      <c r="D44" s="11">
        <v>44984</v>
      </c>
      <c r="E44" s="12" t="s">
        <v>27</v>
      </c>
      <c r="F44" s="7" t="s">
        <v>69</v>
      </c>
      <c r="G44" s="7">
        <v>500</v>
      </c>
      <c r="H44" s="12">
        <v>210</v>
      </c>
      <c r="I44" s="7"/>
      <c r="J44" s="7"/>
      <c r="K44" s="7">
        <v>500</v>
      </c>
      <c r="L44" s="7"/>
      <c r="M44" s="7"/>
      <c r="N44" s="7"/>
      <c r="O44" s="7"/>
      <c r="P44" s="7"/>
    </row>
    <row r="45" spans="3:16" ht="15.75" customHeight="1" x14ac:dyDescent="0.25">
      <c r="C45" s="10">
        <v>33</v>
      </c>
      <c r="D45" s="11">
        <v>44984</v>
      </c>
      <c r="E45" s="12" t="s">
        <v>70</v>
      </c>
      <c r="F45" s="7" t="s">
        <v>49</v>
      </c>
      <c r="G45" s="7">
        <v>1500</v>
      </c>
      <c r="H45" s="12">
        <v>214</v>
      </c>
      <c r="I45" s="7"/>
      <c r="J45" s="7"/>
      <c r="K45" s="7"/>
      <c r="L45" s="7">
        <v>1500</v>
      </c>
      <c r="M45" s="7"/>
      <c r="N45" s="7"/>
      <c r="O45" s="7"/>
      <c r="P45" s="7"/>
    </row>
    <row r="46" spans="3:16" ht="15.75" customHeight="1" x14ac:dyDescent="0.25">
      <c r="C46" s="10">
        <v>34</v>
      </c>
      <c r="D46" s="11">
        <v>44985</v>
      </c>
      <c r="E46" s="12" t="s">
        <v>27</v>
      </c>
      <c r="F46" s="7" t="s">
        <v>28</v>
      </c>
      <c r="G46" s="7">
        <v>300</v>
      </c>
      <c r="H46" s="12">
        <v>155</v>
      </c>
      <c r="I46" s="7">
        <v>300</v>
      </c>
      <c r="J46" s="7"/>
      <c r="K46" s="7"/>
      <c r="L46" s="7"/>
      <c r="M46" s="7"/>
      <c r="N46" s="7"/>
      <c r="O46" s="7"/>
      <c r="P46" s="7"/>
    </row>
    <row r="47" spans="3:16" ht="15.75" customHeight="1" x14ac:dyDescent="0.25">
      <c r="C47" s="10">
        <v>35</v>
      </c>
      <c r="D47" s="11">
        <v>44985</v>
      </c>
      <c r="E47" s="12">
        <v>317</v>
      </c>
      <c r="F47" s="7" t="s">
        <v>71</v>
      </c>
      <c r="G47" s="7">
        <v>1000</v>
      </c>
      <c r="H47" s="12">
        <v>215</v>
      </c>
      <c r="I47" s="7"/>
      <c r="J47" s="7"/>
      <c r="K47" s="7"/>
      <c r="L47" s="7"/>
      <c r="M47" s="7"/>
      <c r="N47" s="7"/>
      <c r="O47" s="7">
        <v>215</v>
      </c>
      <c r="P47" s="7"/>
    </row>
    <row r="48" spans="3:16" ht="15.75" customHeight="1" x14ac:dyDescent="0.25">
      <c r="C48" s="10"/>
      <c r="D48" s="7"/>
      <c r="E48" s="12"/>
      <c r="F48" s="7"/>
      <c r="G48" s="7"/>
      <c r="H48" s="12"/>
      <c r="I48" s="7"/>
      <c r="J48" s="7"/>
      <c r="K48" s="7"/>
      <c r="L48" s="7"/>
      <c r="M48" s="7"/>
      <c r="N48" s="7"/>
      <c r="O48" s="7"/>
      <c r="P48" s="7"/>
    </row>
    <row r="49" spans="3:16" ht="15.75" customHeight="1" x14ac:dyDescent="0.25">
      <c r="C49" s="10"/>
      <c r="D49" s="7"/>
      <c r="E49" s="12"/>
      <c r="F49" s="7"/>
      <c r="G49" s="7"/>
      <c r="H49" s="12"/>
      <c r="I49" s="7"/>
      <c r="J49" s="7"/>
      <c r="K49" s="7"/>
      <c r="L49" s="7"/>
      <c r="M49" s="7"/>
      <c r="N49" s="7"/>
      <c r="O49" s="7"/>
      <c r="P49" s="7"/>
    </row>
    <row r="50" spans="3:16" ht="15.75" customHeight="1" x14ac:dyDescent="0.25">
      <c r="C50" s="10"/>
      <c r="D50" s="7"/>
      <c r="E50" s="12"/>
      <c r="F50" s="7"/>
      <c r="G50" s="7"/>
      <c r="H50" s="12"/>
      <c r="I50" s="7"/>
      <c r="J50" s="7"/>
      <c r="K50" s="7"/>
      <c r="L50" s="7"/>
      <c r="M50" s="7"/>
      <c r="N50" s="7"/>
      <c r="O50" s="7"/>
      <c r="P50" s="7"/>
    </row>
    <row r="51" spans="3:16" ht="15.75" customHeight="1" x14ac:dyDescent="0.25">
      <c r="C51" s="10"/>
      <c r="D51" s="7"/>
      <c r="E51" s="12"/>
      <c r="F51" s="7"/>
      <c r="G51" s="7"/>
      <c r="H51" s="12"/>
      <c r="I51" s="7"/>
      <c r="J51" s="7"/>
      <c r="K51" s="7"/>
      <c r="L51" s="7"/>
      <c r="M51" s="7"/>
      <c r="N51" s="7"/>
      <c r="O51" s="7"/>
      <c r="P51" s="7"/>
    </row>
    <row r="52" spans="3:16" ht="15.75" customHeight="1" x14ac:dyDescent="0.25">
      <c r="C52" s="10"/>
      <c r="D52" s="7"/>
      <c r="E52" s="12"/>
      <c r="F52" s="7"/>
      <c r="G52" s="7"/>
      <c r="H52" s="12"/>
      <c r="I52" s="7"/>
      <c r="J52" s="7"/>
      <c r="K52" s="7"/>
      <c r="L52" s="7"/>
      <c r="M52" s="7"/>
      <c r="N52" s="7"/>
      <c r="O52" s="7"/>
      <c r="P52" s="7"/>
    </row>
    <row r="53" spans="3:16" ht="15.75" customHeight="1" x14ac:dyDescent="0.25">
      <c r="C53" s="10"/>
      <c r="D53" s="7"/>
      <c r="E53" s="12"/>
      <c r="F53" s="7"/>
      <c r="G53" s="7"/>
      <c r="H53" s="12"/>
      <c r="I53" s="7"/>
      <c r="J53" s="7"/>
      <c r="K53" s="7"/>
      <c r="L53" s="7"/>
      <c r="M53" s="7"/>
      <c r="N53" s="7"/>
      <c r="O53" s="7"/>
      <c r="P53" s="7"/>
    </row>
    <row r="54" spans="3:16" ht="15.75" customHeight="1" x14ac:dyDescent="0.25">
      <c r="C54" s="13" t="s">
        <v>3</v>
      </c>
      <c r="D54" s="14"/>
      <c r="E54" s="14"/>
      <c r="F54" s="14"/>
      <c r="G54" s="14">
        <f>SUM(G13:G53)</f>
        <v>38770</v>
      </c>
      <c r="H54" s="14"/>
      <c r="I54" s="14">
        <f>SUM('Feb 2023'!$I$13:$I$53)</f>
        <v>16330</v>
      </c>
      <c r="J54" s="14">
        <f>SUM('Feb 2023'!$J$13:$J$53)</f>
        <v>1100</v>
      </c>
      <c r="K54" s="14">
        <f>SUM('Feb 2023'!$K$13:$K$53)</f>
        <v>1300</v>
      </c>
      <c r="L54" s="14">
        <f>SUM('Feb 2023'!$L$13:$L$53)</f>
        <v>4820</v>
      </c>
      <c r="M54" s="14">
        <f>SUM('Feb 2023'!$M$13:$M$53)</f>
        <v>1000</v>
      </c>
      <c r="N54" s="14">
        <f>SUM('Feb 2023'!$N$13:$N$53)</f>
        <v>8925</v>
      </c>
      <c r="O54" s="14">
        <f>SUM('Feb 2023'!$O$13:$O$53)</f>
        <v>3660</v>
      </c>
      <c r="P54" s="14">
        <f>SUM('Feb 2023'!$P$13:$P$53)</f>
        <v>600</v>
      </c>
    </row>
    <row r="55" spans="3:16" ht="15.75" customHeight="1" x14ac:dyDescent="0.25">
      <c r="C55" s="1"/>
    </row>
    <row r="56" spans="3:16" ht="15.75" customHeight="1" x14ac:dyDescent="0.25">
      <c r="C56" s="1"/>
      <c r="D56" s="1"/>
    </row>
    <row r="57" spans="3:16" ht="15.75" customHeight="1" x14ac:dyDescent="0.25">
      <c r="C57" s="1"/>
    </row>
    <row r="58" spans="3:16" ht="15.75" customHeight="1" x14ac:dyDescent="0.25">
      <c r="C58" s="1"/>
    </row>
    <row r="59" spans="3:16" ht="15.75" customHeight="1" x14ac:dyDescent="0.25"/>
    <row r="60" spans="3:16" ht="15.75" customHeight="1" x14ac:dyDescent="0.25"/>
    <row r="61" spans="3:16" ht="15.75" customHeight="1" x14ac:dyDescent="0.25"/>
    <row r="62" spans="3:16" ht="15.75" customHeight="1" x14ac:dyDescent="0.25"/>
    <row r="63" spans="3:16" ht="15.75" customHeight="1" x14ac:dyDescent="0.25"/>
    <row r="64" spans="3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P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12.140625" customWidth="1"/>
    <col min="5" max="5" width="10.7109375" customWidth="1"/>
    <col min="6" max="26" width="8.7109375" customWidth="1"/>
  </cols>
  <sheetData>
    <row r="1" spans="3:16" x14ac:dyDescent="0.25">
      <c r="C1" s="1"/>
    </row>
    <row r="2" spans="3:16" ht="15.75" x14ac:dyDescent="0.25">
      <c r="C2" s="1"/>
      <c r="D2" s="2" t="s">
        <v>72</v>
      </c>
      <c r="E2" s="2"/>
      <c r="F2" s="2"/>
      <c r="G2" s="2"/>
      <c r="H2" s="2"/>
      <c r="I2" s="2"/>
      <c r="J2" s="2"/>
      <c r="K2" s="2"/>
      <c r="L2" s="2"/>
      <c r="M2" s="3"/>
    </row>
    <row r="3" spans="3:16" x14ac:dyDescent="0.25">
      <c r="C3" s="1"/>
      <c r="D3" s="4" t="s">
        <v>1</v>
      </c>
      <c r="E3" s="4" t="s">
        <v>2</v>
      </c>
      <c r="F3" s="4">
        <v>1799</v>
      </c>
      <c r="G3" s="4">
        <v>2099</v>
      </c>
      <c r="H3" s="4">
        <v>2699</v>
      </c>
      <c r="I3" s="4">
        <v>588</v>
      </c>
      <c r="J3" s="4">
        <v>2088</v>
      </c>
      <c r="K3" s="4">
        <v>2488</v>
      </c>
      <c r="L3" s="4">
        <v>2688</v>
      </c>
      <c r="M3" s="5" t="s">
        <v>3</v>
      </c>
    </row>
    <row r="4" spans="3:16" ht="15.75" x14ac:dyDescent="0.25">
      <c r="C4" s="1"/>
      <c r="D4" s="6" t="s">
        <v>4</v>
      </c>
      <c r="E4" s="7">
        <f>'March 2023'!$I$53</f>
        <v>6525</v>
      </c>
      <c r="F4" s="7">
        <f>'March 2023'!$J$53</f>
        <v>11500</v>
      </c>
      <c r="G4" s="7">
        <f>'March 2023'!$K$53</f>
        <v>25</v>
      </c>
      <c r="H4" s="7">
        <f>'March 2023'!$L$53</f>
        <v>4600</v>
      </c>
      <c r="I4" s="7">
        <f>'March 2023'!$M$53</f>
        <v>50</v>
      </c>
      <c r="J4" s="7">
        <f>'March 2023'!$N$53</f>
        <v>7450</v>
      </c>
      <c r="K4" s="7">
        <f>'March 2023'!$O$53</f>
        <v>8000</v>
      </c>
      <c r="L4" s="7">
        <f>'March 2023'!$P$53</f>
        <v>2200</v>
      </c>
      <c r="M4" s="8">
        <f>SUM(E4:L4)</f>
        <v>40350</v>
      </c>
    </row>
    <row r="5" spans="3:16" x14ac:dyDescent="0.25">
      <c r="C5" s="1"/>
      <c r="D5" s="6" t="s">
        <v>5</v>
      </c>
      <c r="E5" s="7"/>
      <c r="F5" s="7"/>
      <c r="G5" s="7"/>
      <c r="H5" s="7"/>
      <c r="I5" s="7"/>
      <c r="J5" s="7"/>
      <c r="K5" s="7"/>
      <c r="L5" s="7"/>
      <c r="M5" s="7"/>
    </row>
    <row r="6" spans="3:16" x14ac:dyDescent="0.25">
      <c r="C6" s="1"/>
      <c r="D6" s="6" t="s">
        <v>6</v>
      </c>
      <c r="E6" s="7"/>
      <c r="F6" s="7"/>
      <c r="G6" s="7"/>
      <c r="H6" s="7"/>
      <c r="I6" s="7"/>
      <c r="J6" s="7"/>
      <c r="K6" s="7"/>
      <c r="L6" s="7"/>
      <c r="M6" s="7"/>
    </row>
    <row r="7" spans="3:16" x14ac:dyDescent="0.25">
      <c r="C7" s="1"/>
      <c r="D7" s="6" t="s">
        <v>7</v>
      </c>
      <c r="E7" s="7"/>
      <c r="F7" s="7"/>
      <c r="G7" s="7"/>
      <c r="H7" s="7"/>
      <c r="I7" s="7"/>
      <c r="J7" s="7"/>
      <c r="K7" s="7"/>
      <c r="L7" s="7"/>
      <c r="M7" s="7"/>
    </row>
    <row r="8" spans="3:16" x14ac:dyDescent="0.25">
      <c r="C8" s="1"/>
    </row>
    <row r="9" spans="3:16" x14ac:dyDescent="0.25">
      <c r="C9" s="1"/>
    </row>
    <row r="10" spans="3:16" x14ac:dyDescent="0.25">
      <c r="C10" s="1"/>
    </row>
    <row r="11" spans="3:16" x14ac:dyDescent="0.25">
      <c r="C11" s="9" t="s">
        <v>8</v>
      </c>
      <c r="D11" s="4" t="s">
        <v>9</v>
      </c>
      <c r="E11" s="4" t="s">
        <v>10</v>
      </c>
      <c r="F11" s="4" t="s">
        <v>11</v>
      </c>
      <c r="G11" s="4" t="s">
        <v>4</v>
      </c>
      <c r="H11" s="4" t="s">
        <v>12</v>
      </c>
      <c r="I11" s="4" t="s">
        <v>2</v>
      </c>
      <c r="J11" s="4" t="s">
        <v>13</v>
      </c>
      <c r="K11" s="4" t="s">
        <v>14</v>
      </c>
      <c r="L11" s="4" t="s">
        <v>15</v>
      </c>
      <c r="M11" s="4" t="s">
        <v>16</v>
      </c>
      <c r="N11" s="4" t="s">
        <v>17</v>
      </c>
      <c r="O11" s="4" t="s">
        <v>18</v>
      </c>
      <c r="P11" s="4" t="s">
        <v>19</v>
      </c>
    </row>
    <row r="12" spans="3:16" x14ac:dyDescent="0.25">
      <c r="C12" s="10">
        <v>1</v>
      </c>
      <c r="D12" s="11">
        <v>44986</v>
      </c>
      <c r="E12" s="12">
        <v>319</v>
      </c>
      <c r="F12" s="7" t="s">
        <v>66</v>
      </c>
      <c r="G12" s="7">
        <v>150</v>
      </c>
      <c r="H12" s="12">
        <v>214</v>
      </c>
      <c r="I12" s="7"/>
      <c r="J12" s="7"/>
      <c r="K12" s="7"/>
      <c r="L12" s="7">
        <v>150</v>
      </c>
      <c r="M12" s="7"/>
      <c r="N12" s="7"/>
      <c r="O12" s="7"/>
      <c r="P12" s="7"/>
    </row>
    <row r="13" spans="3:16" x14ac:dyDescent="0.25">
      <c r="C13" s="10">
        <v>2</v>
      </c>
      <c r="D13" s="11">
        <v>44986</v>
      </c>
      <c r="E13" s="12">
        <v>321</v>
      </c>
      <c r="F13" s="7" t="s">
        <v>21</v>
      </c>
      <c r="G13" s="7">
        <v>3000</v>
      </c>
      <c r="H13" s="12">
        <v>155</v>
      </c>
      <c r="I13" s="7">
        <v>3000</v>
      </c>
      <c r="J13" s="7"/>
      <c r="K13" s="7"/>
      <c r="L13" s="7"/>
      <c r="M13" s="7"/>
      <c r="N13" s="7"/>
      <c r="O13" s="7"/>
      <c r="P13" s="7"/>
    </row>
    <row r="14" spans="3:16" x14ac:dyDescent="0.25">
      <c r="C14" s="10">
        <v>3</v>
      </c>
      <c r="D14" s="11">
        <v>44987</v>
      </c>
      <c r="E14" s="12" t="s">
        <v>27</v>
      </c>
      <c r="F14" s="7" t="s">
        <v>73</v>
      </c>
      <c r="G14" s="7">
        <v>1000</v>
      </c>
      <c r="H14" s="12">
        <v>214</v>
      </c>
      <c r="I14" s="7"/>
      <c r="J14" s="7"/>
      <c r="K14" s="7"/>
      <c r="L14" s="7">
        <v>1000</v>
      </c>
      <c r="M14" s="7"/>
      <c r="N14" s="7"/>
      <c r="O14" s="7"/>
      <c r="P14" s="7"/>
    </row>
    <row r="15" spans="3:16" x14ac:dyDescent="0.25">
      <c r="C15" s="10">
        <v>4</v>
      </c>
      <c r="D15" s="11">
        <v>44989</v>
      </c>
      <c r="E15" s="12" t="s">
        <v>74</v>
      </c>
      <c r="F15" s="7" t="s">
        <v>32</v>
      </c>
      <c r="G15" s="7">
        <v>500</v>
      </c>
      <c r="H15" s="12">
        <v>225</v>
      </c>
      <c r="I15" s="7"/>
      <c r="J15" s="7"/>
      <c r="K15" s="7"/>
      <c r="L15" s="7"/>
      <c r="M15" s="7"/>
      <c r="N15" s="7"/>
      <c r="O15" s="7">
        <v>500</v>
      </c>
      <c r="P15" s="7"/>
    </row>
    <row r="16" spans="3:16" x14ac:dyDescent="0.25">
      <c r="C16" s="10">
        <v>5</v>
      </c>
      <c r="D16" s="11">
        <v>44989</v>
      </c>
      <c r="E16" s="12" t="s">
        <v>75</v>
      </c>
      <c r="F16" s="7" t="s">
        <v>43</v>
      </c>
      <c r="G16" s="7">
        <v>2000</v>
      </c>
      <c r="H16" s="12">
        <v>213</v>
      </c>
      <c r="I16" s="7"/>
      <c r="J16" s="7"/>
      <c r="K16" s="7"/>
      <c r="L16" s="7"/>
      <c r="M16" s="7"/>
      <c r="N16" s="7"/>
      <c r="O16" s="7">
        <v>2000</v>
      </c>
      <c r="P16" s="7"/>
    </row>
    <row r="17" spans="3:16" x14ac:dyDescent="0.25">
      <c r="C17" s="10">
        <v>6</v>
      </c>
      <c r="D17" s="11">
        <v>44989</v>
      </c>
      <c r="E17" s="12">
        <v>323</v>
      </c>
      <c r="F17" s="7" t="s">
        <v>76</v>
      </c>
      <c r="G17" s="7">
        <v>150</v>
      </c>
      <c r="H17" s="12">
        <v>225</v>
      </c>
      <c r="I17" s="7"/>
      <c r="J17" s="7"/>
      <c r="K17" s="7"/>
      <c r="L17" s="7">
        <v>150</v>
      </c>
      <c r="M17" s="7"/>
      <c r="N17" s="7"/>
      <c r="O17" s="7"/>
      <c r="P17" s="7"/>
    </row>
    <row r="18" spans="3:16" x14ac:dyDescent="0.25">
      <c r="C18" s="10">
        <v>7</v>
      </c>
      <c r="D18" s="11">
        <v>44994</v>
      </c>
      <c r="E18" s="12">
        <v>325</v>
      </c>
      <c r="F18" s="7" t="s">
        <v>51</v>
      </c>
      <c r="G18" s="7">
        <v>5000</v>
      </c>
      <c r="H18" s="12">
        <v>220</v>
      </c>
      <c r="I18" s="7"/>
      <c r="J18" s="7"/>
      <c r="K18" s="7"/>
      <c r="L18" s="7"/>
      <c r="M18" s="7"/>
      <c r="N18" s="7"/>
      <c r="O18" s="7">
        <v>5000</v>
      </c>
      <c r="P18" s="7"/>
    </row>
    <row r="19" spans="3:16" x14ac:dyDescent="0.25">
      <c r="C19" s="10">
        <v>8</v>
      </c>
      <c r="D19" s="11">
        <v>44994</v>
      </c>
      <c r="E19" s="12" t="s">
        <v>77</v>
      </c>
      <c r="F19" s="7" t="s">
        <v>37</v>
      </c>
      <c r="G19" s="7">
        <v>250</v>
      </c>
      <c r="H19" s="12">
        <v>220</v>
      </c>
      <c r="I19" s="7"/>
      <c r="J19" s="7"/>
      <c r="K19" s="7"/>
      <c r="L19" s="7">
        <v>250</v>
      </c>
      <c r="M19" s="7"/>
      <c r="N19" s="7"/>
      <c r="O19" s="7"/>
      <c r="P19" s="7"/>
    </row>
    <row r="20" spans="3:16" x14ac:dyDescent="0.25">
      <c r="C20" s="10">
        <v>9</v>
      </c>
      <c r="D20" s="11">
        <v>44995</v>
      </c>
      <c r="E20" s="12">
        <v>327</v>
      </c>
      <c r="F20" s="7" t="s">
        <v>78</v>
      </c>
      <c r="G20" s="7">
        <v>225</v>
      </c>
      <c r="H20" s="12">
        <v>155</v>
      </c>
      <c r="I20" s="7">
        <v>225</v>
      </c>
      <c r="J20" s="7"/>
      <c r="K20" s="7"/>
      <c r="L20" s="7"/>
      <c r="M20" s="7"/>
      <c r="N20" s="7"/>
      <c r="O20" s="7"/>
      <c r="P20" s="7"/>
    </row>
    <row r="21" spans="3:16" ht="15.75" customHeight="1" x14ac:dyDescent="0.25">
      <c r="C21" s="10">
        <v>10</v>
      </c>
      <c r="D21" s="11">
        <v>44996</v>
      </c>
      <c r="E21" s="12">
        <v>328</v>
      </c>
      <c r="F21" s="7" t="s">
        <v>60</v>
      </c>
      <c r="G21" s="7">
        <v>500</v>
      </c>
      <c r="H21" s="12">
        <v>150</v>
      </c>
      <c r="I21" s="7">
        <v>500</v>
      </c>
      <c r="J21" s="7"/>
      <c r="K21" s="7"/>
      <c r="L21" s="7"/>
      <c r="M21" s="7"/>
      <c r="N21" s="7"/>
      <c r="O21" s="7"/>
      <c r="P21" s="7"/>
    </row>
    <row r="22" spans="3:16" ht="15.75" customHeight="1" x14ac:dyDescent="0.25">
      <c r="C22" s="10">
        <v>11</v>
      </c>
      <c r="D22" s="11">
        <v>44998</v>
      </c>
      <c r="E22" s="12" t="s">
        <v>27</v>
      </c>
      <c r="F22" s="7" t="s">
        <v>28</v>
      </c>
      <c r="G22" s="7">
        <v>700</v>
      </c>
      <c r="H22" s="12">
        <v>155</v>
      </c>
      <c r="I22" s="7">
        <v>700</v>
      </c>
      <c r="J22" s="7"/>
      <c r="K22" s="7"/>
      <c r="L22" s="7"/>
      <c r="M22" s="7"/>
      <c r="N22" s="7"/>
      <c r="O22" s="7"/>
      <c r="P22" s="7"/>
    </row>
    <row r="23" spans="3:16" ht="15.75" customHeight="1" x14ac:dyDescent="0.25">
      <c r="C23" s="10">
        <v>12</v>
      </c>
      <c r="D23" s="11">
        <v>44998</v>
      </c>
      <c r="E23" s="12" t="s">
        <v>79</v>
      </c>
      <c r="F23" s="7" t="s">
        <v>49</v>
      </c>
      <c r="G23" s="7">
        <v>1000</v>
      </c>
      <c r="H23" s="12">
        <v>218</v>
      </c>
      <c r="I23" s="7"/>
      <c r="J23" s="7"/>
      <c r="K23" s="7"/>
      <c r="L23" s="7">
        <v>1000</v>
      </c>
      <c r="M23" s="7"/>
      <c r="N23" s="7"/>
      <c r="O23" s="7"/>
      <c r="P23" s="7"/>
    </row>
    <row r="24" spans="3:16" ht="15.75" customHeight="1" x14ac:dyDescent="0.25">
      <c r="C24" s="10">
        <v>13</v>
      </c>
      <c r="D24" s="11">
        <v>44996</v>
      </c>
      <c r="E24" s="12">
        <v>329</v>
      </c>
      <c r="F24" s="7" t="s">
        <v>57</v>
      </c>
      <c r="G24" s="7">
        <v>200</v>
      </c>
      <c r="H24" s="12">
        <v>150</v>
      </c>
      <c r="I24" s="7">
        <v>200</v>
      </c>
      <c r="J24" s="7"/>
      <c r="K24" s="7"/>
      <c r="L24" s="7"/>
      <c r="M24" s="7"/>
      <c r="N24" s="7"/>
      <c r="O24" s="7"/>
      <c r="P24" s="7"/>
    </row>
    <row r="25" spans="3:16" ht="15.75" customHeight="1" x14ac:dyDescent="0.25">
      <c r="C25" s="10">
        <v>14</v>
      </c>
      <c r="D25" s="11">
        <v>44998</v>
      </c>
      <c r="E25" s="12">
        <v>331</v>
      </c>
      <c r="F25" s="7" t="s">
        <v>80</v>
      </c>
      <c r="G25" s="7">
        <v>25</v>
      </c>
      <c r="H25" s="12">
        <v>210</v>
      </c>
      <c r="I25" s="7"/>
      <c r="J25" s="7"/>
      <c r="K25" s="7">
        <v>25</v>
      </c>
      <c r="L25" s="7"/>
      <c r="M25" s="7"/>
      <c r="N25" s="7"/>
      <c r="O25" s="7"/>
      <c r="P25" s="7"/>
    </row>
    <row r="26" spans="3:16" ht="15.75" customHeight="1" x14ac:dyDescent="0.25">
      <c r="C26" s="10">
        <v>15</v>
      </c>
      <c r="D26" s="11">
        <v>45001</v>
      </c>
      <c r="E26" s="12" t="s">
        <v>27</v>
      </c>
      <c r="F26" s="7" t="s">
        <v>28</v>
      </c>
      <c r="G26" s="7">
        <v>300</v>
      </c>
      <c r="H26" s="12">
        <v>217</v>
      </c>
      <c r="I26" s="7"/>
      <c r="J26" s="7"/>
      <c r="K26" s="7"/>
      <c r="L26" s="7">
        <v>300</v>
      </c>
      <c r="M26" s="7"/>
      <c r="N26" s="7"/>
      <c r="O26" s="7"/>
      <c r="P26" s="7"/>
    </row>
    <row r="27" spans="3:16" ht="15.75" customHeight="1" x14ac:dyDescent="0.25">
      <c r="C27" s="10">
        <v>16</v>
      </c>
      <c r="D27" s="11">
        <v>45002</v>
      </c>
      <c r="E27" s="15" t="s">
        <v>81</v>
      </c>
      <c r="F27" s="7" t="s">
        <v>49</v>
      </c>
      <c r="G27" s="7">
        <v>10000</v>
      </c>
      <c r="H27" s="12">
        <v>203</v>
      </c>
      <c r="I27" s="7"/>
      <c r="J27" s="7">
        <v>11000</v>
      </c>
      <c r="K27" s="7"/>
      <c r="L27" s="7"/>
      <c r="M27" s="7"/>
      <c r="N27" s="7"/>
      <c r="O27" s="7"/>
      <c r="P27" s="7"/>
    </row>
    <row r="28" spans="3:16" ht="15.75" customHeight="1" x14ac:dyDescent="0.25">
      <c r="C28" s="10">
        <v>17</v>
      </c>
      <c r="D28" s="11">
        <v>45003</v>
      </c>
      <c r="E28" s="12" t="s">
        <v>27</v>
      </c>
      <c r="F28" s="7" t="s">
        <v>30</v>
      </c>
      <c r="G28" s="7">
        <v>200</v>
      </c>
      <c r="H28" s="12">
        <v>230</v>
      </c>
      <c r="I28" s="7"/>
      <c r="J28" s="7"/>
      <c r="K28" s="7"/>
      <c r="L28" s="7"/>
      <c r="M28" s="7"/>
      <c r="N28" s="7"/>
      <c r="O28" s="7"/>
      <c r="P28" s="7">
        <v>200</v>
      </c>
    </row>
    <row r="29" spans="3:16" ht="15.75" customHeight="1" x14ac:dyDescent="0.25">
      <c r="C29" s="10">
        <v>18</v>
      </c>
      <c r="D29" s="11">
        <v>45003</v>
      </c>
      <c r="E29" s="12">
        <v>332</v>
      </c>
      <c r="F29" s="7" t="s">
        <v>44</v>
      </c>
      <c r="G29" s="7">
        <v>2000</v>
      </c>
      <c r="H29" s="12">
        <v>220</v>
      </c>
      <c r="I29" s="7"/>
      <c r="J29" s="7"/>
      <c r="K29" s="7"/>
      <c r="L29" s="7"/>
      <c r="M29" s="7"/>
      <c r="N29" s="7"/>
      <c r="O29" s="7"/>
      <c r="P29" s="7">
        <v>2000</v>
      </c>
    </row>
    <row r="30" spans="3:16" ht="15.75" customHeight="1" x14ac:dyDescent="0.25">
      <c r="C30" s="10">
        <v>19</v>
      </c>
      <c r="D30" s="11">
        <v>45000</v>
      </c>
      <c r="E30" s="12">
        <v>333</v>
      </c>
      <c r="F30" s="7" t="s">
        <v>71</v>
      </c>
      <c r="G30" s="7">
        <v>250</v>
      </c>
      <c r="H30" s="12">
        <v>212</v>
      </c>
      <c r="I30" s="7"/>
      <c r="J30" s="7"/>
      <c r="K30" s="7"/>
      <c r="L30" s="7"/>
      <c r="M30" s="7"/>
      <c r="N30" s="7">
        <v>250</v>
      </c>
      <c r="O30" s="7"/>
      <c r="P30" s="7"/>
    </row>
    <row r="31" spans="3:16" ht="15.75" customHeight="1" x14ac:dyDescent="0.25">
      <c r="C31" s="10">
        <v>20</v>
      </c>
      <c r="D31" s="11">
        <v>45005</v>
      </c>
      <c r="E31" s="12">
        <v>334</v>
      </c>
      <c r="F31" s="7" t="s">
        <v>40</v>
      </c>
      <c r="G31" s="7">
        <v>1250</v>
      </c>
      <c r="H31" s="12">
        <v>153</v>
      </c>
      <c r="I31" s="7">
        <v>1250</v>
      </c>
      <c r="J31" s="7"/>
      <c r="K31" s="7"/>
      <c r="L31" s="7"/>
      <c r="M31" s="7"/>
      <c r="N31" s="7"/>
      <c r="O31" s="7"/>
      <c r="P31" s="7"/>
    </row>
    <row r="32" spans="3:16" ht="15.75" customHeight="1" x14ac:dyDescent="0.25">
      <c r="C32" s="10">
        <v>21</v>
      </c>
      <c r="D32" s="11">
        <v>45006</v>
      </c>
      <c r="E32" s="12">
        <v>335</v>
      </c>
      <c r="F32" s="7" t="s">
        <v>82</v>
      </c>
      <c r="G32" s="7">
        <v>2000</v>
      </c>
      <c r="H32" s="12">
        <v>210</v>
      </c>
      <c r="I32" s="7"/>
      <c r="J32" s="7"/>
      <c r="K32" s="7"/>
      <c r="L32" s="7"/>
      <c r="M32" s="7"/>
      <c r="N32" s="7">
        <v>2000</v>
      </c>
      <c r="O32" s="7"/>
      <c r="P32" s="7"/>
    </row>
    <row r="33" spans="3:16" ht="15.75" customHeight="1" x14ac:dyDescent="0.25">
      <c r="C33" s="10">
        <v>22</v>
      </c>
      <c r="D33" s="11">
        <v>45008</v>
      </c>
      <c r="E33" s="12">
        <v>339</v>
      </c>
      <c r="F33" s="7" t="s">
        <v>83</v>
      </c>
      <c r="G33" s="7">
        <v>500</v>
      </c>
      <c r="H33" s="12">
        <v>200</v>
      </c>
      <c r="I33" s="7"/>
      <c r="J33" s="7">
        <v>500</v>
      </c>
      <c r="K33" s="7"/>
      <c r="L33" s="7"/>
      <c r="M33" s="7"/>
      <c r="N33" s="7"/>
      <c r="O33" s="7"/>
      <c r="P33" s="7"/>
    </row>
    <row r="34" spans="3:16" ht="15.75" customHeight="1" x14ac:dyDescent="0.25">
      <c r="C34" s="10">
        <v>23</v>
      </c>
      <c r="D34" s="11">
        <v>45008</v>
      </c>
      <c r="E34" s="12">
        <v>340</v>
      </c>
      <c r="F34" s="7" t="s">
        <v>51</v>
      </c>
      <c r="G34" s="7">
        <v>5000</v>
      </c>
      <c r="H34" s="12">
        <v>216</v>
      </c>
      <c r="I34" s="7"/>
      <c r="J34" s="7"/>
      <c r="K34" s="7"/>
      <c r="L34" s="7" t="s">
        <v>84</v>
      </c>
      <c r="M34" s="7"/>
      <c r="N34" s="7">
        <v>5000</v>
      </c>
      <c r="O34" s="7"/>
      <c r="P34" s="7"/>
    </row>
    <row r="35" spans="3:16" ht="15.75" customHeight="1" x14ac:dyDescent="0.25">
      <c r="C35" s="10">
        <v>24</v>
      </c>
      <c r="D35" s="11">
        <v>45008</v>
      </c>
      <c r="E35" s="12" t="s">
        <v>85</v>
      </c>
      <c r="F35" s="7" t="s">
        <v>37</v>
      </c>
      <c r="G35" s="7">
        <v>250</v>
      </c>
      <c r="H35" s="12">
        <v>220</v>
      </c>
      <c r="I35" s="7"/>
      <c r="J35" s="7"/>
      <c r="K35" s="7"/>
      <c r="L35" s="7">
        <v>250</v>
      </c>
      <c r="M35" s="7"/>
      <c r="N35" s="7"/>
      <c r="O35" s="7"/>
      <c r="P35" s="7"/>
    </row>
    <row r="36" spans="3:16" ht="15.75" customHeight="1" x14ac:dyDescent="0.25">
      <c r="C36" s="10">
        <v>25</v>
      </c>
      <c r="D36" s="11">
        <v>45012</v>
      </c>
      <c r="E36" s="12">
        <v>360</v>
      </c>
      <c r="F36" s="7" t="s">
        <v>60</v>
      </c>
      <c r="G36" s="7">
        <v>260</v>
      </c>
      <c r="H36" s="12">
        <v>150</v>
      </c>
      <c r="I36" s="7">
        <v>250</v>
      </c>
      <c r="J36" s="7"/>
      <c r="K36" s="7"/>
      <c r="L36" s="7"/>
      <c r="M36" s="7"/>
      <c r="N36" s="7"/>
      <c r="O36" s="7"/>
      <c r="P36" s="7"/>
    </row>
    <row r="37" spans="3:16" ht="15.75" customHeight="1" x14ac:dyDescent="0.25">
      <c r="C37" s="10">
        <v>26</v>
      </c>
      <c r="D37" s="11">
        <v>45012</v>
      </c>
      <c r="E37" s="12">
        <v>361</v>
      </c>
      <c r="F37" s="7" t="s">
        <v>24</v>
      </c>
      <c r="G37" s="7">
        <v>200</v>
      </c>
      <c r="H37" s="12">
        <v>218</v>
      </c>
      <c r="I37" s="7"/>
      <c r="J37" s="7"/>
      <c r="K37" s="7"/>
      <c r="L37" s="7"/>
      <c r="M37" s="7"/>
      <c r="N37" s="7">
        <v>200</v>
      </c>
      <c r="O37" s="7"/>
      <c r="P37" s="7"/>
    </row>
    <row r="38" spans="3:16" ht="15.75" customHeight="1" x14ac:dyDescent="0.25">
      <c r="C38" s="10">
        <v>27</v>
      </c>
      <c r="D38" s="11">
        <v>45012</v>
      </c>
      <c r="E38" s="12">
        <v>362</v>
      </c>
      <c r="F38" s="7" t="s">
        <v>48</v>
      </c>
      <c r="G38" s="7">
        <v>400</v>
      </c>
      <c r="H38" s="12">
        <v>155</v>
      </c>
      <c r="I38" s="7">
        <v>400</v>
      </c>
      <c r="J38" s="7"/>
      <c r="K38" s="7"/>
      <c r="L38" s="7"/>
      <c r="M38" s="7"/>
      <c r="N38" s="7"/>
      <c r="O38" s="7"/>
      <c r="P38" s="7"/>
    </row>
    <row r="39" spans="3:16" ht="15.75" customHeight="1" x14ac:dyDescent="0.25">
      <c r="C39" s="10">
        <v>28</v>
      </c>
      <c r="D39" s="11">
        <v>45012</v>
      </c>
      <c r="E39" s="12" t="s">
        <v>86</v>
      </c>
      <c r="F39" s="7" t="s">
        <v>49</v>
      </c>
      <c r="G39" s="7">
        <v>1500</v>
      </c>
      <c r="H39" s="12">
        <v>215</v>
      </c>
      <c r="I39" s="7"/>
      <c r="J39" s="7"/>
      <c r="K39" s="7"/>
      <c r="L39" s="7">
        <v>1500</v>
      </c>
      <c r="M39" s="7"/>
      <c r="N39" s="7"/>
      <c r="O39" s="7"/>
      <c r="P39" s="7"/>
    </row>
    <row r="40" spans="3:16" ht="15.75" customHeight="1" x14ac:dyDescent="0.25">
      <c r="C40" s="10">
        <v>29</v>
      </c>
      <c r="D40" s="11">
        <v>45012</v>
      </c>
      <c r="E40" s="12" t="s">
        <v>68</v>
      </c>
      <c r="F40" s="7" t="s">
        <v>32</v>
      </c>
      <c r="G40" s="7">
        <v>550</v>
      </c>
      <c r="H40" s="12">
        <v>220</v>
      </c>
      <c r="I40" s="7"/>
      <c r="J40" s="7"/>
      <c r="K40" s="7"/>
      <c r="L40" s="7"/>
      <c r="M40" s="7">
        <v>50</v>
      </c>
      <c r="N40" s="7"/>
      <c r="O40" s="7">
        <v>500</v>
      </c>
      <c r="P40" s="7"/>
    </row>
    <row r="41" spans="3:16" ht="15.75" customHeight="1" x14ac:dyDescent="0.25">
      <c r="C41" s="10">
        <v>30</v>
      </c>
      <c r="D41" s="11"/>
      <c r="E41" s="12"/>
      <c r="F41" s="7" t="s">
        <v>60</v>
      </c>
      <c r="G41" s="7"/>
      <c r="H41" s="12"/>
      <c r="I41" s="7"/>
      <c r="J41" s="7"/>
      <c r="K41" s="7"/>
      <c r="L41" s="7"/>
      <c r="M41" s="7"/>
      <c r="N41" s="7"/>
      <c r="O41" s="7"/>
      <c r="P41" s="7"/>
    </row>
    <row r="42" spans="3:16" ht="15.75" customHeight="1" x14ac:dyDescent="0.25">
      <c r="C42" s="10">
        <v>31</v>
      </c>
      <c r="D42" s="11"/>
      <c r="E42" s="12"/>
      <c r="F42" s="7" t="s">
        <v>26</v>
      </c>
      <c r="G42" s="7"/>
      <c r="H42" s="12"/>
      <c r="I42" s="7"/>
      <c r="J42" s="7"/>
      <c r="K42" s="7"/>
      <c r="L42" s="7"/>
      <c r="M42" s="7"/>
      <c r="N42" s="7"/>
      <c r="O42" s="7"/>
      <c r="P42" s="7"/>
    </row>
    <row r="43" spans="3:16" ht="15.75" customHeight="1" x14ac:dyDescent="0.25">
      <c r="C43" s="10">
        <v>32</v>
      </c>
      <c r="D43" s="11"/>
      <c r="E43" s="12"/>
      <c r="F43" s="7" t="s">
        <v>69</v>
      </c>
      <c r="G43" s="7"/>
      <c r="H43" s="12"/>
      <c r="I43" s="7"/>
      <c r="J43" s="7"/>
      <c r="K43" s="7"/>
      <c r="L43" s="7"/>
      <c r="M43" s="7"/>
      <c r="N43" s="7"/>
      <c r="O43" s="7"/>
      <c r="P43" s="7"/>
    </row>
    <row r="44" spans="3:16" ht="15.75" customHeight="1" x14ac:dyDescent="0.25">
      <c r="C44" s="10">
        <v>33</v>
      </c>
      <c r="D44" s="11"/>
      <c r="E44" s="12"/>
      <c r="F44" s="7" t="s">
        <v>49</v>
      </c>
      <c r="G44" s="7"/>
      <c r="H44" s="12"/>
      <c r="I44" s="7"/>
      <c r="J44" s="7"/>
      <c r="K44" s="7"/>
      <c r="L44" s="7"/>
      <c r="M44" s="7"/>
      <c r="N44" s="7"/>
      <c r="O44" s="7"/>
      <c r="P44" s="7"/>
    </row>
    <row r="45" spans="3:16" ht="15.75" customHeight="1" x14ac:dyDescent="0.25">
      <c r="C45" s="10">
        <v>34</v>
      </c>
      <c r="D45" s="11"/>
      <c r="E45" s="12"/>
      <c r="F45" s="7" t="s">
        <v>28</v>
      </c>
      <c r="G45" s="7"/>
      <c r="H45" s="12"/>
      <c r="I45" s="7"/>
      <c r="J45" s="7"/>
      <c r="K45" s="7"/>
      <c r="L45" s="7"/>
      <c r="M45" s="7"/>
      <c r="N45" s="7"/>
      <c r="O45" s="7"/>
      <c r="P45" s="7"/>
    </row>
    <row r="46" spans="3:16" ht="15.75" customHeight="1" x14ac:dyDescent="0.25">
      <c r="C46" s="10">
        <v>35</v>
      </c>
      <c r="D46" s="11"/>
      <c r="E46" s="12"/>
      <c r="F46" s="7" t="s">
        <v>71</v>
      </c>
      <c r="G46" s="7"/>
      <c r="H46" s="12"/>
      <c r="I46" s="7"/>
      <c r="J46" s="7"/>
      <c r="K46" s="7"/>
      <c r="L46" s="7"/>
      <c r="M46" s="7"/>
      <c r="N46" s="7"/>
      <c r="O46" s="7"/>
      <c r="P46" s="7"/>
    </row>
    <row r="47" spans="3:16" ht="15.75" customHeight="1" x14ac:dyDescent="0.25">
      <c r="C47" s="10"/>
      <c r="D47" s="7"/>
      <c r="E47" s="12"/>
      <c r="F47" s="7"/>
      <c r="G47" s="7"/>
      <c r="H47" s="12"/>
      <c r="I47" s="7"/>
      <c r="J47" s="7"/>
      <c r="K47" s="7"/>
      <c r="L47" s="7"/>
      <c r="M47" s="7"/>
      <c r="N47" s="7"/>
      <c r="O47" s="7"/>
      <c r="P47" s="7"/>
    </row>
    <row r="48" spans="3:16" ht="15.75" customHeight="1" x14ac:dyDescent="0.25">
      <c r="C48" s="10"/>
      <c r="D48" s="7"/>
      <c r="E48" s="12"/>
      <c r="F48" s="7"/>
      <c r="G48" s="7"/>
      <c r="H48" s="12"/>
      <c r="I48" s="7"/>
      <c r="J48" s="7"/>
      <c r="K48" s="7"/>
      <c r="L48" s="7"/>
      <c r="M48" s="7"/>
      <c r="N48" s="7"/>
      <c r="O48" s="7"/>
      <c r="P48" s="7"/>
    </row>
    <row r="49" spans="3:16" ht="15.75" customHeight="1" x14ac:dyDescent="0.25">
      <c r="C49" s="10"/>
      <c r="D49" s="7"/>
      <c r="E49" s="12"/>
      <c r="F49" s="7"/>
      <c r="G49" s="7"/>
      <c r="H49" s="12"/>
      <c r="I49" s="7"/>
      <c r="J49" s="7"/>
      <c r="K49" s="7"/>
      <c r="L49" s="7"/>
      <c r="M49" s="7"/>
      <c r="N49" s="7"/>
      <c r="O49" s="7"/>
      <c r="P49" s="7"/>
    </row>
    <row r="50" spans="3:16" ht="15.75" customHeight="1" x14ac:dyDescent="0.25">
      <c r="C50" s="10"/>
      <c r="D50" s="7"/>
      <c r="E50" s="12"/>
      <c r="F50" s="7"/>
      <c r="G50" s="7"/>
      <c r="H50" s="12"/>
      <c r="I50" s="7"/>
      <c r="J50" s="7"/>
      <c r="K50" s="7"/>
      <c r="L50" s="7"/>
      <c r="M50" s="7"/>
      <c r="N50" s="7"/>
      <c r="O50" s="7"/>
      <c r="P50" s="7"/>
    </row>
    <row r="51" spans="3:16" ht="15.75" customHeight="1" x14ac:dyDescent="0.25">
      <c r="C51" s="10"/>
      <c r="D51" s="7"/>
      <c r="E51" s="12"/>
      <c r="F51" s="7"/>
      <c r="G51" s="7"/>
      <c r="H51" s="12"/>
      <c r="I51" s="7"/>
      <c r="J51" s="7"/>
      <c r="K51" s="7"/>
      <c r="L51" s="7"/>
      <c r="M51" s="7"/>
      <c r="N51" s="7"/>
      <c r="O51" s="7"/>
      <c r="P51" s="7"/>
    </row>
    <row r="52" spans="3:16" ht="15.75" customHeight="1" x14ac:dyDescent="0.25">
      <c r="C52" s="10"/>
      <c r="D52" s="7"/>
      <c r="E52" s="12"/>
      <c r="F52" s="7"/>
      <c r="G52" s="7"/>
      <c r="H52" s="12"/>
      <c r="I52" s="7"/>
      <c r="J52" s="7"/>
      <c r="K52" s="7"/>
      <c r="L52" s="7"/>
      <c r="M52" s="7"/>
      <c r="N52" s="7"/>
      <c r="O52" s="7"/>
      <c r="P52" s="7"/>
    </row>
    <row r="53" spans="3:16" ht="15.75" customHeight="1" x14ac:dyDescent="0.25">
      <c r="C53" s="13" t="s">
        <v>3</v>
      </c>
      <c r="D53" s="14"/>
      <c r="E53" s="14"/>
      <c r="F53" s="14"/>
      <c r="G53" s="14">
        <f>SUM(G12:G52)</f>
        <v>39360</v>
      </c>
      <c r="H53" s="14"/>
      <c r="I53" s="14">
        <f>SUM('March 2023'!$I$12:$I$52)</f>
        <v>6525</v>
      </c>
      <c r="J53" s="14">
        <f>SUM('March 2023'!$J$12:$J$52)</f>
        <v>11500</v>
      </c>
      <c r="K53" s="14">
        <f>SUM('March 2023'!$K$12:$K$52)</f>
        <v>25</v>
      </c>
      <c r="L53" s="14">
        <f>SUM('March 2023'!$L$12:$L$52)</f>
        <v>4600</v>
      </c>
      <c r="M53" s="14">
        <f>SUM('March 2023'!$M$12:$M$52)</f>
        <v>50</v>
      </c>
      <c r="N53" s="14">
        <f>SUM('March 2023'!$N$12:$N$52)</f>
        <v>7450</v>
      </c>
      <c r="O53" s="14">
        <f>SUM('March 2023'!$O$12:$O$52)</f>
        <v>8000</v>
      </c>
      <c r="P53" s="14">
        <f>SUM('March 2023'!$P$12:$P$52)</f>
        <v>2200</v>
      </c>
    </row>
    <row r="54" spans="3:16" ht="15.75" customHeight="1" x14ac:dyDescent="0.25">
      <c r="C54" s="1"/>
    </row>
    <row r="55" spans="3:16" ht="15.75" customHeight="1" x14ac:dyDescent="0.25">
      <c r="C55" s="1"/>
      <c r="D55" s="1"/>
    </row>
    <row r="56" spans="3:16" ht="15.75" customHeight="1" x14ac:dyDescent="0.25"/>
    <row r="57" spans="3:16" ht="15.75" customHeight="1" x14ac:dyDescent="0.25"/>
    <row r="58" spans="3:16" ht="15.75" customHeight="1" x14ac:dyDescent="0.25"/>
    <row r="59" spans="3:16" ht="15.75" customHeight="1" x14ac:dyDescent="0.25"/>
    <row r="60" spans="3:16" ht="15.75" customHeight="1" x14ac:dyDescent="0.25"/>
    <row r="61" spans="3:16" ht="15.75" customHeight="1" x14ac:dyDescent="0.25"/>
    <row r="62" spans="3:16" ht="15.75" customHeight="1" x14ac:dyDescent="0.25"/>
    <row r="63" spans="3:16" ht="15.75" customHeight="1" x14ac:dyDescent="0.25"/>
    <row r="64" spans="3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P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11.28515625" customWidth="1"/>
    <col min="5" max="5" width="10.7109375" customWidth="1"/>
    <col min="6" max="6" width="9.140625" customWidth="1"/>
    <col min="7" max="26" width="8.7109375" customWidth="1"/>
  </cols>
  <sheetData>
    <row r="1" spans="3:16" x14ac:dyDescent="0.25">
      <c r="E1" s="1"/>
      <c r="F1" s="16"/>
    </row>
    <row r="2" spans="3:16" ht="15.75" x14ac:dyDescent="0.25">
      <c r="C2" s="1"/>
      <c r="D2" s="2" t="s">
        <v>87</v>
      </c>
      <c r="E2" s="17"/>
      <c r="F2" s="18"/>
      <c r="G2" s="2"/>
      <c r="H2" s="2"/>
      <c r="I2" s="2"/>
      <c r="J2" s="2"/>
      <c r="K2" s="2"/>
      <c r="L2" s="2"/>
      <c r="M2" s="3"/>
      <c r="O2" s="19" t="s">
        <v>88</v>
      </c>
    </row>
    <row r="3" spans="3:16" x14ac:dyDescent="0.25">
      <c r="C3" s="1"/>
      <c r="D3" s="4" t="s">
        <v>1</v>
      </c>
      <c r="E3" s="9" t="s">
        <v>2</v>
      </c>
      <c r="F3" s="20">
        <v>1799</v>
      </c>
      <c r="G3" s="4">
        <v>2099</v>
      </c>
      <c r="H3" s="4">
        <v>2699</v>
      </c>
      <c r="I3" s="4">
        <v>588</v>
      </c>
      <c r="J3" s="4">
        <v>2088</v>
      </c>
      <c r="K3" s="4">
        <v>2488</v>
      </c>
      <c r="L3" s="4">
        <v>2688</v>
      </c>
      <c r="M3" s="5" t="s">
        <v>3</v>
      </c>
    </row>
    <row r="4" spans="3:16" ht="15.75" x14ac:dyDescent="0.25">
      <c r="C4" s="1"/>
      <c r="D4" s="6" t="s">
        <v>4</v>
      </c>
      <c r="E4" s="21">
        <f>'April 2023'!$I$65</f>
        <v>86300</v>
      </c>
      <c r="F4" s="22">
        <f>'April 2023'!$J$65</f>
        <v>39475</v>
      </c>
      <c r="G4" s="7">
        <f>'April 2023'!$K$65</f>
        <v>325</v>
      </c>
      <c r="H4" s="7">
        <f>'April 2023'!$L$65</f>
        <v>3250</v>
      </c>
      <c r="I4" s="7">
        <f>'April 2023'!$M$65</f>
        <v>0</v>
      </c>
      <c r="J4" s="7">
        <f>'April 2023'!$N$65</f>
        <v>10550</v>
      </c>
      <c r="K4" s="7">
        <f>'April 2023'!$O$65</f>
        <v>5650</v>
      </c>
      <c r="L4" s="7">
        <f>'April 2023'!$P$65</f>
        <v>8000</v>
      </c>
      <c r="M4" s="8">
        <f>SUM(E4:L4)</f>
        <v>153550</v>
      </c>
      <c r="O4" s="23">
        <f>SUM(F4:L4)</f>
        <v>67250</v>
      </c>
    </row>
    <row r="5" spans="3:16" x14ac:dyDescent="0.25">
      <c r="C5" s="1"/>
      <c r="D5" s="6" t="s">
        <v>5</v>
      </c>
      <c r="E5" s="10"/>
      <c r="F5" s="22"/>
      <c r="G5" s="7"/>
      <c r="H5" s="7"/>
      <c r="I5" s="7"/>
      <c r="J5" s="7"/>
      <c r="K5" s="7"/>
      <c r="L5" s="7"/>
      <c r="M5" s="7"/>
    </row>
    <row r="6" spans="3:16" x14ac:dyDescent="0.25">
      <c r="C6" s="1"/>
      <c r="D6" s="6" t="s">
        <v>6</v>
      </c>
      <c r="E6" s="10"/>
      <c r="F6" s="22"/>
      <c r="G6" s="7"/>
      <c r="H6" s="7"/>
      <c r="I6" s="7"/>
      <c r="J6" s="7"/>
      <c r="K6" s="7"/>
      <c r="L6" s="7"/>
      <c r="M6" s="7"/>
    </row>
    <row r="7" spans="3:16" x14ac:dyDescent="0.25">
      <c r="C7" s="1"/>
      <c r="D7" s="6" t="s">
        <v>7</v>
      </c>
      <c r="E7" s="10"/>
      <c r="F7" s="22"/>
      <c r="G7" s="7"/>
      <c r="H7" s="7"/>
      <c r="I7" s="7"/>
      <c r="J7" s="7"/>
      <c r="K7" s="7"/>
      <c r="L7" s="7"/>
      <c r="M7" s="7"/>
    </row>
    <row r="8" spans="3:16" x14ac:dyDescent="0.25">
      <c r="C8" s="1"/>
      <c r="E8" s="1"/>
      <c r="F8" s="16"/>
    </row>
    <row r="9" spans="3:16" x14ac:dyDescent="0.25">
      <c r="C9" s="1"/>
      <c r="E9" s="1"/>
      <c r="F9" s="16"/>
    </row>
    <row r="10" spans="3:16" x14ac:dyDescent="0.25">
      <c r="C10" s="1"/>
      <c r="E10" s="1"/>
      <c r="F10" s="16"/>
    </row>
    <row r="11" spans="3:16" x14ac:dyDescent="0.25">
      <c r="C11" s="9" t="s">
        <v>8</v>
      </c>
      <c r="D11" s="4" t="s">
        <v>9</v>
      </c>
      <c r="E11" s="9" t="s">
        <v>10</v>
      </c>
      <c r="F11" s="20" t="s">
        <v>11</v>
      </c>
      <c r="G11" s="4" t="s">
        <v>4</v>
      </c>
      <c r="H11" s="4" t="s">
        <v>12</v>
      </c>
      <c r="I11" s="4" t="s">
        <v>2</v>
      </c>
      <c r="J11" s="4" t="s">
        <v>13</v>
      </c>
      <c r="K11" s="4" t="s">
        <v>14</v>
      </c>
      <c r="L11" s="4" t="s">
        <v>15</v>
      </c>
      <c r="M11" s="4" t="s">
        <v>16</v>
      </c>
      <c r="N11" s="4" t="s">
        <v>17</v>
      </c>
      <c r="O11" s="4" t="s">
        <v>18</v>
      </c>
      <c r="P11" s="4" t="s">
        <v>19</v>
      </c>
    </row>
    <row r="12" spans="3:16" x14ac:dyDescent="0.25">
      <c r="C12" s="10">
        <v>1</v>
      </c>
      <c r="D12" s="11">
        <v>45017</v>
      </c>
      <c r="E12" s="10">
        <v>1</v>
      </c>
      <c r="F12" s="22" t="s">
        <v>24</v>
      </c>
      <c r="G12" s="7">
        <v>500</v>
      </c>
      <c r="H12" s="12">
        <v>150</v>
      </c>
      <c r="I12" s="7">
        <v>500</v>
      </c>
      <c r="J12" s="7"/>
      <c r="K12" s="7"/>
      <c r="L12" s="7" t="s">
        <v>84</v>
      </c>
      <c r="M12" s="7"/>
      <c r="N12" s="7"/>
      <c r="O12" s="7"/>
      <c r="P12" s="7"/>
    </row>
    <row r="13" spans="3:16" x14ac:dyDescent="0.25">
      <c r="C13" s="10">
        <v>2</v>
      </c>
      <c r="D13" s="11">
        <v>45017</v>
      </c>
      <c r="E13" s="10">
        <v>2</v>
      </c>
      <c r="F13" s="22" t="s">
        <v>89</v>
      </c>
      <c r="G13" s="7">
        <v>1500</v>
      </c>
      <c r="H13" s="12">
        <v>145</v>
      </c>
      <c r="I13" s="7">
        <v>1500</v>
      </c>
      <c r="J13" s="7"/>
      <c r="K13" s="7"/>
      <c r="L13" s="7"/>
      <c r="M13" s="7"/>
      <c r="N13" s="7"/>
      <c r="O13" s="7"/>
      <c r="P13" s="7"/>
    </row>
    <row r="14" spans="3:16" x14ac:dyDescent="0.25">
      <c r="C14" s="10">
        <v>3</v>
      </c>
      <c r="D14" s="11">
        <v>45017</v>
      </c>
      <c r="E14" s="10">
        <v>3</v>
      </c>
      <c r="F14" s="22" t="s">
        <v>90</v>
      </c>
      <c r="G14" s="7">
        <v>1000</v>
      </c>
      <c r="H14" s="12">
        <v>208</v>
      </c>
      <c r="I14" s="7"/>
      <c r="J14" s="7"/>
      <c r="K14" s="7"/>
      <c r="L14" s="7">
        <v>1000</v>
      </c>
      <c r="M14" s="7"/>
      <c r="N14" s="7"/>
      <c r="O14" s="7"/>
      <c r="P14" s="7"/>
    </row>
    <row r="15" spans="3:16" x14ac:dyDescent="0.25">
      <c r="C15" s="10">
        <v>4</v>
      </c>
      <c r="D15" s="11">
        <v>45017</v>
      </c>
      <c r="E15" s="10" t="s">
        <v>27</v>
      </c>
      <c r="F15" s="22" t="s">
        <v>69</v>
      </c>
      <c r="G15" s="7">
        <v>500</v>
      </c>
      <c r="H15" s="12" t="s">
        <v>91</v>
      </c>
      <c r="I15" s="7"/>
      <c r="J15" s="7"/>
      <c r="K15" s="7">
        <v>250</v>
      </c>
      <c r="L15" s="7">
        <v>250</v>
      </c>
      <c r="M15" s="7"/>
      <c r="N15" s="7"/>
      <c r="O15" s="7"/>
      <c r="P15" s="7"/>
    </row>
    <row r="16" spans="3:16" x14ac:dyDescent="0.25">
      <c r="C16" s="10">
        <v>5</v>
      </c>
      <c r="D16" s="11">
        <v>45017</v>
      </c>
      <c r="E16" s="10" t="s">
        <v>92</v>
      </c>
      <c r="F16" s="22" t="s">
        <v>49</v>
      </c>
      <c r="G16" s="7">
        <v>7000</v>
      </c>
      <c r="H16" s="12" t="s">
        <v>93</v>
      </c>
      <c r="I16" s="7"/>
      <c r="J16" s="7">
        <v>5000</v>
      </c>
      <c r="K16" s="7"/>
      <c r="L16" s="7"/>
      <c r="M16" s="7"/>
      <c r="N16" s="7"/>
      <c r="O16" s="7">
        <v>2000</v>
      </c>
      <c r="P16" s="7"/>
    </row>
    <row r="17" spans="3:16" x14ac:dyDescent="0.25">
      <c r="C17" s="10">
        <v>6</v>
      </c>
      <c r="D17" s="11">
        <v>45017</v>
      </c>
      <c r="E17" s="10" t="s">
        <v>94</v>
      </c>
      <c r="F17" s="22" t="s">
        <v>95</v>
      </c>
      <c r="G17" s="7">
        <v>3000</v>
      </c>
      <c r="H17" s="12">
        <v>202</v>
      </c>
      <c r="I17" s="7"/>
      <c r="J17" s="7">
        <v>3000</v>
      </c>
      <c r="K17" s="7"/>
      <c r="L17" s="7"/>
      <c r="M17" s="7"/>
      <c r="N17" s="7"/>
      <c r="O17" s="7"/>
      <c r="P17" s="7"/>
    </row>
    <row r="18" spans="3:16" x14ac:dyDescent="0.25">
      <c r="C18" s="10">
        <v>7</v>
      </c>
      <c r="D18" s="11">
        <v>45018</v>
      </c>
      <c r="E18" s="10">
        <v>5</v>
      </c>
      <c r="F18" s="22" t="s">
        <v>96</v>
      </c>
      <c r="G18" s="7">
        <v>10000</v>
      </c>
      <c r="H18" s="12">
        <v>140</v>
      </c>
      <c r="I18" s="7">
        <v>10000</v>
      </c>
      <c r="J18" s="7"/>
      <c r="K18" s="7"/>
      <c r="L18" s="7"/>
      <c r="M18" s="7"/>
      <c r="N18" s="7"/>
      <c r="O18" s="7"/>
      <c r="P18" s="7"/>
    </row>
    <row r="19" spans="3:16" x14ac:dyDescent="0.25">
      <c r="C19" s="10">
        <v>8</v>
      </c>
      <c r="D19" s="11">
        <v>45019</v>
      </c>
      <c r="E19" s="10">
        <v>6</v>
      </c>
      <c r="F19" s="22" t="s">
        <v>60</v>
      </c>
      <c r="G19" s="7">
        <v>200</v>
      </c>
      <c r="H19" s="12">
        <v>148</v>
      </c>
      <c r="I19" s="7">
        <v>200</v>
      </c>
      <c r="J19" s="7"/>
      <c r="K19" s="7"/>
      <c r="L19" s="7"/>
      <c r="M19" s="7"/>
      <c r="N19" s="7"/>
      <c r="O19" s="7"/>
      <c r="P19" s="7"/>
    </row>
    <row r="20" spans="3:16" x14ac:dyDescent="0.25">
      <c r="C20" s="10">
        <v>9</v>
      </c>
      <c r="D20" s="11">
        <v>45020</v>
      </c>
      <c r="E20" s="10">
        <v>8</v>
      </c>
      <c r="F20" s="22" t="s">
        <v>97</v>
      </c>
      <c r="G20" s="7">
        <v>1500</v>
      </c>
      <c r="H20" s="12">
        <v>208</v>
      </c>
      <c r="I20" s="7"/>
      <c r="J20" s="7"/>
      <c r="K20" s="7"/>
      <c r="L20" s="7"/>
      <c r="M20" s="7"/>
      <c r="N20" s="7"/>
      <c r="O20" s="7"/>
      <c r="P20" s="7">
        <v>1500</v>
      </c>
    </row>
    <row r="21" spans="3:16" ht="15.75" customHeight="1" x14ac:dyDescent="0.25">
      <c r="C21" s="10">
        <v>10</v>
      </c>
      <c r="D21" s="11">
        <v>45021</v>
      </c>
      <c r="E21" s="10">
        <v>10</v>
      </c>
      <c r="F21" s="22" t="s">
        <v>26</v>
      </c>
      <c r="G21" s="7">
        <v>100</v>
      </c>
      <c r="H21" s="12">
        <v>225</v>
      </c>
      <c r="I21" s="7"/>
      <c r="J21" s="7"/>
      <c r="K21" s="7"/>
      <c r="L21" s="7"/>
      <c r="M21" s="7"/>
      <c r="N21" s="7"/>
      <c r="O21" s="7"/>
      <c r="P21" s="7">
        <v>100</v>
      </c>
    </row>
    <row r="22" spans="3:16" ht="15.75" customHeight="1" x14ac:dyDescent="0.25">
      <c r="C22" s="10">
        <v>11</v>
      </c>
      <c r="D22" s="11">
        <v>45021</v>
      </c>
      <c r="E22" s="10" t="s">
        <v>27</v>
      </c>
      <c r="F22" s="22" t="s">
        <v>28</v>
      </c>
      <c r="G22" s="7">
        <v>700</v>
      </c>
      <c r="H22" s="12" t="s">
        <v>98</v>
      </c>
      <c r="I22" s="7">
        <v>300</v>
      </c>
      <c r="J22" s="7">
        <v>400</v>
      </c>
      <c r="K22" s="7"/>
      <c r="L22" s="7"/>
      <c r="M22" s="7"/>
      <c r="N22" s="7"/>
      <c r="O22" s="7"/>
      <c r="P22" s="7"/>
    </row>
    <row r="23" spans="3:16" ht="15.75" customHeight="1" x14ac:dyDescent="0.25">
      <c r="C23" s="10">
        <v>12</v>
      </c>
      <c r="D23" s="11">
        <v>45021</v>
      </c>
      <c r="E23" s="10">
        <v>11</v>
      </c>
      <c r="F23" s="22" t="s">
        <v>24</v>
      </c>
      <c r="G23" s="7">
        <v>700</v>
      </c>
      <c r="H23" s="12" t="s">
        <v>99</v>
      </c>
      <c r="I23" s="7">
        <v>500</v>
      </c>
      <c r="J23" s="7"/>
      <c r="K23" s="7"/>
      <c r="L23" s="7">
        <v>200</v>
      </c>
      <c r="M23" s="7"/>
      <c r="N23" s="7"/>
      <c r="O23" s="7"/>
      <c r="P23" s="7"/>
    </row>
    <row r="24" spans="3:16" ht="15.75" customHeight="1" x14ac:dyDescent="0.25">
      <c r="C24" s="10">
        <v>13</v>
      </c>
      <c r="D24" s="11">
        <v>45021</v>
      </c>
      <c r="E24" s="10">
        <v>13</v>
      </c>
      <c r="F24" s="22" t="s">
        <v>100</v>
      </c>
      <c r="G24" s="7">
        <v>1000</v>
      </c>
      <c r="H24" s="12">
        <v>208</v>
      </c>
      <c r="I24" s="7"/>
      <c r="J24" s="7"/>
      <c r="K24" s="7"/>
      <c r="L24" s="7">
        <v>1000</v>
      </c>
      <c r="M24" s="7"/>
      <c r="N24" s="7"/>
      <c r="O24" s="7"/>
      <c r="P24" s="7"/>
    </row>
    <row r="25" spans="3:16" ht="15.75" customHeight="1" x14ac:dyDescent="0.25">
      <c r="C25" s="10">
        <v>14</v>
      </c>
      <c r="D25" s="11">
        <v>45021</v>
      </c>
      <c r="E25" s="10">
        <v>15</v>
      </c>
      <c r="F25" s="22" t="s">
        <v>101</v>
      </c>
      <c r="G25" s="7">
        <v>5000</v>
      </c>
      <c r="H25" s="12">
        <v>201</v>
      </c>
      <c r="I25" s="7"/>
      <c r="J25" s="7">
        <v>5000</v>
      </c>
      <c r="K25" s="7"/>
      <c r="L25" s="7"/>
      <c r="M25" s="7"/>
      <c r="N25" s="7"/>
      <c r="O25" s="7"/>
      <c r="P25" s="7"/>
    </row>
    <row r="26" spans="3:16" ht="15.75" customHeight="1" x14ac:dyDescent="0.25">
      <c r="C26" s="10">
        <v>15</v>
      </c>
      <c r="D26" s="11">
        <v>45021</v>
      </c>
      <c r="E26" s="10">
        <v>16</v>
      </c>
      <c r="F26" s="22" t="s">
        <v>37</v>
      </c>
      <c r="G26" s="7">
        <v>500</v>
      </c>
      <c r="H26" s="12">
        <v>220</v>
      </c>
      <c r="I26" s="7"/>
      <c r="J26" s="7"/>
      <c r="K26" s="7"/>
      <c r="L26" s="7">
        <v>500</v>
      </c>
      <c r="M26" s="7"/>
      <c r="N26" s="7"/>
      <c r="O26" s="7"/>
      <c r="P26" s="7"/>
    </row>
    <row r="27" spans="3:16" ht="15.75" customHeight="1" x14ac:dyDescent="0.25">
      <c r="C27" s="10">
        <v>16</v>
      </c>
      <c r="D27" s="11">
        <v>45022</v>
      </c>
      <c r="E27" s="24">
        <v>18</v>
      </c>
      <c r="F27" s="22" t="s">
        <v>71</v>
      </c>
      <c r="G27" s="7">
        <v>200</v>
      </c>
      <c r="H27" s="12">
        <v>204</v>
      </c>
      <c r="I27" s="7"/>
      <c r="J27" s="7"/>
      <c r="K27" s="7"/>
      <c r="L27" s="7"/>
      <c r="M27" s="7"/>
      <c r="N27" s="7"/>
      <c r="O27" s="7">
        <v>200</v>
      </c>
      <c r="P27" s="7"/>
    </row>
    <row r="28" spans="3:16" ht="15.75" customHeight="1" x14ac:dyDescent="0.25">
      <c r="C28" s="10">
        <v>17</v>
      </c>
      <c r="D28" s="11">
        <v>45022</v>
      </c>
      <c r="E28" s="10">
        <v>19</v>
      </c>
      <c r="F28" s="22" t="s">
        <v>102</v>
      </c>
      <c r="G28" s="7">
        <v>1000</v>
      </c>
      <c r="H28" s="12">
        <v>135</v>
      </c>
      <c r="I28" s="7">
        <v>1000</v>
      </c>
      <c r="J28" s="7"/>
      <c r="K28" s="7"/>
      <c r="L28" s="7"/>
      <c r="M28" s="7"/>
      <c r="N28" s="7"/>
      <c r="O28" s="7"/>
      <c r="P28" s="7"/>
    </row>
    <row r="29" spans="3:16" ht="15.75" customHeight="1" x14ac:dyDescent="0.25">
      <c r="C29" s="10">
        <v>18</v>
      </c>
      <c r="D29" s="11">
        <v>45022</v>
      </c>
      <c r="E29" s="10">
        <v>21</v>
      </c>
      <c r="F29" s="22" t="s">
        <v>101</v>
      </c>
      <c r="G29" s="7">
        <v>5000</v>
      </c>
      <c r="H29" s="12">
        <v>201</v>
      </c>
      <c r="I29" s="7"/>
      <c r="J29" s="7">
        <v>5000</v>
      </c>
      <c r="K29" s="7"/>
      <c r="L29" s="7"/>
      <c r="M29" s="7"/>
      <c r="N29" s="7"/>
      <c r="O29" s="7"/>
      <c r="P29" s="7"/>
    </row>
    <row r="30" spans="3:16" ht="15.75" customHeight="1" x14ac:dyDescent="0.25">
      <c r="C30" s="10">
        <v>19</v>
      </c>
      <c r="D30" s="11">
        <v>45023</v>
      </c>
      <c r="E30" s="10" t="s">
        <v>103</v>
      </c>
      <c r="F30" s="22" t="s">
        <v>49</v>
      </c>
      <c r="G30" s="7">
        <v>5000</v>
      </c>
      <c r="H30" s="12">
        <v>203</v>
      </c>
      <c r="I30" s="7"/>
      <c r="J30" s="7"/>
      <c r="K30" s="7"/>
      <c r="L30" s="7"/>
      <c r="M30" s="7"/>
      <c r="N30" s="7">
        <v>3000</v>
      </c>
      <c r="O30" s="7">
        <v>2000</v>
      </c>
      <c r="P30" s="7"/>
    </row>
    <row r="31" spans="3:16" ht="15.75" customHeight="1" x14ac:dyDescent="0.25">
      <c r="C31" s="10">
        <v>20</v>
      </c>
      <c r="D31" s="11">
        <v>45023</v>
      </c>
      <c r="E31" s="10">
        <v>22</v>
      </c>
      <c r="F31" s="22" t="s">
        <v>90</v>
      </c>
      <c r="G31" s="7">
        <v>3000</v>
      </c>
      <c r="H31" s="12">
        <v>130</v>
      </c>
      <c r="I31" s="7">
        <v>3000</v>
      </c>
      <c r="J31" s="7"/>
      <c r="K31" s="7"/>
      <c r="L31" s="7"/>
      <c r="M31" s="7"/>
      <c r="N31" s="7"/>
      <c r="O31" s="7"/>
      <c r="P31" s="7"/>
    </row>
    <row r="32" spans="3:16" ht="15.75" customHeight="1" x14ac:dyDescent="0.25">
      <c r="C32" s="10">
        <v>21</v>
      </c>
      <c r="D32" s="11">
        <v>45023</v>
      </c>
      <c r="E32" s="10">
        <v>23</v>
      </c>
      <c r="F32" s="22" t="s">
        <v>90</v>
      </c>
      <c r="G32" s="7">
        <v>1000</v>
      </c>
      <c r="H32" s="12">
        <v>230</v>
      </c>
      <c r="I32" s="7"/>
      <c r="J32" s="7"/>
      <c r="K32" s="7"/>
      <c r="L32" s="7"/>
      <c r="M32" s="7"/>
      <c r="N32" s="7"/>
      <c r="O32" s="7"/>
      <c r="P32" s="7">
        <v>1000</v>
      </c>
    </row>
    <row r="33" spans="3:16" ht="15.75" customHeight="1" x14ac:dyDescent="0.25">
      <c r="C33" s="10">
        <v>22</v>
      </c>
      <c r="D33" s="11">
        <v>45024</v>
      </c>
      <c r="E33" s="10">
        <v>24</v>
      </c>
      <c r="F33" s="22" t="s">
        <v>60</v>
      </c>
      <c r="G33" s="7">
        <v>460</v>
      </c>
      <c r="H33" s="12">
        <v>148</v>
      </c>
      <c r="I33" s="7">
        <v>460</v>
      </c>
      <c r="J33" s="7"/>
      <c r="K33" s="7"/>
      <c r="L33" s="7"/>
      <c r="M33" s="7"/>
      <c r="N33" s="7"/>
      <c r="O33" s="7"/>
      <c r="P33" s="7"/>
    </row>
    <row r="34" spans="3:16" ht="15.75" customHeight="1" x14ac:dyDescent="0.25">
      <c r="C34" s="10">
        <v>23</v>
      </c>
      <c r="D34" s="11">
        <v>45024</v>
      </c>
      <c r="E34" s="10">
        <v>25</v>
      </c>
      <c r="F34" s="22" t="s">
        <v>104</v>
      </c>
      <c r="G34" s="7">
        <v>200</v>
      </c>
      <c r="H34" s="12">
        <v>150</v>
      </c>
      <c r="I34" s="7">
        <v>200</v>
      </c>
      <c r="J34" s="7"/>
      <c r="K34" s="7"/>
      <c r="L34" s="7"/>
      <c r="M34" s="7"/>
      <c r="N34" s="7"/>
      <c r="O34" s="7"/>
      <c r="P34" s="7"/>
    </row>
    <row r="35" spans="3:16" ht="15.75" customHeight="1" x14ac:dyDescent="0.25">
      <c r="C35" s="10">
        <v>24</v>
      </c>
      <c r="D35" s="11">
        <v>45024</v>
      </c>
      <c r="E35" s="10">
        <v>26</v>
      </c>
      <c r="F35" s="22" t="s">
        <v>90</v>
      </c>
      <c r="G35" s="7">
        <v>500</v>
      </c>
      <c r="H35" s="12">
        <v>140</v>
      </c>
      <c r="I35" s="7">
        <v>500</v>
      </c>
      <c r="J35" s="7"/>
      <c r="K35" s="7"/>
      <c r="L35" s="7"/>
      <c r="M35" s="7"/>
      <c r="N35" s="7"/>
      <c r="O35" s="7"/>
      <c r="P35" s="7"/>
    </row>
    <row r="36" spans="3:16" ht="15.75" customHeight="1" x14ac:dyDescent="0.25">
      <c r="C36" s="10">
        <v>25</v>
      </c>
      <c r="D36" s="11">
        <v>45024</v>
      </c>
      <c r="E36" s="10">
        <v>27</v>
      </c>
      <c r="F36" s="22" t="s">
        <v>37</v>
      </c>
      <c r="G36" s="7">
        <v>100</v>
      </c>
      <c r="H36" s="12">
        <v>230</v>
      </c>
      <c r="I36" s="7"/>
      <c r="J36" s="7"/>
      <c r="K36" s="7"/>
      <c r="L36" s="7"/>
      <c r="M36" s="7"/>
      <c r="N36" s="7"/>
      <c r="O36" s="7"/>
      <c r="P36" s="7">
        <v>100</v>
      </c>
    </row>
    <row r="37" spans="3:16" ht="15.75" customHeight="1" x14ac:dyDescent="0.25">
      <c r="C37" s="10">
        <v>26</v>
      </c>
      <c r="D37" s="11">
        <v>45026</v>
      </c>
      <c r="E37" s="10">
        <v>29</v>
      </c>
      <c r="F37" s="22" t="s">
        <v>105</v>
      </c>
      <c r="G37" s="7">
        <v>500</v>
      </c>
      <c r="H37" s="12">
        <v>202</v>
      </c>
      <c r="I37" s="7"/>
      <c r="J37" s="7">
        <v>500</v>
      </c>
      <c r="K37" s="7"/>
      <c r="L37" s="7"/>
      <c r="M37" s="7"/>
      <c r="N37" s="7"/>
      <c r="O37" s="7"/>
      <c r="P37" s="7"/>
    </row>
    <row r="38" spans="3:16" ht="15.75" customHeight="1" x14ac:dyDescent="0.25">
      <c r="C38" s="10">
        <v>27</v>
      </c>
      <c r="D38" s="11">
        <v>45027</v>
      </c>
      <c r="E38" s="10">
        <v>31</v>
      </c>
      <c r="F38" s="22" t="s">
        <v>96</v>
      </c>
      <c r="G38" s="7">
        <v>10000</v>
      </c>
      <c r="H38" s="12">
        <v>140</v>
      </c>
      <c r="I38" s="7">
        <v>10000</v>
      </c>
      <c r="J38" s="7"/>
      <c r="K38" s="7"/>
      <c r="L38" s="7"/>
      <c r="M38" s="7"/>
      <c r="N38" s="7"/>
      <c r="O38" s="7"/>
      <c r="P38" s="7"/>
    </row>
    <row r="39" spans="3:16" ht="15.75" customHeight="1" x14ac:dyDescent="0.25">
      <c r="C39" s="10">
        <v>28</v>
      </c>
      <c r="D39" s="11">
        <v>45030</v>
      </c>
      <c r="E39" s="10">
        <v>33</v>
      </c>
      <c r="F39" s="22" t="s">
        <v>71</v>
      </c>
      <c r="G39" s="7">
        <v>200</v>
      </c>
      <c r="H39" s="12">
        <v>206</v>
      </c>
      <c r="I39" s="7"/>
      <c r="J39" s="7"/>
      <c r="K39" s="7"/>
      <c r="L39" s="7"/>
      <c r="M39" s="7"/>
      <c r="N39" s="7"/>
      <c r="O39" s="7">
        <v>200</v>
      </c>
      <c r="P39" s="7"/>
    </row>
    <row r="40" spans="3:16" ht="15.75" customHeight="1" x14ac:dyDescent="0.25">
      <c r="C40" s="10">
        <v>29</v>
      </c>
      <c r="D40" s="11">
        <v>45030</v>
      </c>
      <c r="E40" s="10" t="s">
        <v>27</v>
      </c>
      <c r="F40" s="22" t="s">
        <v>30</v>
      </c>
      <c r="G40" s="7">
        <v>200</v>
      </c>
      <c r="H40" s="12">
        <v>230</v>
      </c>
      <c r="I40" s="7"/>
      <c r="J40" s="7"/>
      <c r="K40" s="7"/>
      <c r="L40" s="7"/>
      <c r="M40" s="7"/>
      <c r="N40" s="7"/>
      <c r="O40" s="7"/>
      <c r="P40" s="7">
        <v>200</v>
      </c>
    </row>
    <row r="41" spans="3:16" ht="15.75" customHeight="1" x14ac:dyDescent="0.25">
      <c r="C41" s="10">
        <v>30</v>
      </c>
      <c r="D41" s="11">
        <v>45027</v>
      </c>
      <c r="E41" s="10">
        <v>7</v>
      </c>
      <c r="F41" s="22" t="s">
        <v>106</v>
      </c>
      <c r="G41" s="7">
        <v>26000</v>
      </c>
      <c r="H41" s="12">
        <v>180.4</v>
      </c>
      <c r="I41" s="7">
        <v>26000</v>
      </c>
      <c r="J41" s="7"/>
      <c r="K41" s="7"/>
      <c r="L41" s="7"/>
      <c r="M41" s="7"/>
      <c r="N41" s="7"/>
      <c r="O41" s="7"/>
      <c r="P41" s="7"/>
    </row>
    <row r="42" spans="3:16" ht="15.75" customHeight="1" x14ac:dyDescent="0.25">
      <c r="C42" s="10">
        <v>31</v>
      </c>
      <c r="D42" s="11">
        <v>45031</v>
      </c>
      <c r="E42" s="10">
        <v>34</v>
      </c>
      <c r="F42" s="22" t="s">
        <v>89</v>
      </c>
      <c r="G42" s="7">
        <v>200</v>
      </c>
      <c r="H42" s="12">
        <v>145</v>
      </c>
      <c r="I42" s="7">
        <v>200</v>
      </c>
      <c r="J42" s="7"/>
      <c r="K42" s="7"/>
      <c r="L42" s="7"/>
      <c r="M42" s="7"/>
      <c r="N42" s="7"/>
      <c r="O42" s="7"/>
      <c r="P42" s="7"/>
    </row>
    <row r="43" spans="3:16" ht="15.75" customHeight="1" x14ac:dyDescent="0.25">
      <c r="C43" s="10">
        <v>32</v>
      </c>
      <c r="D43" s="11">
        <v>45031</v>
      </c>
      <c r="E43" s="10" t="s">
        <v>27</v>
      </c>
      <c r="F43" s="22" t="s">
        <v>28</v>
      </c>
      <c r="G43" s="7">
        <v>300</v>
      </c>
      <c r="H43" s="12">
        <v>213</v>
      </c>
      <c r="I43" s="7"/>
      <c r="J43" s="7"/>
      <c r="K43" s="7"/>
      <c r="L43" s="7">
        <v>300</v>
      </c>
      <c r="M43" s="7"/>
      <c r="N43" s="7"/>
      <c r="O43" s="7"/>
      <c r="P43" s="7"/>
    </row>
    <row r="44" spans="3:16" ht="15.75" customHeight="1" x14ac:dyDescent="0.25">
      <c r="C44" s="10">
        <v>33</v>
      </c>
      <c r="D44" s="11">
        <v>45031</v>
      </c>
      <c r="E44" s="10">
        <v>35</v>
      </c>
      <c r="F44" s="22" t="s">
        <v>52</v>
      </c>
      <c r="G44" s="7">
        <v>11300</v>
      </c>
      <c r="H44" s="12">
        <v>140</v>
      </c>
      <c r="I44" s="7">
        <v>11300</v>
      </c>
      <c r="J44" s="7"/>
      <c r="K44" s="7"/>
      <c r="L44" s="7"/>
      <c r="M44" s="7"/>
      <c r="N44" s="7"/>
      <c r="O44" s="7"/>
      <c r="P44" s="7"/>
    </row>
    <row r="45" spans="3:16" ht="15.75" customHeight="1" x14ac:dyDescent="0.25">
      <c r="C45" s="10">
        <v>34</v>
      </c>
      <c r="D45" s="11">
        <v>45033</v>
      </c>
      <c r="E45" s="10">
        <v>36</v>
      </c>
      <c r="F45" s="22" t="s">
        <v>41</v>
      </c>
      <c r="G45" s="7">
        <v>5000</v>
      </c>
      <c r="H45" s="12">
        <v>205</v>
      </c>
      <c r="I45" s="7"/>
      <c r="J45" s="7">
        <v>5000</v>
      </c>
      <c r="K45" s="7"/>
      <c r="L45" s="7"/>
      <c r="M45" s="7"/>
      <c r="N45" s="7"/>
      <c r="O45" s="7"/>
      <c r="P45" s="7"/>
    </row>
    <row r="46" spans="3:16" ht="15.75" customHeight="1" x14ac:dyDescent="0.25">
      <c r="C46" s="10">
        <v>35</v>
      </c>
      <c r="D46" s="11">
        <v>45033</v>
      </c>
      <c r="E46" s="10">
        <v>37</v>
      </c>
      <c r="F46" s="22" t="s">
        <v>21</v>
      </c>
      <c r="G46" s="7">
        <v>100</v>
      </c>
      <c r="H46" s="12">
        <v>136</v>
      </c>
      <c r="I46" s="7">
        <v>100</v>
      </c>
      <c r="J46" s="7"/>
      <c r="K46" s="7"/>
      <c r="L46" s="7"/>
      <c r="M46" s="7"/>
      <c r="N46" s="7"/>
      <c r="O46" s="7"/>
      <c r="P46" s="7"/>
    </row>
    <row r="47" spans="3:16" ht="15.75" customHeight="1" x14ac:dyDescent="0.25">
      <c r="C47" s="10">
        <v>36</v>
      </c>
      <c r="D47" s="11">
        <v>45033</v>
      </c>
      <c r="E47" s="10">
        <v>38</v>
      </c>
      <c r="F47" s="22" t="s">
        <v>21</v>
      </c>
      <c r="G47" s="7">
        <v>100</v>
      </c>
      <c r="H47" s="12">
        <v>220</v>
      </c>
      <c r="I47" s="7"/>
      <c r="J47" s="7"/>
      <c r="K47" s="7"/>
      <c r="L47" s="7"/>
      <c r="M47" s="7"/>
      <c r="N47" s="7"/>
      <c r="O47" s="7"/>
      <c r="P47" s="7">
        <v>100</v>
      </c>
    </row>
    <row r="48" spans="3:16" ht="15.75" customHeight="1" x14ac:dyDescent="0.25">
      <c r="C48" s="10">
        <v>37</v>
      </c>
      <c r="D48" s="11">
        <v>45033</v>
      </c>
      <c r="E48" s="10" t="s">
        <v>107</v>
      </c>
      <c r="F48" s="22" t="s">
        <v>32</v>
      </c>
      <c r="G48" s="7">
        <v>625</v>
      </c>
      <c r="H48" s="12" t="s">
        <v>108</v>
      </c>
      <c r="I48" s="7"/>
      <c r="J48" s="7">
        <v>75</v>
      </c>
      <c r="K48" s="7">
        <v>50</v>
      </c>
      <c r="L48" s="7"/>
      <c r="M48" s="7"/>
      <c r="N48" s="7"/>
      <c r="O48" s="7">
        <v>500</v>
      </c>
      <c r="P48" s="7"/>
    </row>
    <row r="49" spans="3:16" ht="15.75" customHeight="1" x14ac:dyDescent="0.25">
      <c r="C49" s="10">
        <v>38</v>
      </c>
      <c r="D49" s="11">
        <v>45034</v>
      </c>
      <c r="E49" s="10" t="s">
        <v>109</v>
      </c>
      <c r="F49" s="22" t="s">
        <v>95</v>
      </c>
      <c r="G49" s="7">
        <v>2000</v>
      </c>
      <c r="H49" s="12">
        <v>200</v>
      </c>
      <c r="I49" s="7"/>
      <c r="J49" s="7">
        <v>2000</v>
      </c>
      <c r="K49" s="7"/>
      <c r="L49" s="7"/>
      <c r="M49" s="7"/>
      <c r="N49" s="7"/>
      <c r="O49" s="7"/>
      <c r="P49" s="7"/>
    </row>
    <row r="50" spans="3:16" ht="15.75" customHeight="1" x14ac:dyDescent="0.25">
      <c r="C50" s="10">
        <v>39</v>
      </c>
      <c r="D50" s="11">
        <v>45034</v>
      </c>
      <c r="E50" s="10" t="s">
        <v>110</v>
      </c>
      <c r="F50" s="22" t="s">
        <v>49</v>
      </c>
      <c r="G50" s="7">
        <v>2000</v>
      </c>
      <c r="H50" s="12">
        <v>202</v>
      </c>
      <c r="I50" s="7"/>
      <c r="J50" s="7"/>
      <c r="K50" s="7"/>
      <c r="L50" s="7"/>
      <c r="M50" s="7"/>
      <c r="N50" s="7">
        <v>2000</v>
      </c>
      <c r="O50" s="7"/>
      <c r="P50" s="7"/>
    </row>
    <row r="51" spans="3:16" ht="15.75" customHeight="1" x14ac:dyDescent="0.25">
      <c r="C51" s="10">
        <v>40</v>
      </c>
      <c r="D51" s="11">
        <v>45034</v>
      </c>
      <c r="E51" s="10">
        <v>40</v>
      </c>
      <c r="F51" s="22" t="s">
        <v>41</v>
      </c>
      <c r="G51" s="7">
        <v>25</v>
      </c>
      <c r="H51" s="12">
        <v>215</v>
      </c>
      <c r="I51" s="7"/>
      <c r="J51" s="7"/>
      <c r="K51" s="7">
        <v>25</v>
      </c>
      <c r="L51" s="7"/>
      <c r="M51" s="7"/>
      <c r="N51" s="7"/>
      <c r="O51" s="7"/>
      <c r="P51" s="7"/>
    </row>
    <row r="52" spans="3:16" ht="15.75" customHeight="1" x14ac:dyDescent="0.25">
      <c r="C52" s="10">
        <v>41</v>
      </c>
      <c r="D52" s="11">
        <v>45034</v>
      </c>
      <c r="E52" s="10">
        <v>41</v>
      </c>
      <c r="F52" s="22" t="s">
        <v>51</v>
      </c>
      <c r="G52" s="7">
        <v>5000</v>
      </c>
      <c r="H52" s="12">
        <v>216</v>
      </c>
      <c r="I52" s="7"/>
      <c r="J52" s="7"/>
      <c r="K52" s="7"/>
      <c r="L52" s="7"/>
      <c r="M52" s="7"/>
      <c r="N52" s="7">
        <v>5000</v>
      </c>
      <c r="O52" s="7"/>
      <c r="P52" s="7"/>
    </row>
    <row r="53" spans="3:16" ht="15.75" customHeight="1" x14ac:dyDescent="0.25">
      <c r="C53" s="10">
        <v>42</v>
      </c>
      <c r="D53" s="11">
        <v>45035</v>
      </c>
      <c r="E53" s="10">
        <v>42</v>
      </c>
      <c r="F53" s="22" t="s">
        <v>71</v>
      </c>
      <c r="G53" s="7">
        <v>500</v>
      </c>
      <c r="H53" s="12">
        <v>206</v>
      </c>
      <c r="I53" s="7"/>
      <c r="J53" s="7"/>
      <c r="K53" s="7"/>
      <c r="L53" s="7"/>
      <c r="M53" s="7"/>
      <c r="N53" s="7"/>
      <c r="O53" s="7">
        <v>500</v>
      </c>
      <c r="P53" s="7"/>
    </row>
    <row r="54" spans="3:16" ht="15.75" customHeight="1" x14ac:dyDescent="0.25">
      <c r="C54" s="10">
        <v>43</v>
      </c>
      <c r="D54" s="11">
        <v>45035</v>
      </c>
      <c r="E54" s="10" t="s">
        <v>27</v>
      </c>
      <c r="F54" s="22" t="s">
        <v>28</v>
      </c>
      <c r="G54" s="7">
        <v>500</v>
      </c>
      <c r="H54" s="12">
        <v>150</v>
      </c>
      <c r="I54" s="7">
        <v>500</v>
      </c>
      <c r="J54" s="7"/>
      <c r="K54" s="7"/>
      <c r="L54" s="7"/>
      <c r="M54" s="7"/>
      <c r="N54" s="7"/>
      <c r="O54" s="7"/>
      <c r="P54" s="7"/>
    </row>
    <row r="55" spans="3:16" ht="15.75" customHeight="1" x14ac:dyDescent="0.25">
      <c r="C55" s="10">
        <v>44</v>
      </c>
      <c r="D55" s="11">
        <v>45037</v>
      </c>
      <c r="E55" s="10">
        <v>43</v>
      </c>
      <c r="F55" s="22" t="s">
        <v>111</v>
      </c>
      <c r="G55" s="7">
        <v>3000</v>
      </c>
      <c r="H55" s="12">
        <v>150</v>
      </c>
      <c r="I55" s="7">
        <v>3000</v>
      </c>
      <c r="J55" s="7"/>
      <c r="K55" s="7"/>
      <c r="L55" s="7"/>
      <c r="M55" s="7"/>
      <c r="N55" s="7"/>
      <c r="O55" s="7"/>
      <c r="P55" s="7"/>
    </row>
    <row r="56" spans="3:16" ht="15.75" customHeight="1" x14ac:dyDescent="0.25">
      <c r="C56" s="10">
        <v>45</v>
      </c>
      <c r="D56" s="11">
        <v>45040</v>
      </c>
      <c r="E56" s="10">
        <v>45</v>
      </c>
      <c r="F56" s="22" t="s">
        <v>112</v>
      </c>
      <c r="G56" s="7">
        <v>8000</v>
      </c>
      <c r="H56" s="12">
        <v>132</v>
      </c>
      <c r="I56" s="7">
        <v>8000</v>
      </c>
      <c r="J56" s="7"/>
      <c r="K56" s="7"/>
      <c r="L56" s="7"/>
      <c r="M56" s="7"/>
      <c r="N56" s="7"/>
      <c r="O56" s="7"/>
      <c r="P56" s="7"/>
    </row>
    <row r="57" spans="3:16" ht="15.75" customHeight="1" x14ac:dyDescent="0.25">
      <c r="C57" s="10">
        <v>46</v>
      </c>
      <c r="D57" s="11">
        <v>45040</v>
      </c>
      <c r="E57" s="10">
        <v>47</v>
      </c>
      <c r="F57" s="22" t="s">
        <v>44</v>
      </c>
      <c r="G57" s="7">
        <v>500</v>
      </c>
      <c r="H57" s="12">
        <v>205</v>
      </c>
      <c r="I57" s="7"/>
      <c r="J57" s="7">
        <v>500</v>
      </c>
      <c r="K57" s="7"/>
      <c r="L57" s="7"/>
      <c r="M57" s="7"/>
      <c r="N57" s="7"/>
      <c r="O57" s="7"/>
      <c r="P57" s="7"/>
    </row>
    <row r="58" spans="3:16" ht="15.75" customHeight="1" x14ac:dyDescent="0.25">
      <c r="C58" s="10">
        <v>47</v>
      </c>
      <c r="D58" s="11">
        <v>45043</v>
      </c>
      <c r="E58" s="10">
        <v>48</v>
      </c>
      <c r="F58" s="22" t="s">
        <v>51</v>
      </c>
      <c r="G58" s="7">
        <v>550</v>
      </c>
      <c r="H58" s="12">
        <v>216</v>
      </c>
      <c r="I58" s="7"/>
      <c r="J58" s="7"/>
      <c r="K58" s="7"/>
      <c r="L58" s="7"/>
      <c r="M58" s="7"/>
      <c r="N58" s="7">
        <v>550</v>
      </c>
      <c r="O58" s="7"/>
      <c r="P58" s="7"/>
    </row>
    <row r="59" spans="3:16" ht="15.75" customHeight="1" x14ac:dyDescent="0.25">
      <c r="C59" s="10">
        <v>48</v>
      </c>
      <c r="D59" s="11">
        <v>45043</v>
      </c>
      <c r="E59" s="10">
        <v>49</v>
      </c>
      <c r="F59" s="22" t="s">
        <v>80</v>
      </c>
      <c r="G59" s="7">
        <v>40</v>
      </c>
      <c r="H59" s="12">
        <v>150</v>
      </c>
      <c r="I59" s="7">
        <v>40</v>
      </c>
      <c r="J59" s="7"/>
      <c r="K59" s="7"/>
      <c r="L59" s="7"/>
      <c r="M59" s="7"/>
      <c r="N59" s="7"/>
      <c r="O59" s="7"/>
      <c r="P59" s="7"/>
    </row>
    <row r="60" spans="3:16" ht="15.75" customHeight="1" x14ac:dyDescent="0.25">
      <c r="C60" s="10">
        <v>49</v>
      </c>
      <c r="D60" s="11">
        <v>45043</v>
      </c>
      <c r="E60" s="10">
        <v>50</v>
      </c>
      <c r="F60" s="22" t="s">
        <v>96</v>
      </c>
      <c r="G60" s="7">
        <v>1000</v>
      </c>
      <c r="H60" s="12">
        <v>145</v>
      </c>
      <c r="I60" s="7">
        <v>1000</v>
      </c>
      <c r="J60" s="7"/>
      <c r="K60" s="7"/>
      <c r="L60" s="7"/>
      <c r="M60" s="7"/>
      <c r="N60" s="7"/>
      <c r="O60" s="7"/>
      <c r="P60" s="7"/>
    </row>
    <row r="61" spans="3:16" ht="15.75" customHeight="1" x14ac:dyDescent="0.25">
      <c r="C61" s="10">
        <v>50</v>
      </c>
      <c r="D61" s="11">
        <v>45043</v>
      </c>
      <c r="E61" s="10">
        <v>51</v>
      </c>
      <c r="F61" s="22" t="s">
        <v>41</v>
      </c>
      <c r="G61" s="7">
        <v>10000</v>
      </c>
      <c r="H61" s="12">
        <v>204</v>
      </c>
      <c r="I61" s="7"/>
      <c r="J61" s="7">
        <v>10000</v>
      </c>
      <c r="K61" s="7"/>
      <c r="L61" s="7"/>
      <c r="M61" s="7"/>
      <c r="N61" s="7"/>
      <c r="O61" s="7"/>
      <c r="P61" s="7"/>
    </row>
    <row r="62" spans="3:16" ht="15.75" customHeight="1" x14ac:dyDescent="0.25">
      <c r="C62" s="10">
        <v>51</v>
      </c>
      <c r="D62" s="11">
        <v>45044</v>
      </c>
      <c r="E62" s="10">
        <v>52</v>
      </c>
      <c r="F62" s="22" t="s">
        <v>113</v>
      </c>
      <c r="G62" s="7">
        <v>13000</v>
      </c>
      <c r="H62" s="12" t="s">
        <v>114</v>
      </c>
      <c r="I62" s="7">
        <v>8000</v>
      </c>
      <c r="J62" s="7"/>
      <c r="K62" s="7"/>
      <c r="L62" s="7"/>
      <c r="M62" s="7"/>
      <c r="N62" s="7"/>
      <c r="O62" s="7"/>
      <c r="P62" s="7">
        <v>5000</v>
      </c>
    </row>
    <row r="63" spans="3:16" ht="15.75" customHeight="1" x14ac:dyDescent="0.25">
      <c r="C63" s="10">
        <v>52</v>
      </c>
      <c r="D63" s="11">
        <v>45044</v>
      </c>
      <c r="E63" s="10">
        <v>53</v>
      </c>
      <c r="F63" s="22" t="s">
        <v>71</v>
      </c>
      <c r="G63" s="7">
        <v>250</v>
      </c>
      <c r="H63" s="12">
        <v>199</v>
      </c>
      <c r="I63" s="7"/>
      <c r="J63" s="7"/>
      <c r="K63" s="7"/>
      <c r="L63" s="7"/>
      <c r="M63" s="7"/>
      <c r="N63" s="7"/>
      <c r="O63" s="7">
        <v>250</v>
      </c>
      <c r="P63" s="7"/>
    </row>
    <row r="64" spans="3:16" ht="15.75" customHeight="1" x14ac:dyDescent="0.25">
      <c r="C64" s="10">
        <v>53</v>
      </c>
      <c r="D64" s="11">
        <v>45045</v>
      </c>
      <c r="E64" s="10" t="s">
        <v>115</v>
      </c>
      <c r="F64" s="22" t="s">
        <v>49</v>
      </c>
      <c r="G64" s="7">
        <v>3000</v>
      </c>
      <c r="H64" s="12">
        <v>193</v>
      </c>
      <c r="I64" s="7"/>
      <c r="J64" s="7">
        <v>3000</v>
      </c>
      <c r="K64" s="7"/>
      <c r="L64" s="7"/>
      <c r="M64" s="7"/>
      <c r="N64" s="7"/>
      <c r="O64" s="7"/>
      <c r="P64" s="7"/>
    </row>
    <row r="65" spans="3:16" ht="15.75" customHeight="1" x14ac:dyDescent="0.25">
      <c r="C65" s="13" t="s">
        <v>3</v>
      </c>
      <c r="D65" s="14"/>
      <c r="E65" s="13"/>
      <c r="F65" s="25"/>
      <c r="G65" s="14">
        <f>SUM(G12:G64)</f>
        <v>153550</v>
      </c>
      <c r="H65" s="14"/>
      <c r="I65" s="14">
        <f>SUM('April 2023'!$I$12:$I$64)</f>
        <v>86300</v>
      </c>
      <c r="J65" s="14">
        <f>SUM('April 2023'!$J$12:$J$64)</f>
        <v>39475</v>
      </c>
      <c r="K65" s="14">
        <f>SUM('April 2023'!$K$12:$K$64)</f>
        <v>325</v>
      </c>
      <c r="L65" s="14">
        <f>SUM('April 2023'!$L$12:$L$64)</f>
        <v>3250</v>
      </c>
      <c r="M65" s="14">
        <f>SUM('April 2023'!$M$12:$M$64)</f>
        <v>0</v>
      </c>
      <c r="N65" s="14">
        <f>SUM('April 2023'!$N$12:$N$64)</f>
        <v>10550</v>
      </c>
      <c r="O65" s="14">
        <f>SUM('April 2023'!$O$12:$O$64)</f>
        <v>5650</v>
      </c>
      <c r="P65" s="14">
        <f>SUM('April 2023'!$P$12:$P$64)</f>
        <v>8000</v>
      </c>
    </row>
    <row r="66" spans="3:16" ht="15.75" customHeight="1" x14ac:dyDescent="0.25">
      <c r="C66" s="1"/>
      <c r="E66" s="1"/>
      <c r="F66" s="16"/>
    </row>
    <row r="67" spans="3:16" ht="15.75" customHeight="1" x14ac:dyDescent="0.25">
      <c r="C67" s="1"/>
      <c r="D67" s="1"/>
      <c r="E67" s="1"/>
      <c r="F67" s="16"/>
    </row>
    <row r="68" spans="3:16" ht="15.75" customHeight="1" x14ac:dyDescent="0.25">
      <c r="E68" s="1"/>
      <c r="F68" s="16"/>
    </row>
    <row r="69" spans="3:16" ht="15.75" customHeight="1" x14ac:dyDescent="0.25">
      <c r="E69" s="1"/>
      <c r="F69" s="16"/>
    </row>
    <row r="70" spans="3:16" ht="15.75" customHeight="1" x14ac:dyDescent="0.25">
      <c r="E70" s="1"/>
      <c r="F70" s="16"/>
    </row>
    <row r="71" spans="3:16" ht="15.75" customHeight="1" x14ac:dyDescent="0.25">
      <c r="E71" s="1"/>
      <c r="F71" s="16"/>
    </row>
    <row r="72" spans="3:16" ht="15.75" customHeight="1" x14ac:dyDescent="0.25">
      <c r="E72" s="1"/>
      <c r="F72" s="16"/>
    </row>
    <row r="73" spans="3:16" ht="15.75" customHeight="1" x14ac:dyDescent="0.25">
      <c r="E73" s="1"/>
      <c r="F73" s="16"/>
    </row>
    <row r="74" spans="3:16" ht="15.75" customHeight="1" x14ac:dyDescent="0.25">
      <c r="E74" s="1"/>
      <c r="F74" s="16"/>
    </row>
    <row r="75" spans="3:16" ht="15.75" customHeight="1" x14ac:dyDescent="0.25">
      <c r="E75" s="1"/>
      <c r="F75" s="16"/>
    </row>
    <row r="76" spans="3:16" ht="15.75" customHeight="1" x14ac:dyDescent="0.25">
      <c r="E76" s="1"/>
      <c r="F76" s="16"/>
    </row>
    <row r="77" spans="3:16" ht="15.75" customHeight="1" x14ac:dyDescent="0.25">
      <c r="E77" s="1"/>
      <c r="F77" s="16"/>
    </row>
    <row r="78" spans="3:16" ht="15.75" customHeight="1" x14ac:dyDescent="0.25">
      <c r="E78" s="1"/>
      <c r="F78" s="16"/>
    </row>
    <row r="79" spans="3:16" ht="15.75" customHeight="1" x14ac:dyDescent="0.25">
      <c r="E79" s="1"/>
      <c r="F79" s="16"/>
    </row>
    <row r="80" spans="3:16" ht="15.75" customHeight="1" x14ac:dyDescent="0.25">
      <c r="E80" s="1"/>
      <c r="F80" s="16"/>
    </row>
    <row r="81" spans="5:6" ht="15.75" customHeight="1" x14ac:dyDescent="0.25">
      <c r="E81" s="1"/>
      <c r="F81" s="16"/>
    </row>
    <row r="82" spans="5:6" ht="15.75" customHeight="1" x14ac:dyDescent="0.25">
      <c r="E82" s="1"/>
      <c r="F82" s="16"/>
    </row>
    <row r="83" spans="5:6" ht="15.75" customHeight="1" x14ac:dyDescent="0.25">
      <c r="E83" s="1"/>
      <c r="F83" s="16"/>
    </row>
    <row r="84" spans="5:6" ht="15.75" customHeight="1" x14ac:dyDescent="0.25">
      <c r="E84" s="1"/>
      <c r="F84" s="16"/>
    </row>
    <row r="85" spans="5:6" ht="15.75" customHeight="1" x14ac:dyDescent="0.25">
      <c r="E85" s="1"/>
      <c r="F85" s="16"/>
    </row>
    <row r="86" spans="5:6" ht="15.75" customHeight="1" x14ac:dyDescent="0.25">
      <c r="E86" s="1"/>
      <c r="F86" s="16"/>
    </row>
    <row r="87" spans="5:6" ht="15.75" customHeight="1" x14ac:dyDescent="0.25">
      <c r="E87" s="1"/>
      <c r="F87" s="16"/>
    </row>
    <row r="88" spans="5:6" ht="15.75" customHeight="1" x14ac:dyDescent="0.25">
      <c r="E88" s="1"/>
      <c r="F88" s="16"/>
    </row>
    <row r="89" spans="5:6" ht="15.75" customHeight="1" x14ac:dyDescent="0.25">
      <c r="E89" s="1"/>
      <c r="F89" s="16"/>
    </row>
    <row r="90" spans="5:6" ht="15.75" customHeight="1" x14ac:dyDescent="0.25">
      <c r="E90" s="1"/>
      <c r="F90" s="16"/>
    </row>
    <row r="91" spans="5:6" ht="15.75" customHeight="1" x14ac:dyDescent="0.25">
      <c r="E91" s="1"/>
      <c r="F91" s="16"/>
    </row>
    <row r="92" spans="5:6" ht="15.75" customHeight="1" x14ac:dyDescent="0.25">
      <c r="E92" s="1"/>
      <c r="F92" s="16"/>
    </row>
    <row r="93" spans="5:6" ht="15.75" customHeight="1" x14ac:dyDescent="0.25">
      <c r="E93" s="1"/>
      <c r="F93" s="16"/>
    </row>
    <row r="94" spans="5:6" ht="15.75" customHeight="1" x14ac:dyDescent="0.25">
      <c r="E94" s="1"/>
      <c r="F94" s="16"/>
    </row>
    <row r="95" spans="5:6" ht="15.75" customHeight="1" x14ac:dyDescent="0.25">
      <c r="E95" s="1"/>
      <c r="F95" s="16"/>
    </row>
    <row r="96" spans="5:6" ht="15.75" customHeight="1" x14ac:dyDescent="0.25">
      <c r="E96" s="1"/>
      <c r="F96" s="16"/>
    </row>
    <row r="97" spans="5:6" ht="15.75" customHeight="1" x14ac:dyDescent="0.25">
      <c r="E97" s="1"/>
      <c r="F97" s="16"/>
    </row>
    <row r="98" spans="5:6" ht="15.75" customHeight="1" x14ac:dyDescent="0.25">
      <c r="E98" s="1"/>
      <c r="F98" s="16"/>
    </row>
    <row r="99" spans="5:6" ht="15.75" customHeight="1" x14ac:dyDescent="0.25">
      <c r="E99" s="1"/>
      <c r="F99" s="16"/>
    </row>
    <row r="100" spans="5:6" ht="15.75" customHeight="1" x14ac:dyDescent="0.25">
      <c r="E100" s="1"/>
      <c r="F100" s="16"/>
    </row>
    <row r="101" spans="5:6" ht="15.75" customHeight="1" x14ac:dyDescent="0.25">
      <c r="E101" s="1"/>
      <c r="F101" s="16"/>
    </row>
    <row r="102" spans="5:6" ht="15.75" customHeight="1" x14ac:dyDescent="0.25">
      <c r="E102" s="1"/>
      <c r="F102" s="16"/>
    </row>
    <row r="103" spans="5:6" ht="15.75" customHeight="1" x14ac:dyDescent="0.25">
      <c r="E103" s="1"/>
      <c r="F103" s="16"/>
    </row>
    <row r="104" spans="5:6" ht="15.75" customHeight="1" x14ac:dyDescent="0.25">
      <c r="E104" s="1"/>
      <c r="F104" s="16"/>
    </row>
    <row r="105" spans="5:6" ht="15.75" customHeight="1" x14ac:dyDescent="0.25">
      <c r="E105" s="1"/>
      <c r="F105" s="16"/>
    </row>
    <row r="106" spans="5:6" ht="15.75" customHeight="1" x14ac:dyDescent="0.25">
      <c r="E106" s="1"/>
      <c r="F106" s="16"/>
    </row>
    <row r="107" spans="5:6" ht="15.75" customHeight="1" x14ac:dyDescent="0.25">
      <c r="E107" s="1"/>
      <c r="F107" s="16"/>
    </row>
    <row r="108" spans="5:6" ht="15.75" customHeight="1" x14ac:dyDescent="0.25">
      <c r="E108" s="1"/>
      <c r="F108" s="16"/>
    </row>
    <row r="109" spans="5:6" ht="15.75" customHeight="1" x14ac:dyDescent="0.25">
      <c r="E109" s="1"/>
      <c r="F109" s="16"/>
    </row>
    <row r="110" spans="5:6" ht="15.75" customHeight="1" x14ac:dyDescent="0.25">
      <c r="E110" s="1"/>
      <c r="F110" s="16"/>
    </row>
    <row r="111" spans="5:6" ht="15.75" customHeight="1" x14ac:dyDescent="0.25">
      <c r="E111" s="1"/>
      <c r="F111" s="16"/>
    </row>
    <row r="112" spans="5:6" ht="15.75" customHeight="1" x14ac:dyDescent="0.25">
      <c r="E112" s="1"/>
      <c r="F112" s="16"/>
    </row>
    <row r="113" spans="5:6" ht="15.75" customHeight="1" x14ac:dyDescent="0.25">
      <c r="E113" s="1"/>
      <c r="F113" s="16"/>
    </row>
    <row r="114" spans="5:6" ht="15.75" customHeight="1" x14ac:dyDescent="0.25">
      <c r="E114" s="1"/>
      <c r="F114" s="16"/>
    </row>
    <row r="115" spans="5:6" ht="15.75" customHeight="1" x14ac:dyDescent="0.25">
      <c r="E115" s="1"/>
      <c r="F115" s="16"/>
    </row>
    <row r="116" spans="5:6" ht="15.75" customHeight="1" x14ac:dyDescent="0.25">
      <c r="E116" s="1"/>
      <c r="F116" s="16"/>
    </row>
    <row r="117" spans="5:6" ht="15.75" customHeight="1" x14ac:dyDescent="0.25">
      <c r="E117" s="1"/>
      <c r="F117" s="16"/>
    </row>
    <row r="118" spans="5:6" ht="15.75" customHeight="1" x14ac:dyDescent="0.25">
      <c r="E118" s="1"/>
      <c r="F118" s="16"/>
    </row>
    <row r="119" spans="5:6" ht="15.75" customHeight="1" x14ac:dyDescent="0.25">
      <c r="E119" s="1"/>
      <c r="F119" s="16"/>
    </row>
    <row r="120" spans="5:6" ht="15.75" customHeight="1" x14ac:dyDescent="0.25">
      <c r="E120" s="1"/>
      <c r="F120" s="16"/>
    </row>
    <row r="121" spans="5:6" ht="15.75" customHeight="1" x14ac:dyDescent="0.25">
      <c r="E121" s="1"/>
      <c r="F121" s="16"/>
    </row>
    <row r="122" spans="5:6" ht="15.75" customHeight="1" x14ac:dyDescent="0.25">
      <c r="E122" s="1"/>
      <c r="F122" s="16"/>
    </row>
    <row r="123" spans="5:6" ht="15.75" customHeight="1" x14ac:dyDescent="0.25">
      <c r="E123" s="1"/>
      <c r="F123" s="16"/>
    </row>
    <row r="124" spans="5:6" ht="15.75" customHeight="1" x14ac:dyDescent="0.25">
      <c r="E124" s="1"/>
      <c r="F124" s="16"/>
    </row>
    <row r="125" spans="5:6" ht="15.75" customHeight="1" x14ac:dyDescent="0.25">
      <c r="E125" s="1"/>
      <c r="F125" s="16"/>
    </row>
    <row r="126" spans="5:6" ht="15.75" customHeight="1" x14ac:dyDescent="0.25">
      <c r="E126" s="1"/>
      <c r="F126" s="16"/>
    </row>
    <row r="127" spans="5:6" ht="15.75" customHeight="1" x14ac:dyDescent="0.25">
      <c r="E127" s="1"/>
      <c r="F127" s="16"/>
    </row>
    <row r="128" spans="5:6" ht="15.75" customHeight="1" x14ac:dyDescent="0.25">
      <c r="E128" s="1"/>
      <c r="F128" s="16"/>
    </row>
    <row r="129" spans="5:6" ht="15.75" customHeight="1" x14ac:dyDescent="0.25">
      <c r="E129" s="1"/>
      <c r="F129" s="16"/>
    </row>
    <row r="130" spans="5:6" ht="15.75" customHeight="1" x14ac:dyDescent="0.25">
      <c r="E130" s="1"/>
      <c r="F130" s="16"/>
    </row>
    <row r="131" spans="5:6" ht="15.75" customHeight="1" x14ac:dyDescent="0.25">
      <c r="E131" s="1"/>
      <c r="F131" s="16"/>
    </row>
    <row r="132" spans="5:6" ht="15.75" customHeight="1" x14ac:dyDescent="0.25">
      <c r="E132" s="1"/>
      <c r="F132" s="16"/>
    </row>
    <row r="133" spans="5:6" ht="15.75" customHeight="1" x14ac:dyDescent="0.25">
      <c r="E133" s="1"/>
      <c r="F133" s="16"/>
    </row>
    <row r="134" spans="5:6" ht="15.75" customHeight="1" x14ac:dyDescent="0.25">
      <c r="E134" s="1"/>
      <c r="F134" s="16"/>
    </row>
    <row r="135" spans="5:6" ht="15.75" customHeight="1" x14ac:dyDescent="0.25">
      <c r="E135" s="1"/>
      <c r="F135" s="16"/>
    </row>
    <row r="136" spans="5:6" ht="15.75" customHeight="1" x14ac:dyDescent="0.25">
      <c r="E136" s="1"/>
      <c r="F136" s="16"/>
    </row>
    <row r="137" spans="5:6" ht="15.75" customHeight="1" x14ac:dyDescent="0.25">
      <c r="E137" s="1"/>
      <c r="F137" s="16"/>
    </row>
    <row r="138" spans="5:6" ht="15.75" customHeight="1" x14ac:dyDescent="0.25">
      <c r="E138" s="1"/>
      <c r="F138" s="16"/>
    </row>
    <row r="139" spans="5:6" ht="15.75" customHeight="1" x14ac:dyDescent="0.25">
      <c r="E139" s="1"/>
      <c r="F139" s="16"/>
    </row>
    <row r="140" spans="5:6" ht="15.75" customHeight="1" x14ac:dyDescent="0.25">
      <c r="E140" s="1"/>
      <c r="F140" s="16"/>
    </row>
    <row r="141" spans="5:6" ht="15.75" customHeight="1" x14ac:dyDescent="0.25">
      <c r="E141" s="1"/>
      <c r="F141" s="16"/>
    </row>
    <row r="142" spans="5:6" ht="15.75" customHeight="1" x14ac:dyDescent="0.25">
      <c r="E142" s="1"/>
      <c r="F142" s="16"/>
    </row>
    <row r="143" spans="5:6" ht="15.75" customHeight="1" x14ac:dyDescent="0.25">
      <c r="E143" s="1"/>
      <c r="F143" s="16"/>
    </row>
    <row r="144" spans="5:6" ht="15.75" customHeight="1" x14ac:dyDescent="0.25">
      <c r="E144" s="1"/>
      <c r="F144" s="16"/>
    </row>
    <row r="145" spans="5:6" ht="15.75" customHeight="1" x14ac:dyDescent="0.25">
      <c r="E145" s="1"/>
      <c r="F145" s="16"/>
    </row>
    <row r="146" spans="5:6" ht="15.75" customHeight="1" x14ac:dyDescent="0.25">
      <c r="E146" s="1"/>
      <c r="F146" s="16"/>
    </row>
    <row r="147" spans="5:6" ht="15.75" customHeight="1" x14ac:dyDescent="0.25">
      <c r="E147" s="1"/>
      <c r="F147" s="16"/>
    </row>
    <row r="148" spans="5:6" ht="15.75" customHeight="1" x14ac:dyDescent="0.25">
      <c r="E148" s="1"/>
      <c r="F148" s="16"/>
    </row>
    <row r="149" spans="5:6" ht="15.75" customHeight="1" x14ac:dyDescent="0.25">
      <c r="E149" s="1"/>
      <c r="F149" s="16"/>
    </row>
    <row r="150" spans="5:6" ht="15.75" customHeight="1" x14ac:dyDescent="0.25">
      <c r="E150" s="1"/>
      <c r="F150" s="16"/>
    </row>
    <row r="151" spans="5:6" ht="15.75" customHeight="1" x14ac:dyDescent="0.25">
      <c r="E151" s="1"/>
      <c r="F151" s="16"/>
    </row>
    <row r="152" spans="5:6" ht="15.75" customHeight="1" x14ac:dyDescent="0.25">
      <c r="E152" s="1"/>
      <c r="F152" s="16"/>
    </row>
    <row r="153" spans="5:6" ht="15.75" customHeight="1" x14ac:dyDescent="0.25">
      <c r="E153" s="1"/>
      <c r="F153" s="16"/>
    </row>
    <row r="154" spans="5:6" ht="15.75" customHeight="1" x14ac:dyDescent="0.25">
      <c r="E154" s="1"/>
      <c r="F154" s="16"/>
    </row>
    <row r="155" spans="5:6" ht="15.75" customHeight="1" x14ac:dyDescent="0.25">
      <c r="E155" s="1"/>
      <c r="F155" s="16"/>
    </row>
    <row r="156" spans="5:6" ht="15.75" customHeight="1" x14ac:dyDescent="0.25">
      <c r="E156" s="1"/>
      <c r="F156" s="16"/>
    </row>
    <row r="157" spans="5:6" ht="15.75" customHeight="1" x14ac:dyDescent="0.25">
      <c r="E157" s="1"/>
      <c r="F157" s="16"/>
    </row>
    <row r="158" spans="5:6" ht="15.75" customHeight="1" x14ac:dyDescent="0.25">
      <c r="E158" s="1"/>
      <c r="F158" s="16"/>
    </row>
    <row r="159" spans="5:6" ht="15.75" customHeight="1" x14ac:dyDescent="0.25">
      <c r="E159" s="1"/>
      <c r="F159" s="16"/>
    </row>
    <row r="160" spans="5:6" ht="15.75" customHeight="1" x14ac:dyDescent="0.25">
      <c r="E160" s="1"/>
      <c r="F160" s="16"/>
    </row>
    <row r="161" spans="5:6" ht="15.75" customHeight="1" x14ac:dyDescent="0.25">
      <c r="E161" s="1"/>
      <c r="F161" s="16"/>
    </row>
    <row r="162" spans="5:6" ht="15.75" customHeight="1" x14ac:dyDescent="0.25">
      <c r="E162" s="1"/>
      <c r="F162" s="16"/>
    </row>
    <row r="163" spans="5:6" ht="15.75" customHeight="1" x14ac:dyDescent="0.25">
      <c r="E163" s="1"/>
      <c r="F163" s="16"/>
    </row>
    <row r="164" spans="5:6" ht="15.75" customHeight="1" x14ac:dyDescent="0.25">
      <c r="E164" s="1"/>
      <c r="F164" s="16"/>
    </row>
    <row r="165" spans="5:6" ht="15.75" customHeight="1" x14ac:dyDescent="0.25">
      <c r="E165" s="1"/>
      <c r="F165" s="16"/>
    </row>
    <row r="166" spans="5:6" ht="15.75" customHeight="1" x14ac:dyDescent="0.25">
      <c r="E166" s="1"/>
      <c r="F166" s="16"/>
    </row>
    <row r="167" spans="5:6" ht="15.75" customHeight="1" x14ac:dyDescent="0.25">
      <c r="E167" s="1"/>
      <c r="F167" s="16"/>
    </row>
    <row r="168" spans="5:6" ht="15.75" customHeight="1" x14ac:dyDescent="0.25">
      <c r="E168" s="1"/>
      <c r="F168" s="16"/>
    </row>
    <row r="169" spans="5:6" ht="15.75" customHeight="1" x14ac:dyDescent="0.25">
      <c r="E169" s="1"/>
      <c r="F169" s="16"/>
    </row>
    <row r="170" spans="5:6" ht="15.75" customHeight="1" x14ac:dyDescent="0.25">
      <c r="E170" s="1"/>
      <c r="F170" s="16"/>
    </row>
    <row r="171" spans="5:6" ht="15.75" customHeight="1" x14ac:dyDescent="0.25">
      <c r="E171" s="1"/>
      <c r="F171" s="16"/>
    </row>
    <row r="172" spans="5:6" ht="15.75" customHeight="1" x14ac:dyDescent="0.25">
      <c r="E172" s="1"/>
      <c r="F172" s="16"/>
    </row>
    <row r="173" spans="5:6" ht="15.75" customHeight="1" x14ac:dyDescent="0.25">
      <c r="E173" s="1"/>
      <c r="F173" s="16"/>
    </row>
    <row r="174" spans="5:6" ht="15.75" customHeight="1" x14ac:dyDescent="0.25">
      <c r="E174" s="1"/>
      <c r="F174" s="16"/>
    </row>
    <row r="175" spans="5:6" ht="15.75" customHeight="1" x14ac:dyDescent="0.25">
      <c r="E175" s="1"/>
      <c r="F175" s="16"/>
    </row>
    <row r="176" spans="5:6" ht="15.75" customHeight="1" x14ac:dyDescent="0.25">
      <c r="E176" s="1"/>
      <c r="F176" s="16"/>
    </row>
    <row r="177" spans="5:6" ht="15.75" customHeight="1" x14ac:dyDescent="0.25">
      <c r="E177" s="1"/>
      <c r="F177" s="16"/>
    </row>
    <row r="178" spans="5:6" ht="15.75" customHeight="1" x14ac:dyDescent="0.25">
      <c r="E178" s="1"/>
      <c r="F178" s="16"/>
    </row>
    <row r="179" spans="5:6" ht="15.75" customHeight="1" x14ac:dyDescent="0.25">
      <c r="E179" s="1"/>
      <c r="F179" s="16"/>
    </row>
    <row r="180" spans="5:6" ht="15.75" customHeight="1" x14ac:dyDescent="0.25">
      <c r="E180" s="1"/>
      <c r="F180" s="16"/>
    </row>
    <row r="181" spans="5:6" ht="15.75" customHeight="1" x14ac:dyDescent="0.25">
      <c r="E181" s="1"/>
      <c r="F181" s="16"/>
    </row>
    <row r="182" spans="5:6" ht="15.75" customHeight="1" x14ac:dyDescent="0.25">
      <c r="E182" s="1"/>
      <c r="F182" s="16"/>
    </row>
    <row r="183" spans="5:6" ht="15.75" customHeight="1" x14ac:dyDescent="0.25">
      <c r="E183" s="1"/>
      <c r="F183" s="16"/>
    </row>
    <row r="184" spans="5:6" ht="15.75" customHeight="1" x14ac:dyDescent="0.25">
      <c r="E184" s="1"/>
      <c r="F184" s="16"/>
    </row>
    <row r="185" spans="5:6" ht="15.75" customHeight="1" x14ac:dyDescent="0.25">
      <c r="E185" s="1"/>
      <c r="F185" s="16"/>
    </row>
    <row r="186" spans="5:6" ht="15.75" customHeight="1" x14ac:dyDescent="0.25">
      <c r="E186" s="1"/>
      <c r="F186" s="16"/>
    </row>
    <row r="187" spans="5:6" ht="15.75" customHeight="1" x14ac:dyDescent="0.25">
      <c r="E187" s="1"/>
      <c r="F187" s="16"/>
    </row>
    <row r="188" spans="5:6" ht="15.75" customHeight="1" x14ac:dyDescent="0.25">
      <c r="E188" s="1"/>
      <c r="F188" s="16"/>
    </row>
    <row r="189" spans="5:6" ht="15.75" customHeight="1" x14ac:dyDescent="0.25">
      <c r="E189" s="1"/>
      <c r="F189" s="16"/>
    </row>
    <row r="190" spans="5:6" ht="15.75" customHeight="1" x14ac:dyDescent="0.25">
      <c r="E190" s="1"/>
      <c r="F190" s="16"/>
    </row>
    <row r="191" spans="5:6" ht="15.75" customHeight="1" x14ac:dyDescent="0.25">
      <c r="E191" s="1"/>
      <c r="F191" s="16"/>
    </row>
    <row r="192" spans="5:6" ht="15.75" customHeight="1" x14ac:dyDescent="0.25">
      <c r="E192" s="1"/>
      <c r="F192" s="16"/>
    </row>
    <row r="193" spans="5:6" ht="15.75" customHeight="1" x14ac:dyDescent="0.25">
      <c r="E193" s="1"/>
      <c r="F193" s="16"/>
    </row>
    <row r="194" spans="5:6" ht="15.75" customHeight="1" x14ac:dyDescent="0.25">
      <c r="E194" s="1"/>
      <c r="F194" s="16"/>
    </row>
    <row r="195" spans="5:6" ht="15.75" customHeight="1" x14ac:dyDescent="0.25">
      <c r="E195" s="1"/>
      <c r="F195" s="16"/>
    </row>
    <row r="196" spans="5:6" ht="15.75" customHeight="1" x14ac:dyDescent="0.25">
      <c r="E196" s="1"/>
      <c r="F196" s="16"/>
    </row>
    <row r="197" spans="5:6" ht="15.75" customHeight="1" x14ac:dyDescent="0.25">
      <c r="E197" s="1"/>
      <c r="F197" s="16"/>
    </row>
    <row r="198" spans="5:6" ht="15.75" customHeight="1" x14ac:dyDescent="0.25">
      <c r="E198" s="1"/>
      <c r="F198" s="16"/>
    </row>
    <row r="199" spans="5:6" ht="15.75" customHeight="1" x14ac:dyDescent="0.25">
      <c r="E199" s="1"/>
      <c r="F199" s="16"/>
    </row>
    <row r="200" spans="5:6" ht="15.75" customHeight="1" x14ac:dyDescent="0.25">
      <c r="E200" s="1"/>
      <c r="F200" s="16"/>
    </row>
    <row r="201" spans="5:6" ht="15.75" customHeight="1" x14ac:dyDescent="0.25">
      <c r="E201" s="1"/>
      <c r="F201" s="16"/>
    </row>
    <row r="202" spans="5:6" ht="15.75" customHeight="1" x14ac:dyDescent="0.25">
      <c r="E202" s="1"/>
      <c r="F202" s="16"/>
    </row>
    <row r="203" spans="5:6" ht="15.75" customHeight="1" x14ac:dyDescent="0.25">
      <c r="E203" s="1"/>
      <c r="F203" s="16"/>
    </row>
    <row r="204" spans="5:6" ht="15.75" customHeight="1" x14ac:dyDescent="0.25">
      <c r="E204" s="1"/>
      <c r="F204" s="16"/>
    </row>
    <row r="205" spans="5:6" ht="15.75" customHeight="1" x14ac:dyDescent="0.25">
      <c r="E205" s="1"/>
      <c r="F205" s="16"/>
    </row>
    <row r="206" spans="5:6" ht="15.75" customHeight="1" x14ac:dyDescent="0.25">
      <c r="E206" s="1"/>
      <c r="F206" s="16"/>
    </row>
    <row r="207" spans="5:6" ht="15.75" customHeight="1" x14ac:dyDescent="0.25">
      <c r="E207" s="1"/>
      <c r="F207" s="16"/>
    </row>
    <row r="208" spans="5:6" ht="15.75" customHeight="1" x14ac:dyDescent="0.25">
      <c r="E208" s="1"/>
      <c r="F208" s="16"/>
    </row>
    <row r="209" spans="5:6" ht="15.75" customHeight="1" x14ac:dyDescent="0.25">
      <c r="E209" s="1"/>
      <c r="F209" s="16"/>
    </row>
    <row r="210" spans="5:6" ht="15.75" customHeight="1" x14ac:dyDescent="0.25">
      <c r="E210" s="1"/>
      <c r="F210" s="16"/>
    </row>
    <row r="211" spans="5:6" ht="15.75" customHeight="1" x14ac:dyDescent="0.25">
      <c r="E211" s="1"/>
      <c r="F211" s="16"/>
    </row>
    <row r="212" spans="5:6" ht="15.75" customHeight="1" x14ac:dyDescent="0.25">
      <c r="E212" s="1"/>
      <c r="F212" s="16"/>
    </row>
    <row r="213" spans="5:6" ht="15.75" customHeight="1" x14ac:dyDescent="0.25">
      <c r="E213" s="1"/>
      <c r="F213" s="16"/>
    </row>
    <row r="214" spans="5:6" ht="15.75" customHeight="1" x14ac:dyDescent="0.25">
      <c r="E214" s="1"/>
      <c r="F214" s="16"/>
    </row>
    <row r="215" spans="5:6" ht="15.75" customHeight="1" x14ac:dyDescent="0.25">
      <c r="E215" s="1"/>
      <c r="F215" s="16"/>
    </row>
    <row r="216" spans="5:6" ht="15.75" customHeight="1" x14ac:dyDescent="0.25">
      <c r="E216" s="1"/>
      <c r="F216" s="16"/>
    </row>
    <row r="217" spans="5:6" ht="15.75" customHeight="1" x14ac:dyDescent="0.25">
      <c r="E217" s="1"/>
      <c r="F217" s="16"/>
    </row>
    <row r="218" spans="5:6" ht="15.75" customHeight="1" x14ac:dyDescent="0.25">
      <c r="E218" s="1"/>
      <c r="F218" s="16"/>
    </row>
    <row r="219" spans="5:6" ht="15.75" customHeight="1" x14ac:dyDescent="0.25">
      <c r="E219" s="1"/>
      <c r="F219" s="16"/>
    </row>
    <row r="220" spans="5:6" ht="15.75" customHeight="1" x14ac:dyDescent="0.25">
      <c r="E220" s="1"/>
      <c r="F220" s="16"/>
    </row>
    <row r="221" spans="5:6" ht="15.75" customHeight="1" x14ac:dyDescent="0.25">
      <c r="E221" s="1"/>
      <c r="F221" s="16"/>
    </row>
    <row r="222" spans="5:6" ht="15.75" customHeight="1" x14ac:dyDescent="0.25">
      <c r="E222" s="1"/>
      <c r="F222" s="16"/>
    </row>
    <row r="223" spans="5:6" ht="15.75" customHeight="1" x14ac:dyDescent="0.25">
      <c r="E223" s="1"/>
      <c r="F223" s="16"/>
    </row>
    <row r="224" spans="5:6" ht="15.75" customHeight="1" x14ac:dyDescent="0.25">
      <c r="E224" s="1"/>
      <c r="F224" s="16"/>
    </row>
    <row r="225" spans="5:6" ht="15.75" customHeight="1" x14ac:dyDescent="0.25">
      <c r="E225" s="1"/>
      <c r="F225" s="16"/>
    </row>
    <row r="226" spans="5:6" ht="15.75" customHeight="1" x14ac:dyDescent="0.25">
      <c r="E226" s="1"/>
      <c r="F226" s="16"/>
    </row>
    <row r="227" spans="5:6" ht="15.75" customHeight="1" x14ac:dyDescent="0.25">
      <c r="E227" s="1"/>
      <c r="F227" s="16"/>
    </row>
    <row r="228" spans="5:6" ht="15.75" customHeight="1" x14ac:dyDescent="0.25">
      <c r="E228" s="1"/>
      <c r="F228" s="16"/>
    </row>
    <row r="229" spans="5:6" ht="15.75" customHeight="1" x14ac:dyDescent="0.25">
      <c r="E229" s="1"/>
      <c r="F229" s="16"/>
    </row>
    <row r="230" spans="5:6" ht="15.75" customHeight="1" x14ac:dyDescent="0.25">
      <c r="E230" s="1"/>
      <c r="F230" s="16"/>
    </row>
    <row r="231" spans="5:6" ht="15.75" customHeight="1" x14ac:dyDescent="0.25">
      <c r="E231" s="1"/>
      <c r="F231" s="16"/>
    </row>
    <row r="232" spans="5:6" ht="15.75" customHeight="1" x14ac:dyDescent="0.25">
      <c r="E232" s="1"/>
      <c r="F232" s="16"/>
    </row>
    <row r="233" spans="5:6" ht="15.75" customHeight="1" x14ac:dyDescent="0.25">
      <c r="E233" s="1"/>
      <c r="F233" s="16"/>
    </row>
    <row r="234" spans="5:6" ht="15.75" customHeight="1" x14ac:dyDescent="0.25">
      <c r="E234" s="1"/>
      <c r="F234" s="16"/>
    </row>
    <row r="235" spans="5:6" ht="15.75" customHeight="1" x14ac:dyDescent="0.25">
      <c r="E235" s="1"/>
      <c r="F235" s="16"/>
    </row>
    <row r="236" spans="5:6" ht="15.75" customHeight="1" x14ac:dyDescent="0.25">
      <c r="E236" s="1"/>
      <c r="F236" s="16"/>
    </row>
    <row r="237" spans="5:6" ht="15.75" customHeight="1" x14ac:dyDescent="0.25">
      <c r="E237" s="1"/>
      <c r="F237" s="16"/>
    </row>
    <row r="238" spans="5:6" ht="15.75" customHeight="1" x14ac:dyDescent="0.25">
      <c r="E238" s="1"/>
      <c r="F238" s="16"/>
    </row>
    <row r="239" spans="5:6" ht="15.75" customHeight="1" x14ac:dyDescent="0.25">
      <c r="E239" s="1"/>
      <c r="F239" s="16"/>
    </row>
    <row r="240" spans="5:6" ht="15.75" customHeight="1" x14ac:dyDescent="0.25">
      <c r="E240" s="1"/>
      <c r="F240" s="16"/>
    </row>
    <row r="241" spans="5:6" ht="15.75" customHeight="1" x14ac:dyDescent="0.25">
      <c r="E241" s="1"/>
      <c r="F241" s="16"/>
    </row>
    <row r="242" spans="5:6" ht="15.75" customHeight="1" x14ac:dyDescent="0.25">
      <c r="E242" s="1"/>
      <c r="F242" s="16"/>
    </row>
    <row r="243" spans="5:6" ht="15.75" customHeight="1" x14ac:dyDescent="0.25">
      <c r="E243" s="1"/>
      <c r="F243" s="16"/>
    </row>
    <row r="244" spans="5:6" ht="15.75" customHeight="1" x14ac:dyDescent="0.25">
      <c r="E244" s="1"/>
      <c r="F244" s="16"/>
    </row>
    <row r="245" spans="5:6" ht="15.75" customHeight="1" x14ac:dyDescent="0.25">
      <c r="E245" s="1"/>
      <c r="F245" s="16"/>
    </row>
    <row r="246" spans="5:6" ht="15.75" customHeight="1" x14ac:dyDescent="0.25">
      <c r="E246" s="1"/>
      <c r="F246" s="16"/>
    </row>
    <row r="247" spans="5:6" ht="15.75" customHeight="1" x14ac:dyDescent="0.25">
      <c r="E247" s="1"/>
      <c r="F247" s="16"/>
    </row>
    <row r="248" spans="5:6" ht="15.75" customHeight="1" x14ac:dyDescent="0.25">
      <c r="E248" s="1"/>
      <c r="F248" s="16"/>
    </row>
    <row r="249" spans="5:6" ht="15.75" customHeight="1" x14ac:dyDescent="0.25">
      <c r="E249" s="1"/>
      <c r="F249" s="16"/>
    </row>
    <row r="250" spans="5:6" ht="15.75" customHeight="1" x14ac:dyDescent="0.25">
      <c r="E250" s="1"/>
      <c r="F250" s="16"/>
    </row>
    <row r="251" spans="5:6" ht="15.75" customHeight="1" x14ac:dyDescent="0.25">
      <c r="E251" s="1"/>
      <c r="F251" s="16"/>
    </row>
    <row r="252" spans="5:6" ht="15.75" customHeight="1" x14ac:dyDescent="0.25">
      <c r="E252" s="1"/>
      <c r="F252" s="16"/>
    </row>
    <row r="253" spans="5:6" ht="15.75" customHeight="1" x14ac:dyDescent="0.25">
      <c r="E253" s="1"/>
      <c r="F253" s="16"/>
    </row>
    <row r="254" spans="5:6" ht="15.75" customHeight="1" x14ac:dyDescent="0.25">
      <c r="E254" s="1"/>
      <c r="F254" s="16"/>
    </row>
    <row r="255" spans="5:6" ht="15.75" customHeight="1" x14ac:dyDescent="0.25">
      <c r="E255" s="1"/>
      <c r="F255" s="16"/>
    </row>
    <row r="256" spans="5:6" ht="15.75" customHeight="1" x14ac:dyDescent="0.25">
      <c r="E256" s="1"/>
      <c r="F256" s="16"/>
    </row>
    <row r="257" spans="5:6" ht="15.75" customHeight="1" x14ac:dyDescent="0.25">
      <c r="E257" s="1"/>
      <c r="F257" s="16"/>
    </row>
    <row r="258" spans="5:6" ht="15.75" customHeight="1" x14ac:dyDescent="0.25">
      <c r="E258" s="1"/>
      <c r="F258" s="16"/>
    </row>
    <row r="259" spans="5:6" ht="15.75" customHeight="1" x14ac:dyDescent="0.25">
      <c r="E259" s="1"/>
      <c r="F259" s="16"/>
    </row>
    <row r="260" spans="5:6" ht="15.75" customHeight="1" x14ac:dyDescent="0.25">
      <c r="E260" s="1"/>
      <c r="F260" s="16"/>
    </row>
    <row r="261" spans="5:6" ht="15.75" customHeight="1" x14ac:dyDescent="0.25">
      <c r="E261" s="1"/>
      <c r="F261" s="16"/>
    </row>
    <row r="262" spans="5:6" ht="15.75" customHeight="1" x14ac:dyDescent="0.25">
      <c r="E262" s="1"/>
      <c r="F262" s="16"/>
    </row>
    <row r="263" spans="5:6" ht="15.75" customHeight="1" x14ac:dyDescent="0.25">
      <c r="E263" s="1"/>
      <c r="F263" s="16"/>
    </row>
    <row r="264" spans="5:6" ht="15.75" customHeight="1" x14ac:dyDescent="0.25">
      <c r="E264" s="1"/>
      <c r="F264" s="16"/>
    </row>
    <row r="265" spans="5:6" ht="15.75" customHeight="1" x14ac:dyDescent="0.25">
      <c r="E265" s="1"/>
      <c r="F265" s="16"/>
    </row>
    <row r="266" spans="5:6" ht="15.75" customHeight="1" x14ac:dyDescent="0.25">
      <c r="E266" s="1"/>
      <c r="F266" s="16"/>
    </row>
    <row r="267" spans="5:6" ht="15.75" customHeight="1" x14ac:dyDescent="0.25">
      <c r="E267" s="1"/>
      <c r="F267" s="16"/>
    </row>
    <row r="268" spans="5:6" ht="15.75" customHeight="1" x14ac:dyDescent="0.25">
      <c r="E268" s="1"/>
      <c r="F268" s="16"/>
    </row>
    <row r="269" spans="5:6" ht="15.75" customHeight="1" x14ac:dyDescent="0.25">
      <c r="E269" s="1"/>
      <c r="F269" s="16"/>
    </row>
    <row r="270" spans="5:6" ht="15.75" customHeight="1" x14ac:dyDescent="0.25">
      <c r="E270" s="1"/>
      <c r="F270" s="16"/>
    </row>
    <row r="271" spans="5:6" ht="15.75" customHeight="1" x14ac:dyDescent="0.25">
      <c r="E271" s="1"/>
      <c r="F271" s="16"/>
    </row>
    <row r="272" spans="5:6" ht="15.75" customHeight="1" x14ac:dyDescent="0.25">
      <c r="E272" s="1"/>
      <c r="F272" s="16"/>
    </row>
    <row r="273" spans="5:6" ht="15.75" customHeight="1" x14ac:dyDescent="0.25">
      <c r="E273" s="1"/>
      <c r="F273" s="16"/>
    </row>
    <row r="274" spans="5:6" ht="15.75" customHeight="1" x14ac:dyDescent="0.25">
      <c r="E274" s="1"/>
      <c r="F274" s="16"/>
    </row>
    <row r="275" spans="5:6" ht="15.75" customHeight="1" x14ac:dyDescent="0.25">
      <c r="E275" s="1"/>
      <c r="F275" s="16"/>
    </row>
    <row r="276" spans="5:6" ht="15.75" customHeight="1" x14ac:dyDescent="0.25">
      <c r="E276" s="1"/>
      <c r="F276" s="16"/>
    </row>
    <row r="277" spans="5:6" ht="15.75" customHeight="1" x14ac:dyDescent="0.25">
      <c r="E277" s="1"/>
      <c r="F277" s="16"/>
    </row>
    <row r="278" spans="5:6" ht="15.75" customHeight="1" x14ac:dyDescent="0.25">
      <c r="E278" s="1"/>
      <c r="F278" s="16"/>
    </row>
    <row r="279" spans="5:6" ht="15.75" customHeight="1" x14ac:dyDescent="0.25">
      <c r="E279" s="1"/>
      <c r="F279" s="16"/>
    </row>
    <row r="280" spans="5:6" ht="15.75" customHeight="1" x14ac:dyDescent="0.25">
      <c r="E280" s="1"/>
      <c r="F280" s="16"/>
    </row>
    <row r="281" spans="5:6" ht="15.75" customHeight="1" x14ac:dyDescent="0.25">
      <c r="E281" s="1"/>
      <c r="F281" s="16"/>
    </row>
    <row r="282" spans="5:6" ht="15.75" customHeight="1" x14ac:dyDescent="0.25">
      <c r="E282" s="1"/>
      <c r="F282" s="16"/>
    </row>
    <row r="283" spans="5:6" ht="15.75" customHeight="1" x14ac:dyDescent="0.25">
      <c r="E283" s="1"/>
      <c r="F283" s="16"/>
    </row>
    <row r="284" spans="5:6" ht="15.75" customHeight="1" x14ac:dyDescent="0.25">
      <c r="E284" s="1"/>
      <c r="F284" s="16"/>
    </row>
    <row r="285" spans="5:6" ht="15.75" customHeight="1" x14ac:dyDescent="0.25">
      <c r="E285" s="1"/>
      <c r="F285" s="16"/>
    </row>
    <row r="286" spans="5:6" ht="15.75" customHeight="1" x14ac:dyDescent="0.25">
      <c r="E286" s="1"/>
      <c r="F286" s="16"/>
    </row>
    <row r="287" spans="5:6" ht="15.75" customHeight="1" x14ac:dyDescent="0.25">
      <c r="E287" s="1"/>
      <c r="F287" s="16"/>
    </row>
    <row r="288" spans="5:6" ht="15.75" customHeight="1" x14ac:dyDescent="0.25">
      <c r="E288" s="1"/>
      <c r="F288" s="16"/>
    </row>
    <row r="289" spans="5:6" ht="15.75" customHeight="1" x14ac:dyDescent="0.25">
      <c r="E289" s="1"/>
      <c r="F289" s="16"/>
    </row>
    <row r="290" spans="5:6" ht="15.75" customHeight="1" x14ac:dyDescent="0.25">
      <c r="E290" s="1"/>
      <c r="F290" s="16"/>
    </row>
    <row r="291" spans="5:6" ht="15.75" customHeight="1" x14ac:dyDescent="0.25">
      <c r="E291" s="1"/>
      <c r="F291" s="16"/>
    </row>
    <row r="292" spans="5:6" ht="15.75" customHeight="1" x14ac:dyDescent="0.25">
      <c r="E292" s="1"/>
      <c r="F292" s="16"/>
    </row>
    <row r="293" spans="5:6" ht="15.75" customHeight="1" x14ac:dyDescent="0.25">
      <c r="E293" s="1"/>
      <c r="F293" s="16"/>
    </row>
    <row r="294" spans="5:6" ht="15.75" customHeight="1" x14ac:dyDescent="0.25">
      <c r="E294" s="1"/>
      <c r="F294" s="16"/>
    </row>
    <row r="295" spans="5:6" ht="15.75" customHeight="1" x14ac:dyDescent="0.25">
      <c r="E295" s="1"/>
      <c r="F295" s="16"/>
    </row>
    <row r="296" spans="5:6" ht="15.75" customHeight="1" x14ac:dyDescent="0.25">
      <c r="E296" s="1"/>
      <c r="F296" s="16"/>
    </row>
    <row r="297" spans="5:6" ht="15.75" customHeight="1" x14ac:dyDescent="0.25">
      <c r="E297" s="1"/>
      <c r="F297" s="16"/>
    </row>
    <row r="298" spans="5:6" ht="15.75" customHeight="1" x14ac:dyDescent="0.25">
      <c r="E298" s="1"/>
      <c r="F298" s="16"/>
    </row>
    <row r="299" spans="5:6" ht="15.75" customHeight="1" x14ac:dyDescent="0.25">
      <c r="E299" s="1"/>
      <c r="F299" s="16"/>
    </row>
    <row r="300" spans="5:6" ht="15.75" customHeight="1" x14ac:dyDescent="0.25">
      <c r="E300" s="1"/>
      <c r="F300" s="16"/>
    </row>
    <row r="301" spans="5:6" ht="15.75" customHeight="1" x14ac:dyDescent="0.25">
      <c r="E301" s="1"/>
      <c r="F301" s="16"/>
    </row>
    <row r="302" spans="5:6" ht="15.75" customHeight="1" x14ac:dyDescent="0.25">
      <c r="E302" s="1"/>
      <c r="F302" s="16"/>
    </row>
    <row r="303" spans="5:6" ht="15.75" customHeight="1" x14ac:dyDescent="0.25">
      <c r="E303" s="1"/>
      <c r="F303" s="16"/>
    </row>
    <row r="304" spans="5:6" ht="15.75" customHeight="1" x14ac:dyDescent="0.25">
      <c r="E304" s="1"/>
      <c r="F304" s="16"/>
    </row>
    <row r="305" spans="5:6" ht="15.75" customHeight="1" x14ac:dyDescent="0.25">
      <c r="E305" s="1"/>
      <c r="F305" s="16"/>
    </row>
    <row r="306" spans="5:6" ht="15.75" customHeight="1" x14ac:dyDescent="0.25">
      <c r="E306" s="1"/>
      <c r="F306" s="16"/>
    </row>
    <row r="307" spans="5:6" ht="15.75" customHeight="1" x14ac:dyDescent="0.25">
      <c r="E307" s="1"/>
      <c r="F307" s="16"/>
    </row>
    <row r="308" spans="5:6" ht="15.75" customHeight="1" x14ac:dyDescent="0.25">
      <c r="E308" s="1"/>
      <c r="F308" s="16"/>
    </row>
    <row r="309" spans="5:6" ht="15.75" customHeight="1" x14ac:dyDescent="0.25">
      <c r="E309" s="1"/>
      <c r="F309" s="16"/>
    </row>
    <row r="310" spans="5:6" ht="15.75" customHeight="1" x14ac:dyDescent="0.25">
      <c r="E310" s="1"/>
      <c r="F310" s="16"/>
    </row>
    <row r="311" spans="5:6" ht="15.75" customHeight="1" x14ac:dyDescent="0.25">
      <c r="E311" s="1"/>
      <c r="F311" s="16"/>
    </row>
    <row r="312" spans="5:6" ht="15.75" customHeight="1" x14ac:dyDescent="0.25">
      <c r="E312" s="1"/>
      <c r="F312" s="16"/>
    </row>
    <row r="313" spans="5:6" ht="15.75" customHeight="1" x14ac:dyDescent="0.25">
      <c r="E313" s="1"/>
      <c r="F313" s="16"/>
    </row>
    <row r="314" spans="5:6" ht="15.75" customHeight="1" x14ac:dyDescent="0.25">
      <c r="E314" s="1"/>
      <c r="F314" s="16"/>
    </row>
    <row r="315" spans="5:6" ht="15.75" customHeight="1" x14ac:dyDescent="0.25">
      <c r="E315" s="1"/>
      <c r="F315" s="16"/>
    </row>
    <row r="316" spans="5:6" ht="15.75" customHeight="1" x14ac:dyDescent="0.25">
      <c r="E316" s="1"/>
      <c r="F316" s="16"/>
    </row>
    <row r="317" spans="5:6" ht="15.75" customHeight="1" x14ac:dyDescent="0.25">
      <c r="E317" s="1"/>
      <c r="F317" s="16"/>
    </row>
    <row r="318" spans="5:6" ht="15.75" customHeight="1" x14ac:dyDescent="0.25">
      <c r="E318" s="1"/>
      <c r="F318" s="16"/>
    </row>
    <row r="319" spans="5:6" ht="15.75" customHeight="1" x14ac:dyDescent="0.25">
      <c r="E319" s="1"/>
      <c r="F319" s="16"/>
    </row>
    <row r="320" spans="5:6" ht="15.75" customHeight="1" x14ac:dyDescent="0.25">
      <c r="E320" s="1"/>
      <c r="F320" s="16"/>
    </row>
    <row r="321" spans="5:6" ht="15.75" customHeight="1" x14ac:dyDescent="0.25">
      <c r="E321" s="1"/>
      <c r="F321" s="16"/>
    </row>
    <row r="322" spans="5:6" ht="15.75" customHeight="1" x14ac:dyDescent="0.25">
      <c r="E322" s="1"/>
      <c r="F322" s="16"/>
    </row>
    <row r="323" spans="5:6" ht="15.75" customHeight="1" x14ac:dyDescent="0.25">
      <c r="E323" s="1"/>
      <c r="F323" s="16"/>
    </row>
    <row r="324" spans="5:6" ht="15.75" customHeight="1" x14ac:dyDescent="0.25">
      <c r="E324" s="1"/>
      <c r="F324" s="16"/>
    </row>
    <row r="325" spans="5:6" ht="15.75" customHeight="1" x14ac:dyDescent="0.25">
      <c r="E325" s="1"/>
      <c r="F325" s="16"/>
    </row>
    <row r="326" spans="5:6" ht="15.75" customHeight="1" x14ac:dyDescent="0.25">
      <c r="E326" s="1"/>
      <c r="F326" s="16"/>
    </row>
    <row r="327" spans="5:6" ht="15.75" customHeight="1" x14ac:dyDescent="0.25">
      <c r="E327" s="1"/>
      <c r="F327" s="16"/>
    </row>
    <row r="328" spans="5:6" ht="15.75" customHeight="1" x14ac:dyDescent="0.25">
      <c r="E328" s="1"/>
      <c r="F328" s="16"/>
    </row>
    <row r="329" spans="5:6" ht="15.75" customHeight="1" x14ac:dyDescent="0.25">
      <c r="E329" s="1"/>
      <c r="F329" s="16"/>
    </row>
    <row r="330" spans="5:6" ht="15.75" customHeight="1" x14ac:dyDescent="0.25">
      <c r="E330" s="1"/>
      <c r="F330" s="16"/>
    </row>
    <row r="331" spans="5:6" ht="15.75" customHeight="1" x14ac:dyDescent="0.25">
      <c r="E331" s="1"/>
      <c r="F331" s="16"/>
    </row>
    <row r="332" spans="5:6" ht="15.75" customHeight="1" x14ac:dyDescent="0.25">
      <c r="E332" s="1"/>
      <c r="F332" s="16"/>
    </row>
    <row r="333" spans="5:6" ht="15.75" customHeight="1" x14ac:dyDescent="0.25">
      <c r="E333" s="1"/>
      <c r="F333" s="16"/>
    </row>
    <row r="334" spans="5:6" ht="15.75" customHeight="1" x14ac:dyDescent="0.25">
      <c r="E334" s="1"/>
      <c r="F334" s="16"/>
    </row>
    <row r="335" spans="5:6" ht="15.75" customHeight="1" x14ac:dyDescent="0.25">
      <c r="E335" s="1"/>
      <c r="F335" s="16"/>
    </row>
    <row r="336" spans="5:6" ht="15.75" customHeight="1" x14ac:dyDescent="0.25">
      <c r="E336" s="1"/>
      <c r="F336" s="16"/>
    </row>
    <row r="337" spans="5:6" ht="15.75" customHeight="1" x14ac:dyDescent="0.25">
      <c r="E337" s="1"/>
      <c r="F337" s="16"/>
    </row>
    <row r="338" spans="5:6" ht="15.75" customHeight="1" x14ac:dyDescent="0.25">
      <c r="E338" s="1"/>
      <c r="F338" s="16"/>
    </row>
    <row r="339" spans="5:6" ht="15.75" customHeight="1" x14ac:dyDescent="0.25">
      <c r="E339" s="1"/>
      <c r="F339" s="16"/>
    </row>
    <row r="340" spans="5:6" ht="15.75" customHeight="1" x14ac:dyDescent="0.25">
      <c r="E340" s="1"/>
      <c r="F340" s="16"/>
    </row>
    <row r="341" spans="5:6" ht="15.75" customHeight="1" x14ac:dyDescent="0.25">
      <c r="E341" s="1"/>
      <c r="F341" s="16"/>
    </row>
    <row r="342" spans="5:6" ht="15.75" customHeight="1" x14ac:dyDescent="0.25">
      <c r="E342" s="1"/>
      <c r="F342" s="16"/>
    </row>
    <row r="343" spans="5:6" ht="15.75" customHeight="1" x14ac:dyDescent="0.25">
      <c r="E343" s="1"/>
      <c r="F343" s="16"/>
    </row>
    <row r="344" spans="5:6" ht="15.75" customHeight="1" x14ac:dyDescent="0.25">
      <c r="E344" s="1"/>
      <c r="F344" s="16"/>
    </row>
    <row r="345" spans="5:6" ht="15.75" customHeight="1" x14ac:dyDescent="0.25">
      <c r="E345" s="1"/>
      <c r="F345" s="16"/>
    </row>
    <row r="346" spans="5:6" ht="15.75" customHeight="1" x14ac:dyDescent="0.25">
      <c r="E346" s="1"/>
      <c r="F346" s="16"/>
    </row>
    <row r="347" spans="5:6" ht="15.75" customHeight="1" x14ac:dyDescent="0.25">
      <c r="E347" s="1"/>
      <c r="F347" s="16"/>
    </row>
    <row r="348" spans="5:6" ht="15.75" customHeight="1" x14ac:dyDescent="0.25">
      <c r="E348" s="1"/>
      <c r="F348" s="16"/>
    </row>
    <row r="349" spans="5:6" ht="15.75" customHeight="1" x14ac:dyDescent="0.25">
      <c r="E349" s="1"/>
      <c r="F349" s="16"/>
    </row>
    <row r="350" spans="5:6" ht="15.75" customHeight="1" x14ac:dyDescent="0.25">
      <c r="E350" s="1"/>
      <c r="F350" s="16"/>
    </row>
    <row r="351" spans="5:6" ht="15.75" customHeight="1" x14ac:dyDescent="0.25">
      <c r="E351" s="1"/>
      <c r="F351" s="16"/>
    </row>
    <row r="352" spans="5:6" ht="15.75" customHeight="1" x14ac:dyDescent="0.25">
      <c r="E352" s="1"/>
      <c r="F352" s="16"/>
    </row>
    <row r="353" spans="5:6" ht="15.75" customHeight="1" x14ac:dyDescent="0.25">
      <c r="E353" s="1"/>
      <c r="F353" s="16"/>
    </row>
    <row r="354" spans="5:6" ht="15.75" customHeight="1" x14ac:dyDescent="0.25">
      <c r="E354" s="1"/>
      <c r="F354" s="16"/>
    </row>
    <row r="355" spans="5:6" ht="15.75" customHeight="1" x14ac:dyDescent="0.25">
      <c r="E355" s="1"/>
      <c r="F355" s="16"/>
    </row>
    <row r="356" spans="5:6" ht="15.75" customHeight="1" x14ac:dyDescent="0.25">
      <c r="E356" s="1"/>
      <c r="F356" s="16"/>
    </row>
    <row r="357" spans="5:6" ht="15.75" customHeight="1" x14ac:dyDescent="0.25">
      <c r="E357" s="1"/>
      <c r="F357" s="16"/>
    </row>
    <row r="358" spans="5:6" ht="15.75" customHeight="1" x14ac:dyDescent="0.25">
      <c r="E358" s="1"/>
      <c r="F358" s="16"/>
    </row>
    <row r="359" spans="5:6" ht="15.75" customHeight="1" x14ac:dyDescent="0.25">
      <c r="E359" s="1"/>
      <c r="F359" s="16"/>
    </row>
    <row r="360" spans="5:6" ht="15.75" customHeight="1" x14ac:dyDescent="0.25">
      <c r="E360" s="1"/>
      <c r="F360" s="16"/>
    </row>
    <row r="361" spans="5:6" ht="15.75" customHeight="1" x14ac:dyDescent="0.25">
      <c r="E361" s="1"/>
      <c r="F361" s="16"/>
    </row>
    <row r="362" spans="5:6" ht="15.75" customHeight="1" x14ac:dyDescent="0.25">
      <c r="E362" s="1"/>
      <c r="F362" s="16"/>
    </row>
    <row r="363" spans="5:6" ht="15.75" customHeight="1" x14ac:dyDescent="0.25">
      <c r="E363" s="1"/>
      <c r="F363" s="16"/>
    </row>
    <row r="364" spans="5:6" ht="15.75" customHeight="1" x14ac:dyDescent="0.25">
      <c r="E364" s="1"/>
      <c r="F364" s="16"/>
    </row>
    <row r="365" spans="5:6" ht="15.75" customHeight="1" x14ac:dyDescent="0.25">
      <c r="E365" s="1"/>
      <c r="F365" s="16"/>
    </row>
    <row r="366" spans="5:6" ht="15.75" customHeight="1" x14ac:dyDescent="0.25">
      <c r="E366" s="1"/>
      <c r="F366" s="16"/>
    </row>
    <row r="367" spans="5:6" ht="15.75" customHeight="1" x14ac:dyDescent="0.25">
      <c r="E367" s="1"/>
      <c r="F367" s="16"/>
    </row>
    <row r="368" spans="5:6" ht="15.75" customHeight="1" x14ac:dyDescent="0.25">
      <c r="E368" s="1"/>
      <c r="F368" s="16"/>
    </row>
    <row r="369" spans="5:6" ht="15.75" customHeight="1" x14ac:dyDescent="0.25">
      <c r="E369" s="1"/>
      <c r="F369" s="16"/>
    </row>
    <row r="370" spans="5:6" ht="15.75" customHeight="1" x14ac:dyDescent="0.25">
      <c r="E370" s="1"/>
      <c r="F370" s="16"/>
    </row>
    <row r="371" spans="5:6" ht="15.75" customHeight="1" x14ac:dyDescent="0.25">
      <c r="E371" s="1"/>
      <c r="F371" s="16"/>
    </row>
    <row r="372" spans="5:6" ht="15.75" customHeight="1" x14ac:dyDescent="0.25">
      <c r="E372" s="1"/>
      <c r="F372" s="16"/>
    </row>
    <row r="373" spans="5:6" ht="15.75" customHeight="1" x14ac:dyDescent="0.25">
      <c r="E373" s="1"/>
      <c r="F373" s="16"/>
    </row>
    <row r="374" spans="5:6" ht="15.75" customHeight="1" x14ac:dyDescent="0.25">
      <c r="E374" s="1"/>
      <c r="F374" s="16"/>
    </row>
    <row r="375" spans="5:6" ht="15.75" customHeight="1" x14ac:dyDescent="0.25">
      <c r="E375" s="1"/>
      <c r="F375" s="16"/>
    </row>
    <row r="376" spans="5:6" ht="15.75" customHeight="1" x14ac:dyDescent="0.25">
      <c r="E376" s="1"/>
      <c r="F376" s="16"/>
    </row>
    <row r="377" spans="5:6" ht="15.75" customHeight="1" x14ac:dyDescent="0.25">
      <c r="E377" s="1"/>
      <c r="F377" s="16"/>
    </row>
    <row r="378" spans="5:6" ht="15.75" customHeight="1" x14ac:dyDescent="0.25">
      <c r="E378" s="1"/>
      <c r="F378" s="16"/>
    </row>
    <row r="379" spans="5:6" ht="15.75" customHeight="1" x14ac:dyDescent="0.25">
      <c r="E379" s="1"/>
      <c r="F379" s="16"/>
    </row>
    <row r="380" spans="5:6" ht="15.75" customHeight="1" x14ac:dyDescent="0.25">
      <c r="E380" s="1"/>
      <c r="F380" s="16"/>
    </row>
    <row r="381" spans="5:6" ht="15.75" customHeight="1" x14ac:dyDescent="0.25">
      <c r="E381" s="1"/>
      <c r="F381" s="16"/>
    </row>
    <row r="382" spans="5:6" ht="15.75" customHeight="1" x14ac:dyDescent="0.25">
      <c r="E382" s="1"/>
      <c r="F382" s="16"/>
    </row>
    <row r="383" spans="5:6" ht="15.75" customHeight="1" x14ac:dyDescent="0.25">
      <c r="E383" s="1"/>
      <c r="F383" s="16"/>
    </row>
    <row r="384" spans="5:6" ht="15.75" customHeight="1" x14ac:dyDescent="0.25">
      <c r="E384" s="1"/>
      <c r="F384" s="16"/>
    </row>
    <row r="385" spans="5:6" ht="15.75" customHeight="1" x14ac:dyDescent="0.25">
      <c r="E385" s="1"/>
      <c r="F385" s="16"/>
    </row>
    <row r="386" spans="5:6" ht="15.75" customHeight="1" x14ac:dyDescent="0.25">
      <c r="E386" s="1"/>
      <c r="F386" s="16"/>
    </row>
    <row r="387" spans="5:6" ht="15.75" customHeight="1" x14ac:dyDescent="0.25">
      <c r="E387" s="1"/>
      <c r="F387" s="16"/>
    </row>
    <row r="388" spans="5:6" ht="15.75" customHeight="1" x14ac:dyDescent="0.25">
      <c r="E388" s="1"/>
      <c r="F388" s="16"/>
    </row>
    <row r="389" spans="5:6" ht="15.75" customHeight="1" x14ac:dyDescent="0.25">
      <c r="E389" s="1"/>
      <c r="F389" s="16"/>
    </row>
    <row r="390" spans="5:6" ht="15.75" customHeight="1" x14ac:dyDescent="0.25">
      <c r="E390" s="1"/>
      <c r="F390" s="16"/>
    </row>
    <row r="391" spans="5:6" ht="15.75" customHeight="1" x14ac:dyDescent="0.25">
      <c r="E391" s="1"/>
      <c r="F391" s="16"/>
    </row>
    <row r="392" spans="5:6" ht="15.75" customHeight="1" x14ac:dyDescent="0.25">
      <c r="E392" s="1"/>
      <c r="F392" s="16"/>
    </row>
    <row r="393" spans="5:6" ht="15.75" customHeight="1" x14ac:dyDescent="0.25">
      <c r="E393" s="1"/>
      <c r="F393" s="16"/>
    </row>
    <row r="394" spans="5:6" ht="15.75" customHeight="1" x14ac:dyDescent="0.25">
      <c r="E394" s="1"/>
      <c r="F394" s="16"/>
    </row>
    <row r="395" spans="5:6" ht="15.75" customHeight="1" x14ac:dyDescent="0.25">
      <c r="E395" s="1"/>
      <c r="F395" s="16"/>
    </row>
    <row r="396" spans="5:6" ht="15.75" customHeight="1" x14ac:dyDescent="0.25">
      <c r="E396" s="1"/>
      <c r="F396" s="16"/>
    </row>
    <row r="397" spans="5:6" ht="15.75" customHeight="1" x14ac:dyDescent="0.25">
      <c r="E397" s="1"/>
      <c r="F397" s="16"/>
    </row>
    <row r="398" spans="5:6" ht="15.75" customHeight="1" x14ac:dyDescent="0.25">
      <c r="E398" s="1"/>
      <c r="F398" s="16"/>
    </row>
    <row r="399" spans="5:6" ht="15.75" customHeight="1" x14ac:dyDescent="0.25">
      <c r="E399" s="1"/>
      <c r="F399" s="16"/>
    </row>
    <row r="400" spans="5:6" ht="15.75" customHeight="1" x14ac:dyDescent="0.25">
      <c r="E400" s="1"/>
      <c r="F400" s="16"/>
    </row>
    <row r="401" spans="5:6" ht="15.75" customHeight="1" x14ac:dyDescent="0.25">
      <c r="E401" s="1"/>
      <c r="F401" s="16"/>
    </row>
    <row r="402" spans="5:6" ht="15.75" customHeight="1" x14ac:dyDescent="0.25">
      <c r="E402" s="1"/>
      <c r="F402" s="16"/>
    </row>
    <row r="403" spans="5:6" ht="15.75" customHeight="1" x14ac:dyDescent="0.25">
      <c r="E403" s="1"/>
      <c r="F403" s="16"/>
    </row>
    <row r="404" spans="5:6" ht="15.75" customHeight="1" x14ac:dyDescent="0.25">
      <c r="E404" s="1"/>
      <c r="F404" s="16"/>
    </row>
    <row r="405" spans="5:6" ht="15.75" customHeight="1" x14ac:dyDescent="0.25">
      <c r="E405" s="1"/>
      <c r="F405" s="16"/>
    </row>
    <row r="406" spans="5:6" ht="15.75" customHeight="1" x14ac:dyDescent="0.25">
      <c r="E406" s="1"/>
      <c r="F406" s="16"/>
    </row>
    <row r="407" spans="5:6" ht="15.75" customHeight="1" x14ac:dyDescent="0.25">
      <c r="E407" s="1"/>
      <c r="F407" s="16"/>
    </row>
    <row r="408" spans="5:6" ht="15.75" customHeight="1" x14ac:dyDescent="0.25">
      <c r="E408" s="1"/>
      <c r="F408" s="16"/>
    </row>
    <row r="409" spans="5:6" ht="15.75" customHeight="1" x14ac:dyDescent="0.25">
      <c r="E409" s="1"/>
      <c r="F409" s="16"/>
    </row>
    <row r="410" spans="5:6" ht="15.75" customHeight="1" x14ac:dyDescent="0.25">
      <c r="E410" s="1"/>
      <c r="F410" s="16"/>
    </row>
    <row r="411" spans="5:6" ht="15.75" customHeight="1" x14ac:dyDescent="0.25">
      <c r="E411" s="1"/>
      <c r="F411" s="16"/>
    </row>
    <row r="412" spans="5:6" ht="15.75" customHeight="1" x14ac:dyDescent="0.25">
      <c r="E412" s="1"/>
      <c r="F412" s="16"/>
    </row>
    <row r="413" spans="5:6" ht="15.75" customHeight="1" x14ac:dyDescent="0.25">
      <c r="E413" s="1"/>
      <c r="F413" s="16"/>
    </row>
    <row r="414" spans="5:6" ht="15.75" customHeight="1" x14ac:dyDescent="0.25">
      <c r="E414" s="1"/>
      <c r="F414" s="16"/>
    </row>
    <row r="415" spans="5:6" ht="15.75" customHeight="1" x14ac:dyDescent="0.25">
      <c r="E415" s="1"/>
      <c r="F415" s="16"/>
    </row>
    <row r="416" spans="5:6" ht="15.75" customHeight="1" x14ac:dyDescent="0.25">
      <c r="E416" s="1"/>
      <c r="F416" s="16"/>
    </row>
    <row r="417" spans="5:6" ht="15.75" customHeight="1" x14ac:dyDescent="0.25">
      <c r="E417" s="1"/>
      <c r="F417" s="16"/>
    </row>
    <row r="418" spans="5:6" ht="15.75" customHeight="1" x14ac:dyDescent="0.25">
      <c r="E418" s="1"/>
      <c r="F418" s="16"/>
    </row>
    <row r="419" spans="5:6" ht="15.75" customHeight="1" x14ac:dyDescent="0.25">
      <c r="E419" s="1"/>
      <c r="F419" s="16"/>
    </row>
    <row r="420" spans="5:6" ht="15.75" customHeight="1" x14ac:dyDescent="0.25">
      <c r="E420" s="1"/>
      <c r="F420" s="16"/>
    </row>
    <row r="421" spans="5:6" ht="15.75" customHeight="1" x14ac:dyDescent="0.25">
      <c r="E421" s="1"/>
      <c r="F421" s="16"/>
    </row>
    <row r="422" spans="5:6" ht="15.75" customHeight="1" x14ac:dyDescent="0.25">
      <c r="E422" s="1"/>
      <c r="F422" s="16"/>
    </row>
    <row r="423" spans="5:6" ht="15.75" customHeight="1" x14ac:dyDescent="0.25">
      <c r="E423" s="1"/>
      <c r="F423" s="16"/>
    </row>
    <row r="424" spans="5:6" ht="15.75" customHeight="1" x14ac:dyDescent="0.25">
      <c r="E424" s="1"/>
      <c r="F424" s="16"/>
    </row>
    <row r="425" spans="5:6" ht="15.75" customHeight="1" x14ac:dyDescent="0.25">
      <c r="E425" s="1"/>
      <c r="F425" s="16"/>
    </row>
    <row r="426" spans="5:6" ht="15.75" customHeight="1" x14ac:dyDescent="0.25">
      <c r="E426" s="1"/>
      <c r="F426" s="16"/>
    </row>
    <row r="427" spans="5:6" ht="15.75" customHeight="1" x14ac:dyDescent="0.25">
      <c r="E427" s="1"/>
      <c r="F427" s="16"/>
    </row>
    <row r="428" spans="5:6" ht="15.75" customHeight="1" x14ac:dyDescent="0.25">
      <c r="E428" s="1"/>
      <c r="F428" s="16"/>
    </row>
    <row r="429" spans="5:6" ht="15.75" customHeight="1" x14ac:dyDescent="0.25">
      <c r="E429" s="1"/>
      <c r="F429" s="16"/>
    </row>
    <row r="430" spans="5:6" ht="15.75" customHeight="1" x14ac:dyDescent="0.25">
      <c r="E430" s="1"/>
      <c r="F430" s="16"/>
    </row>
    <row r="431" spans="5:6" ht="15.75" customHeight="1" x14ac:dyDescent="0.25">
      <c r="E431" s="1"/>
      <c r="F431" s="16"/>
    </row>
    <row r="432" spans="5:6" ht="15.75" customHeight="1" x14ac:dyDescent="0.25">
      <c r="E432" s="1"/>
      <c r="F432" s="16"/>
    </row>
    <row r="433" spans="5:6" ht="15.75" customHeight="1" x14ac:dyDescent="0.25">
      <c r="E433" s="1"/>
      <c r="F433" s="16"/>
    </row>
    <row r="434" spans="5:6" ht="15.75" customHeight="1" x14ac:dyDescent="0.25">
      <c r="E434" s="1"/>
      <c r="F434" s="16"/>
    </row>
    <row r="435" spans="5:6" ht="15.75" customHeight="1" x14ac:dyDescent="0.25">
      <c r="E435" s="1"/>
      <c r="F435" s="16"/>
    </row>
    <row r="436" spans="5:6" ht="15.75" customHeight="1" x14ac:dyDescent="0.25">
      <c r="E436" s="1"/>
      <c r="F436" s="16"/>
    </row>
    <row r="437" spans="5:6" ht="15.75" customHeight="1" x14ac:dyDescent="0.25">
      <c r="E437" s="1"/>
      <c r="F437" s="16"/>
    </row>
    <row r="438" spans="5:6" ht="15.75" customHeight="1" x14ac:dyDescent="0.25">
      <c r="E438" s="1"/>
      <c r="F438" s="16"/>
    </row>
    <row r="439" spans="5:6" ht="15.75" customHeight="1" x14ac:dyDescent="0.25">
      <c r="E439" s="1"/>
      <c r="F439" s="16"/>
    </row>
    <row r="440" spans="5:6" ht="15.75" customHeight="1" x14ac:dyDescent="0.25">
      <c r="E440" s="1"/>
      <c r="F440" s="16"/>
    </row>
    <row r="441" spans="5:6" ht="15.75" customHeight="1" x14ac:dyDescent="0.25">
      <c r="E441" s="1"/>
      <c r="F441" s="16"/>
    </row>
    <row r="442" spans="5:6" ht="15.75" customHeight="1" x14ac:dyDescent="0.25">
      <c r="E442" s="1"/>
      <c r="F442" s="16"/>
    </row>
    <row r="443" spans="5:6" ht="15.75" customHeight="1" x14ac:dyDescent="0.25">
      <c r="E443" s="1"/>
      <c r="F443" s="16"/>
    </row>
    <row r="444" spans="5:6" ht="15.75" customHeight="1" x14ac:dyDescent="0.25">
      <c r="E444" s="1"/>
      <c r="F444" s="16"/>
    </row>
    <row r="445" spans="5:6" ht="15.75" customHeight="1" x14ac:dyDescent="0.25">
      <c r="E445" s="1"/>
      <c r="F445" s="16"/>
    </row>
    <row r="446" spans="5:6" ht="15.75" customHeight="1" x14ac:dyDescent="0.25">
      <c r="E446" s="1"/>
      <c r="F446" s="16"/>
    </row>
    <row r="447" spans="5:6" ht="15.75" customHeight="1" x14ac:dyDescent="0.25">
      <c r="E447" s="1"/>
      <c r="F447" s="16"/>
    </row>
    <row r="448" spans="5:6" ht="15.75" customHeight="1" x14ac:dyDescent="0.25">
      <c r="E448" s="1"/>
      <c r="F448" s="16"/>
    </row>
    <row r="449" spans="5:6" ht="15.75" customHeight="1" x14ac:dyDescent="0.25">
      <c r="E449" s="1"/>
      <c r="F449" s="16"/>
    </row>
    <row r="450" spans="5:6" ht="15.75" customHeight="1" x14ac:dyDescent="0.25">
      <c r="E450" s="1"/>
      <c r="F450" s="16"/>
    </row>
    <row r="451" spans="5:6" ht="15.75" customHeight="1" x14ac:dyDescent="0.25">
      <c r="E451" s="1"/>
      <c r="F451" s="16"/>
    </row>
    <row r="452" spans="5:6" ht="15.75" customHeight="1" x14ac:dyDescent="0.25">
      <c r="E452" s="1"/>
      <c r="F452" s="16"/>
    </row>
    <row r="453" spans="5:6" ht="15.75" customHeight="1" x14ac:dyDescent="0.25">
      <c r="E453" s="1"/>
      <c r="F453" s="16"/>
    </row>
    <row r="454" spans="5:6" ht="15.75" customHeight="1" x14ac:dyDescent="0.25">
      <c r="E454" s="1"/>
      <c r="F454" s="16"/>
    </row>
    <row r="455" spans="5:6" ht="15.75" customHeight="1" x14ac:dyDescent="0.25">
      <c r="E455" s="1"/>
      <c r="F455" s="16"/>
    </row>
    <row r="456" spans="5:6" ht="15.75" customHeight="1" x14ac:dyDescent="0.25">
      <c r="E456" s="1"/>
      <c r="F456" s="16"/>
    </row>
    <row r="457" spans="5:6" ht="15.75" customHeight="1" x14ac:dyDescent="0.25">
      <c r="E457" s="1"/>
      <c r="F457" s="16"/>
    </row>
    <row r="458" spans="5:6" ht="15.75" customHeight="1" x14ac:dyDescent="0.25">
      <c r="E458" s="1"/>
      <c r="F458" s="16"/>
    </row>
    <row r="459" spans="5:6" ht="15.75" customHeight="1" x14ac:dyDescent="0.25">
      <c r="E459" s="1"/>
      <c r="F459" s="16"/>
    </row>
    <row r="460" spans="5:6" ht="15.75" customHeight="1" x14ac:dyDescent="0.25">
      <c r="E460" s="1"/>
      <c r="F460" s="16"/>
    </row>
    <row r="461" spans="5:6" ht="15.75" customHeight="1" x14ac:dyDescent="0.25">
      <c r="E461" s="1"/>
      <c r="F461" s="16"/>
    </row>
    <row r="462" spans="5:6" ht="15.75" customHeight="1" x14ac:dyDescent="0.25">
      <c r="E462" s="1"/>
      <c r="F462" s="16"/>
    </row>
    <row r="463" spans="5:6" ht="15.75" customHeight="1" x14ac:dyDescent="0.25">
      <c r="E463" s="1"/>
      <c r="F463" s="16"/>
    </row>
    <row r="464" spans="5:6" ht="15.75" customHeight="1" x14ac:dyDescent="0.25">
      <c r="E464" s="1"/>
      <c r="F464" s="16"/>
    </row>
    <row r="465" spans="5:6" ht="15.75" customHeight="1" x14ac:dyDescent="0.25">
      <c r="E465" s="1"/>
      <c r="F465" s="16"/>
    </row>
    <row r="466" spans="5:6" ht="15.75" customHeight="1" x14ac:dyDescent="0.25">
      <c r="E466" s="1"/>
      <c r="F466" s="16"/>
    </row>
    <row r="467" spans="5:6" ht="15.75" customHeight="1" x14ac:dyDescent="0.25">
      <c r="E467" s="1"/>
      <c r="F467" s="16"/>
    </row>
    <row r="468" spans="5:6" ht="15.75" customHeight="1" x14ac:dyDescent="0.25">
      <c r="E468" s="1"/>
      <c r="F468" s="16"/>
    </row>
    <row r="469" spans="5:6" ht="15.75" customHeight="1" x14ac:dyDescent="0.25">
      <c r="E469" s="1"/>
      <c r="F469" s="16"/>
    </row>
    <row r="470" spans="5:6" ht="15.75" customHeight="1" x14ac:dyDescent="0.25">
      <c r="E470" s="1"/>
      <c r="F470" s="16"/>
    </row>
    <row r="471" spans="5:6" ht="15.75" customHeight="1" x14ac:dyDescent="0.25">
      <c r="E471" s="1"/>
      <c r="F471" s="16"/>
    </row>
    <row r="472" spans="5:6" ht="15.75" customHeight="1" x14ac:dyDescent="0.25">
      <c r="E472" s="1"/>
      <c r="F472" s="16"/>
    </row>
    <row r="473" spans="5:6" ht="15.75" customHeight="1" x14ac:dyDescent="0.25">
      <c r="E473" s="1"/>
      <c r="F473" s="16"/>
    </row>
    <row r="474" spans="5:6" ht="15.75" customHeight="1" x14ac:dyDescent="0.25">
      <c r="E474" s="1"/>
      <c r="F474" s="16"/>
    </row>
    <row r="475" spans="5:6" ht="15.75" customHeight="1" x14ac:dyDescent="0.25">
      <c r="E475" s="1"/>
      <c r="F475" s="16"/>
    </row>
    <row r="476" spans="5:6" ht="15.75" customHeight="1" x14ac:dyDescent="0.25">
      <c r="E476" s="1"/>
      <c r="F476" s="16"/>
    </row>
    <row r="477" spans="5:6" ht="15.75" customHeight="1" x14ac:dyDescent="0.25">
      <c r="E477" s="1"/>
      <c r="F477" s="16"/>
    </row>
    <row r="478" spans="5:6" ht="15.75" customHeight="1" x14ac:dyDescent="0.25">
      <c r="E478" s="1"/>
      <c r="F478" s="16"/>
    </row>
    <row r="479" spans="5:6" ht="15.75" customHeight="1" x14ac:dyDescent="0.25">
      <c r="E479" s="1"/>
      <c r="F479" s="16"/>
    </row>
    <row r="480" spans="5:6" ht="15.75" customHeight="1" x14ac:dyDescent="0.25">
      <c r="E480" s="1"/>
      <c r="F480" s="16"/>
    </row>
    <row r="481" spans="5:6" ht="15.75" customHeight="1" x14ac:dyDescent="0.25">
      <c r="E481" s="1"/>
      <c r="F481" s="16"/>
    </row>
    <row r="482" spans="5:6" ht="15.75" customHeight="1" x14ac:dyDescent="0.25">
      <c r="E482" s="1"/>
      <c r="F482" s="16"/>
    </row>
    <row r="483" spans="5:6" ht="15.75" customHeight="1" x14ac:dyDescent="0.25">
      <c r="E483" s="1"/>
      <c r="F483" s="16"/>
    </row>
    <row r="484" spans="5:6" ht="15.75" customHeight="1" x14ac:dyDescent="0.25">
      <c r="E484" s="1"/>
      <c r="F484" s="16"/>
    </row>
    <row r="485" spans="5:6" ht="15.75" customHeight="1" x14ac:dyDescent="0.25">
      <c r="E485" s="1"/>
      <c r="F485" s="16"/>
    </row>
    <row r="486" spans="5:6" ht="15.75" customHeight="1" x14ac:dyDescent="0.25">
      <c r="E486" s="1"/>
      <c r="F486" s="16"/>
    </row>
    <row r="487" spans="5:6" ht="15.75" customHeight="1" x14ac:dyDescent="0.25">
      <c r="E487" s="1"/>
      <c r="F487" s="16"/>
    </row>
    <row r="488" spans="5:6" ht="15.75" customHeight="1" x14ac:dyDescent="0.25">
      <c r="E488" s="1"/>
      <c r="F488" s="16"/>
    </row>
    <row r="489" spans="5:6" ht="15.75" customHeight="1" x14ac:dyDescent="0.25">
      <c r="E489" s="1"/>
      <c r="F489" s="16"/>
    </row>
    <row r="490" spans="5:6" ht="15.75" customHeight="1" x14ac:dyDescent="0.25">
      <c r="E490" s="1"/>
      <c r="F490" s="16"/>
    </row>
    <row r="491" spans="5:6" ht="15.75" customHeight="1" x14ac:dyDescent="0.25">
      <c r="E491" s="1"/>
      <c r="F491" s="16"/>
    </row>
    <row r="492" spans="5:6" ht="15.75" customHeight="1" x14ac:dyDescent="0.25">
      <c r="E492" s="1"/>
      <c r="F492" s="16"/>
    </row>
    <row r="493" spans="5:6" ht="15.75" customHeight="1" x14ac:dyDescent="0.25">
      <c r="E493" s="1"/>
      <c r="F493" s="16"/>
    </row>
    <row r="494" spans="5:6" ht="15.75" customHeight="1" x14ac:dyDescent="0.25">
      <c r="E494" s="1"/>
      <c r="F494" s="16"/>
    </row>
    <row r="495" spans="5:6" ht="15.75" customHeight="1" x14ac:dyDescent="0.25">
      <c r="E495" s="1"/>
      <c r="F495" s="16"/>
    </row>
    <row r="496" spans="5:6" ht="15.75" customHeight="1" x14ac:dyDescent="0.25">
      <c r="E496" s="1"/>
      <c r="F496" s="16"/>
    </row>
    <row r="497" spans="5:6" ht="15.75" customHeight="1" x14ac:dyDescent="0.25">
      <c r="E497" s="1"/>
      <c r="F497" s="16"/>
    </row>
    <row r="498" spans="5:6" ht="15.75" customHeight="1" x14ac:dyDescent="0.25">
      <c r="E498" s="1"/>
      <c r="F498" s="16"/>
    </row>
    <row r="499" spans="5:6" ht="15.75" customHeight="1" x14ac:dyDescent="0.25">
      <c r="E499" s="1"/>
      <c r="F499" s="16"/>
    </row>
    <row r="500" spans="5:6" ht="15.75" customHeight="1" x14ac:dyDescent="0.25">
      <c r="E500" s="1"/>
      <c r="F500" s="16"/>
    </row>
    <row r="501" spans="5:6" ht="15.75" customHeight="1" x14ac:dyDescent="0.25">
      <c r="E501" s="1"/>
      <c r="F501" s="16"/>
    </row>
    <row r="502" spans="5:6" ht="15.75" customHeight="1" x14ac:dyDescent="0.25">
      <c r="E502" s="1"/>
      <c r="F502" s="16"/>
    </row>
    <row r="503" spans="5:6" ht="15.75" customHeight="1" x14ac:dyDescent="0.25">
      <c r="E503" s="1"/>
      <c r="F503" s="16"/>
    </row>
    <row r="504" spans="5:6" ht="15.75" customHeight="1" x14ac:dyDescent="0.25">
      <c r="E504" s="1"/>
      <c r="F504" s="16"/>
    </row>
    <row r="505" spans="5:6" ht="15.75" customHeight="1" x14ac:dyDescent="0.25">
      <c r="E505" s="1"/>
      <c r="F505" s="16"/>
    </row>
    <row r="506" spans="5:6" ht="15.75" customHeight="1" x14ac:dyDescent="0.25">
      <c r="E506" s="1"/>
      <c r="F506" s="16"/>
    </row>
    <row r="507" spans="5:6" ht="15.75" customHeight="1" x14ac:dyDescent="0.25">
      <c r="E507" s="1"/>
      <c r="F507" s="16"/>
    </row>
    <row r="508" spans="5:6" ht="15.75" customHeight="1" x14ac:dyDescent="0.25">
      <c r="E508" s="1"/>
      <c r="F508" s="16"/>
    </row>
    <row r="509" spans="5:6" ht="15.75" customHeight="1" x14ac:dyDescent="0.25">
      <c r="E509" s="1"/>
      <c r="F509" s="16"/>
    </row>
    <row r="510" spans="5:6" ht="15.75" customHeight="1" x14ac:dyDescent="0.25">
      <c r="E510" s="1"/>
      <c r="F510" s="16"/>
    </row>
    <row r="511" spans="5:6" ht="15.75" customHeight="1" x14ac:dyDescent="0.25">
      <c r="E511" s="1"/>
      <c r="F511" s="16"/>
    </row>
    <row r="512" spans="5:6" ht="15.75" customHeight="1" x14ac:dyDescent="0.25">
      <c r="E512" s="1"/>
      <c r="F512" s="16"/>
    </row>
    <row r="513" spans="5:6" ht="15.75" customHeight="1" x14ac:dyDescent="0.25">
      <c r="E513" s="1"/>
      <c r="F513" s="16"/>
    </row>
    <row r="514" spans="5:6" ht="15.75" customHeight="1" x14ac:dyDescent="0.25">
      <c r="E514" s="1"/>
      <c r="F514" s="16"/>
    </row>
    <row r="515" spans="5:6" ht="15.75" customHeight="1" x14ac:dyDescent="0.25">
      <c r="E515" s="1"/>
      <c r="F515" s="16"/>
    </row>
    <row r="516" spans="5:6" ht="15.75" customHeight="1" x14ac:dyDescent="0.25">
      <c r="E516" s="1"/>
      <c r="F516" s="16"/>
    </row>
    <row r="517" spans="5:6" ht="15.75" customHeight="1" x14ac:dyDescent="0.25">
      <c r="E517" s="1"/>
      <c r="F517" s="16"/>
    </row>
    <row r="518" spans="5:6" ht="15.75" customHeight="1" x14ac:dyDescent="0.25">
      <c r="E518" s="1"/>
      <c r="F518" s="16"/>
    </row>
    <row r="519" spans="5:6" ht="15.75" customHeight="1" x14ac:dyDescent="0.25">
      <c r="E519" s="1"/>
      <c r="F519" s="16"/>
    </row>
    <row r="520" spans="5:6" ht="15.75" customHeight="1" x14ac:dyDescent="0.25">
      <c r="E520" s="1"/>
      <c r="F520" s="16"/>
    </row>
    <row r="521" spans="5:6" ht="15.75" customHeight="1" x14ac:dyDescent="0.25">
      <c r="E521" s="1"/>
      <c r="F521" s="16"/>
    </row>
    <row r="522" spans="5:6" ht="15.75" customHeight="1" x14ac:dyDescent="0.25">
      <c r="E522" s="1"/>
      <c r="F522" s="16"/>
    </row>
    <row r="523" spans="5:6" ht="15.75" customHeight="1" x14ac:dyDescent="0.25">
      <c r="E523" s="1"/>
      <c r="F523" s="16"/>
    </row>
    <row r="524" spans="5:6" ht="15.75" customHeight="1" x14ac:dyDescent="0.25">
      <c r="E524" s="1"/>
      <c r="F524" s="16"/>
    </row>
    <row r="525" spans="5:6" ht="15.75" customHeight="1" x14ac:dyDescent="0.25">
      <c r="E525" s="1"/>
      <c r="F525" s="16"/>
    </row>
    <row r="526" spans="5:6" ht="15.75" customHeight="1" x14ac:dyDescent="0.25">
      <c r="E526" s="1"/>
      <c r="F526" s="16"/>
    </row>
    <row r="527" spans="5:6" ht="15.75" customHeight="1" x14ac:dyDescent="0.25">
      <c r="E527" s="1"/>
      <c r="F527" s="16"/>
    </row>
    <row r="528" spans="5:6" ht="15.75" customHeight="1" x14ac:dyDescent="0.25">
      <c r="E528" s="1"/>
      <c r="F528" s="16"/>
    </row>
    <row r="529" spans="5:6" ht="15.75" customHeight="1" x14ac:dyDescent="0.25">
      <c r="E529" s="1"/>
      <c r="F529" s="16"/>
    </row>
    <row r="530" spans="5:6" ht="15.75" customHeight="1" x14ac:dyDescent="0.25">
      <c r="E530" s="1"/>
      <c r="F530" s="16"/>
    </row>
    <row r="531" spans="5:6" ht="15.75" customHeight="1" x14ac:dyDescent="0.25">
      <c r="E531" s="1"/>
      <c r="F531" s="16"/>
    </row>
    <row r="532" spans="5:6" ht="15.75" customHeight="1" x14ac:dyDescent="0.25">
      <c r="E532" s="1"/>
      <c r="F532" s="16"/>
    </row>
    <row r="533" spans="5:6" ht="15.75" customHeight="1" x14ac:dyDescent="0.25">
      <c r="E533" s="1"/>
      <c r="F533" s="16"/>
    </row>
    <row r="534" spans="5:6" ht="15.75" customHeight="1" x14ac:dyDescent="0.25">
      <c r="E534" s="1"/>
      <c r="F534" s="16"/>
    </row>
    <row r="535" spans="5:6" ht="15.75" customHeight="1" x14ac:dyDescent="0.25">
      <c r="E535" s="1"/>
      <c r="F535" s="16"/>
    </row>
    <row r="536" spans="5:6" ht="15.75" customHeight="1" x14ac:dyDescent="0.25">
      <c r="E536" s="1"/>
      <c r="F536" s="16"/>
    </row>
    <row r="537" spans="5:6" ht="15.75" customHeight="1" x14ac:dyDescent="0.25">
      <c r="E537" s="1"/>
      <c r="F537" s="16"/>
    </row>
    <row r="538" spans="5:6" ht="15.75" customHeight="1" x14ac:dyDescent="0.25">
      <c r="E538" s="1"/>
      <c r="F538" s="16"/>
    </row>
    <row r="539" spans="5:6" ht="15.75" customHeight="1" x14ac:dyDescent="0.25">
      <c r="E539" s="1"/>
      <c r="F539" s="16"/>
    </row>
    <row r="540" spans="5:6" ht="15.75" customHeight="1" x14ac:dyDescent="0.25">
      <c r="E540" s="1"/>
      <c r="F540" s="16"/>
    </row>
    <row r="541" spans="5:6" ht="15.75" customHeight="1" x14ac:dyDescent="0.25">
      <c r="E541" s="1"/>
      <c r="F541" s="16"/>
    </row>
    <row r="542" spans="5:6" ht="15.75" customHeight="1" x14ac:dyDescent="0.25">
      <c r="E542" s="1"/>
      <c r="F542" s="16"/>
    </row>
    <row r="543" spans="5:6" ht="15.75" customHeight="1" x14ac:dyDescent="0.25">
      <c r="E543" s="1"/>
      <c r="F543" s="16"/>
    </row>
    <row r="544" spans="5:6" ht="15.75" customHeight="1" x14ac:dyDescent="0.25">
      <c r="E544" s="1"/>
      <c r="F544" s="16"/>
    </row>
    <row r="545" spans="5:6" ht="15.75" customHeight="1" x14ac:dyDescent="0.25">
      <c r="E545" s="1"/>
      <c r="F545" s="16"/>
    </row>
    <row r="546" spans="5:6" ht="15.75" customHeight="1" x14ac:dyDescent="0.25">
      <c r="E546" s="1"/>
      <c r="F546" s="16"/>
    </row>
    <row r="547" spans="5:6" ht="15.75" customHeight="1" x14ac:dyDescent="0.25">
      <c r="E547" s="1"/>
      <c r="F547" s="16"/>
    </row>
    <row r="548" spans="5:6" ht="15.75" customHeight="1" x14ac:dyDescent="0.25">
      <c r="E548" s="1"/>
      <c r="F548" s="16"/>
    </row>
    <row r="549" spans="5:6" ht="15.75" customHeight="1" x14ac:dyDescent="0.25">
      <c r="E549" s="1"/>
      <c r="F549" s="16"/>
    </row>
    <row r="550" spans="5:6" ht="15.75" customHeight="1" x14ac:dyDescent="0.25">
      <c r="E550" s="1"/>
      <c r="F550" s="16"/>
    </row>
    <row r="551" spans="5:6" ht="15.75" customHeight="1" x14ac:dyDescent="0.25">
      <c r="E551" s="1"/>
      <c r="F551" s="16"/>
    </row>
    <row r="552" spans="5:6" ht="15.75" customHeight="1" x14ac:dyDescent="0.25">
      <c r="E552" s="1"/>
      <c r="F552" s="16"/>
    </row>
    <row r="553" spans="5:6" ht="15.75" customHeight="1" x14ac:dyDescent="0.25">
      <c r="E553" s="1"/>
      <c r="F553" s="16"/>
    </row>
    <row r="554" spans="5:6" ht="15.75" customHeight="1" x14ac:dyDescent="0.25">
      <c r="E554" s="1"/>
      <c r="F554" s="16"/>
    </row>
    <row r="555" spans="5:6" ht="15.75" customHeight="1" x14ac:dyDescent="0.25">
      <c r="E555" s="1"/>
      <c r="F555" s="16"/>
    </row>
    <row r="556" spans="5:6" ht="15.75" customHeight="1" x14ac:dyDescent="0.25">
      <c r="E556" s="1"/>
      <c r="F556" s="16"/>
    </row>
    <row r="557" spans="5:6" ht="15.75" customHeight="1" x14ac:dyDescent="0.25">
      <c r="E557" s="1"/>
      <c r="F557" s="16"/>
    </row>
    <row r="558" spans="5:6" ht="15.75" customHeight="1" x14ac:dyDescent="0.25">
      <c r="E558" s="1"/>
      <c r="F558" s="16"/>
    </row>
    <row r="559" spans="5:6" ht="15.75" customHeight="1" x14ac:dyDescent="0.25">
      <c r="E559" s="1"/>
      <c r="F559" s="16"/>
    </row>
    <row r="560" spans="5:6" ht="15.75" customHeight="1" x14ac:dyDescent="0.25">
      <c r="E560" s="1"/>
      <c r="F560" s="16"/>
    </row>
    <row r="561" spans="5:6" ht="15.75" customHeight="1" x14ac:dyDescent="0.25">
      <c r="E561" s="1"/>
      <c r="F561" s="16"/>
    </row>
    <row r="562" spans="5:6" ht="15.75" customHeight="1" x14ac:dyDescent="0.25">
      <c r="E562" s="1"/>
      <c r="F562" s="16"/>
    </row>
    <row r="563" spans="5:6" ht="15.75" customHeight="1" x14ac:dyDescent="0.25">
      <c r="E563" s="1"/>
      <c r="F563" s="16"/>
    </row>
    <row r="564" spans="5:6" ht="15.75" customHeight="1" x14ac:dyDescent="0.25">
      <c r="E564" s="1"/>
      <c r="F564" s="16"/>
    </row>
    <row r="565" spans="5:6" ht="15.75" customHeight="1" x14ac:dyDescent="0.25">
      <c r="E565" s="1"/>
      <c r="F565" s="16"/>
    </row>
    <row r="566" spans="5:6" ht="15.75" customHeight="1" x14ac:dyDescent="0.25">
      <c r="E566" s="1"/>
      <c r="F566" s="16"/>
    </row>
    <row r="567" spans="5:6" ht="15.75" customHeight="1" x14ac:dyDescent="0.25">
      <c r="E567" s="1"/>
      <c r="F567" s="16"/>
    </row>
    <row r="568" spans="5:6" ht="15.75" customHeight="1" x14ac:dyDescent="0.25">
      <c r="E568" s="1"/>
      <c r="F568" s="16"/>
    </row>
    <row r="569" spans="5:6" ht="15.75" customHeight="1" x14ac:dyDescent="0.25">
      <c r="E569" s="1"/>
      <c r="F569" s="16"/>
    </row>
    <row r="570" spans="5:6" ht="15.75" customHeight="1" x14ac:dyDescent="0.25">
      <c r="E570" s="1"/>
      <c r="F570" s="16"/>
    </row>
    <row r="571" spans="5:6" ht="15.75" customHeight="1" x14ac:dyDescent="0.25">
      <c r="E571" s="1"/>
      <c r="F571" s="16"/>
    </row>
    <row r="572" spans="5:6" ht="15.75" customHeight="1" x14ac:dyDescent="0.25">
      <c r="E572" s="1"/>
      <c r="F572" s="16"/>
    </row>
    <row r="573" spans="5:6" ht="15.75" customHeight="1" x14ac:dyDescent="0.25">
      <c r="E573" s="1"/>
      <c r="F573" s="16"/>
    </row>
    <row r="574" spans="5:6" ht="15.75" customHeight="1" x14ac:dyDescent="0.25">
      <c r="E574" s="1"/>
      <c r="F574" s="16"/>
    </row>
    <row r="575" spans="5:6" ht="15.75" customHeight="1" x14ac:dyDescent="0.25">
      <c r="E575" s="1"/>
      <c r="F575" s="16"/>
    </row>
    <row r="576" spans="5:6" ht="15.75" customHeight="1" x14ac:dyDescent="0.25">
      <c r="E576" s="1"/>
      <c r="F576" s="16"/>
    </row>
    <row r="577" spans="5:6" ht="15.75" customHeight="1" x14ac:dyDescent="0.25">
      <c r="E577" s="1"/>
      <c r="F577" s="16"/>
    </row>
    <row r="578" spans="5:6" ht="15.75" customHeight="1" x14ac:dyDescent="0.25">
      <c r="E578" s="1"/>
      <c r="F578" s="16"/>
    </row>
    <row r="579" spans="5:6" ht="15.75" customHeight="1" x14ac:dyDescent="0.25">
      <c r="E579" s="1"/>
      <c r="F579" s="16"/>
    </row>
    <row r="580" spans="5:6" ht="15.75" customHeight="1" x14ac:dyDescent="0.25">
      <c r="E580" s="1"/>
      <c r="F580" s="16"/>
    </row>
    <row r="581" spans="5:6" ht="15.75" customHeight="1" x14ac:dyDescent="0.25">
      <c r="E581" s="1"/>
      <c r="F581" s="16"/>
    </row>
    <row r="582" spans="5:6" ht="15.75" customHeight="1" x14ac:dyDescent="0.25">
      <c r="E582" s="1"/>
      <c r="F582" s="16"/>
    </row>
    <row r="583" spans="5:6" ht="15.75" customHeight="1" x14ac:dyDescent="0.25">
      <c r="E583" s="1"/>
      <c r="F583" s="16"/>
    </row>
    <row r="584" spans="5:6" ht="15.75" customHeight="1" x14ac:dyDescent="0.25">
      <c r="E584" s="1"/>
      <c r="F584" s="16"/>
    </row>
    <row r="585" spans="5:6" ht="15.75" customHeight="1" x14ac:dyDescent="0.25">
      <c r="E585" s="1"/>
      <c r="F585" s="16"/>
    </row>
    <row r="586" spans="5:6" ht="15.75" customHeight="1" x14ac:dyDescent="0.25">
      <c r="E586" s="1"/>
      <c r="F586" s="16"/>
    </row>
    <row r="587" spans="5:6" ht="15.75" customHeight="1" x14ac:dyDescent="0.25">
      <c r="E587" s="1"/>
      <c r="F587" s="16"/>
    </row>
    <row r="588" spans="5:6" ht="15.75" customHeight="1" x14ac:dyDescent="0.25">
      <c r="E588" s="1"/>
      <c r="F588" s="16"/>
    </row>
    <row r="589" spans="5:6" ht="15.75" customHeight="1" x14ac:dyDescent="0.25">
      <c r="E589" s="1"/>
      <c r="F589" s="16"/>
    </row>
    <row r="590" spans="5:6" ht="15.75" customHeight="1" x14ac:dyDescent="0.25">
      <c r="E590" s="1"/>
      <c r="F590" s="16"/>
    </row>
    <row r="591" spans="5:6" ht="15.75" customHeight="1" x14ac:dyDescent="0.25">
      <c r="E591" s="1"/>
      <c r="F591" s="16"/>
    </row>
    <row r="592" spans="5:6" ht="15.75" customHeight="1" x14ac:dyDescent="0.25">
      <c r="E592" s="1"/>
      <c r="F592" s="16"/>
    </row>
    <row r="593" spans="5:6" ht="15.75" customHeight="1" x14ac:dyDescent="0.25">
      <c r="E593" s="1"/>
      <c r="F593" s="16"/>
    </row>
    <row r="594" spans="5:6" ht="15.75" customHeight="1" x14ac:dyDescent="0.25">
      <c r="E594" s="1"/>
      <c r="F594" s="16"/>
    </row>
    <row r="595" spans="5:6" ht="15.75" customHeight="1" x14ac:dyDescent="0.25">
      <c r="E595" s="1"/>
      <c r="F595" s="16"/>
    </row>
    <row r="596" spans="5:6" ht="15.75" customHeight="1" x14ac:dyDescent="0.25">
      <c r="E596" s="1"/>
      <c r="F596" s="16"/>
    </row>
    <row r="597" spans="5:6" ht="15.75" customHeight="1" x14ac:dyDescent="0.25">
      <c r="E597" s="1"/>
      <c r="F597" s="16"/>
    </row>
    <row r="598" spans="5:6" ht="15.75" customHeight="1" x14ac:dyDescent="0.25">
      <c r="E598" s="1"/>
      <c r="F598" s="16"/>
    </row>
    <row r="599" spans="5:6" ht="15.75" customHeight="1" x14ac:dyDescent="0.25">
      <c r="E599" s="1"/>
      <c r="F599" s="16"/>
    </row>
    <row r="600" spans="5:6" ht="15.75" customHeight="1" x14ac:dyDescent="0.25">
      <c r="E600" s="1"/>
      <c r="F600" s="16"/>
    </row>
    <row r="601" spans="5:6" ht="15.75" customHeight="1" x14ac:dyDescent="0.25">
      <c r="E601" s="1"/>
      <c r="F601" s="16"/>
    </row>
    <row r="602" spans="5:6" ht="15.75" customHeight="1" x14ac:dyDescent="0.25">
      <c r="E602" s="1"/>
      <c r="F602" s="16"/>
    </row>
    <row r="603" spans="5:6" ht="15.75" customHeight="1" x14ac:dyDescent="0.25">
      <c r="E603" s="1"/>
      <c r="F603" s="16"/>
    </row>
    <row r="604" spans="5:6" ht="15.75" customHeight="1" x14ac:dyDescent="0.25">
      <c r="E604" s="1"/>
      <c r="F604" s="16"/>
    </row>
    <row r="605" spans="5:6" ht="15.75" customHeight="1" x14ac:dyDescent="0.25">
      <c r="E605" s="1"/>
      <c r="F605" s="16"/>
    </row>
    <row r="606" spans="5:6" ht="15.75" customHeight="1" x14ac:dyDescent="0.25">
      <c r="E606" s="1"/>
      <c r="F606" s="16"/>
    </row>
    <row r="607" spans="5:6" ht="15.75" customHeight="1" x14ac:dyDescent="0.25">
      <c r="E607" s="1"/>
      <c r="F607" s="16"/>
    </row>
    <row r="608" spans="5:6" ht="15.75" customHeight="1" x14ac:dyDescent="0.25">
      <c r="E608" s="1"/>
      <c r="F608" s="16"/>
    </row>
    <row r="609" spans="5:6" ht="15.75" customHeight="1" x14ac:dyDescent="0.25">
      <c r="E609" s="1"/>
      <c r="F609" s="16"/>
    </row>
    <row r="610" spans="5:6" ht="15.75" customHeight="1" x14ac:dyDescent="0.25">
      <c r="E610" s="1"/>
      <c r="F610" s="16"/>
    </row>
    <row r="611" spans="5:6" ht="15.75" customHeight="1" x14ac:dyDescent="0.25">
      <c r="E611" s="1"/>
      <c r="F611" s="16"/>
    </row>
    <row r="612" spans="5:6" ht="15.75" customHeight="1" x14ac:dyDescent="0.25">
      <c r="E612" s="1"/>
      <c r="F612" s="16"/>
    </row>
    <row r="613" spans="5:6" ht="15.75" customHeight="1" x14ac:dyDescent="0.25">
      <c r="E613" s="1"/>
      <c r="F613" s="16"/>
    </row>
    <row r="614" spans="5:6" ht="15.75" customHeight="1" x14ac:dyDescent="0.25">
      <c r="E614" s="1"/>
      <c r="F614" s="16"/>
    </row>
    <row r="615" spans="5:6" ht="15.75" customHeight="1" x14ac:dyDescent="0.25">
      <c r="E615" s="1"/>
      <c r="F615" s="16"/>
    </row>
    <row r="616" spans="5:6" ht="15.75" customHeight="1" x14ac:dyDescent="0.25">
      <c r="E616" s="1"/>
      <c r="F616" s="16"/>
    </row>
    <row r="617" spans="5:6" ht="15.75" customHeight="1" x14ac:dyDescent="0.25">
      <c r="E617" s="1"/>
      <c r="F617" s="16"/>
    </row>
    <row r="618" spans="5:6" ht="15.75" customHeight="1" x14ac:dyDescent="0.25">
      <c r="E618" s="1"/>
      <c r="F618" s="16"/>
    </row>
    <row r="619" spans="5:6" ht="15.75" customHeight="1" x14ac:dyDescent="0.25">
      <c r="E619" s="1"/>
      <c r="F619" s="16"/>
    </row>
    <row r="620" spans="5:6" ht="15.75" customHeight="1" x14ac:dyDescent="0.25">
      <c r="E620" s="1"/>
      <c r="F620" s="16"/>
    </row>
    <row r="621" spans="5:6" ht="15.75" customHeight="1" x14ac:dyDescent="0.25">
      <c r="E621" s="1"/>
      <c r="F621" s="16"/>
    </row>
    <row r="622" spans="5:6" ht="15.75" customHeight="1" x14ac:dyDescent="0.25">
      <c r="E622" s="1"/>
      <c r="F622" s="16"/>
    </row>
    <row r="623" spans="5:6" ht="15.75" customHeight="1" x14ac:dyDescent="0.25">
      <c r="E623" s="1"/>
      <c r="F623" s="16"/>
    </row>
    <row r="624" spans="5:6" ht="15.75" customHeight="1" x14ac:dyDescent="0.25">
      <c r="E624" s="1"/>
      <c r="F624" s="16"/>
    </row>
    <row r="625" spans="5:6" ht="15.75" customHeight="1" x14ac:dyDescent="0.25">
      <c r="E625" s="1"/>
      <c r="F625" s="16"/>
    </row>
    <row r="626" spans="5:6" ht="15.75" customHeight="1" x14ac:dyDescent="0.25">
      <c r="E626" s="1"/>
      <c r="F626" s="16"/>
    </row>
    <row r="627" spans="5:6" ht="15.75" customHeight="1" x14ac:dyDescent="0.25">
      <c r="E627" s="1"/>
      <c r="F627" s="16"/>
    </row>
    <row r="628" spans="5:6" ht="15.75" customHeight="1" x14ac:dyDescent="0.25">
      <c r="E628" s="1"/>
      <c r="F628" s="16"/>
    </row>
    <row r="629" spans="5:6" ht="15.75" customHeight="1" x14ac:dyDescent="0.25">
      <c r="E629" s="1"/>
      <c r="F629" s="16"/>
    </row>
    <row r="630" spans="5:6" ht="15.75" customHeight="1" x14ac:dyDescent="0.25">
      <c r="E630" s="1"/>
      <c r="F630" s="16"/>
    </row>
    <row r="631" spans="5:6" ht="15.75" customHeight="1" x14ac:dyDescent="0.25">
      <c r="E631" s="1"/>
      <c r="F631" s="16"/>
    </row>
    <row r="632" spans="5:6" ht="15.75" customHeight="1" x14ac:dyDescent="0.25">
      <c r="E632" s="1"/>
      <c r="F632" s="16"/>
    </row>
    <row r="633" spans="5:6" ht="15.75" customHeight="1" x14ac:dyDescent="0.25">
      <c r="E633" s="1"/>
      <c r="F633" s="16"/>
    </row>
    <row r="634" spans="5:6" ht="15.75" customHeight="1" x14ac:dyDescent="0.25">
      <c r="E634" s="1"/>
      <c r="F634" s="16"/>
    </row>
    <row r="635" spans="5:6" ht="15.75" customHeight="1" x14ac:dyDescent="0.25">
      <c r="E635" s="1"/>
      <c r="F635" s="16"/>
    </row>
    <row r="636" spans="5:6" ht="15.75" customHeight="1" x14ac:dyDescent="0.25">
      <c r="E636" s="1"/>
      <c r="F636" s="16"/>
    </row>
    <row r="637" spans="5:6" ht="15.75" customHeight="1" x14ac:dyDescent="0.25">
      <c r="E637" s="1"/>
      <c r="F637" s="16"/>
    </row>
    <row r="638" spans="5:6" ht="15.75" customHeight="1" x14ac:dyDescent="0.25">
      <c r="E638" s="1"/>
      <c r="F638" s="16"/>
    </row>
    <row r="639" spans="5:6" ht="15.75" customHeight="1" x14ac:dyDescent="0.25">
      <c r="E639" s="1"/>
      <c r="F639" s="16"/>
    </row>
    <row r="640" spans="5:6" ht="15.75" customHeight="1" x14ac:dyDescent="0.25">
      <c r="E640" s="1"/>
      <c r="F640" s="16"/>
    </row>
    <row r="641" spans="5:6" ht="15.75" customHeight="1" x14ac:dyDescent="0.25">
      <c r="E641" s="1"/>
      <c r="F641" s="16"/>
    </row>
    <row r="642" spans="5:6" ht="15.75" customHeight="1" x14ac:dyDescent="0.25">
      <c r="E642" s="1"/>
      <c r="F642" s="16"/>
    </row>
    <row r="643" spans="5:6" ht="15.75" customHeight="1" x14ac:dyDescent="0.25">
      <c r="E643" s="1"/>
      <c r="F643" s="16"/>
    </row>
    <row r="644" spans="5:6" ht="15.75" customHeight="1" x14ac:dyDescent="0.25">
      <c r="E644" s="1"/>
      <c r="F644" s="16"/>
    </row>
    <row r="645" spans="5:6" ht="15.75" customHeight="1" x14ac:dyDescent="0.25">
      <c r="E645" s="1"/>
      <c r="F645" s="16"/>
    </row>
    <row r="646" spans="5:6" ht="15.75" customHeight="1" x14ac:dyDescent="0.25">
      <c r="E646" s="1"/>
      <c r="F646" s="16"/>
    </row>
    <row r="647" spans="5:6" ht="15.75" customHeight="1" x14ac:dyDescent="0.25">
      <c r="E647" s="1"/>
      <c r="F647" s="16"/>
    </row>
    <row r="648" spans="5:6" ht="15.75" customHeight="1" x14ac:dyDescent="0.25">
      <c r="E648" s="1"/>
      <c r="F648" s="16"/>
    </row>
    <row r="649" spans="5:6" ht="15.75" customHeight="1" x14ac:dyDescent="0.25">
      <c r="E649" s="1"/>
      <c r="F649" s="16"/>
    </row>
    <row r="650" spans="5:6" ht="15.75" customHeight="1" x14ac:dyDescent="0.25">
      <c r="E650" s="1"/>
      <c r="F650" s="16"/>
    </row>
    <row r="651" spans="5:6" ht="15.75" customHeight="1" x14ac:dyDescent="0.25">
      <c r="E651" s="1"/>
      <c r="F651" s="16"/>
    </row>
    <row r="652" spans="5:6" ht="15.75" customHeight="1" x14ac:dyDescent="0.25">
      <c r="E652" s="1"/>
      <c r="F652" s="16"/>
    </row>
    <row r="653" spans="5:6" ht="15.75" customHeight="1" x14ac:dyDescent="0.25">
      <c r="E653" s="1"/>
      <c r="F653" s="16"/>
    </row>
    <row r="654" spans="5:6" ht="15.75" customHeight="1" x14ac:dyDescent="0.25">
      <c r="E654" s="1"/>
      <c r="F654" s="16"/>
    </row>
    <row r="655" spans="5:6" ht="15.75" customHeight="1" x14ac:dyDescent="0.25">
      <c r="E655" s="1"/>
      <c r="F655" s="16"/>
    </row>
    <row r="656" spans="5:6" ht="15.75" customHeight="1" x14ac:dyDescent="0.25">
      <c r="E656" s="1"/>
      <c r="F656" s="16"/>
    </row>
    <row r="657" spans="5:6" ht="15.75" customHeight="1" x14ac:dyDescent="0.25">
      <c r="E657" s="1"/>
      <c r="F657" s="16"/>
    </row>
    <row r="658" spans="5:6" ht="15.75" customHeight="1" x14ac:dyDescent="0.25">
      <c r="E658" s="1"/>
      <c r="F658" s="16"/>
    </row>
    <row r="659" spans="5:6" ht="15.75" customHeight="1" x14ac:dyDescent="0.25">
      <c r="E659" s="1"/>
      <c r="F659" s="16"/>
    </row>
    <row r="660" spans="5:6" ht="15.75" customHeight="1" x14ac:dyDescent="0.25">
      <c r="E660" s="1"/>
      <c r="F660" s="16"/>
    </row>
    <row r="661" spans="5:6" ht="15.75" customHeight="1" x14ac:dyDescent="0.25">
      <c r="E661" s="1"/>
      <c r="F661" s="16"/>
    </row>
    <row r="662" spans="5:6" ht="15.75" customHeight="1" x14ac:dyDescent="0.25">
      <c r="E662" s="1"/>
      <c r="F662" s="16"/>
    </row>
    <row r="663" spans="5:6" ht="15.75" customHeight="1" x14ac:dyDescent="0.25">
      <c r="E663" s="1"/>
      <c r="F663" s="16"/>
    </row>
    <row r="664" spans="5:6" ht="15.75" customHeight="1" x14ac:dyDescent="0.25">
      <c r="E664" s="1"/>
      <c r="F664" s="16"/>
    </row>
    <row r="665" spans="5:6" ht="15.75" customHeight="1" x14ac:dyDescent="0.25">
      <c r="E665" s="1"/>
      <c r="F665" s="16"/>
    </row>
    <row r="666" spans="5:6" ht="15.75" customHeight="1" x14ac:dyDescent="0.25">
      <c r="E666" s="1"/>
      <c r="F666" s="16"/>
    </row>
    <row r="667" spans="5:6" ht="15.75" customHeight="1" x14ac:dyDescent="0.25">
      <c r="E667" s="1"/>
      <c r="F667" s="16"/>
    </row>
    <row r="668" spans="5:6" ht="15.75" customHeight="1" x14ac:dyDescent="0.25">
      <c r="E668" s="1"/>
      <c r="F668" s="16"/>
    </row>
    <row r="669" spans="5:6" ht="15.75" customHeight="1" x14ac:dyDescent="0.25">
      <c r="E669" s="1"/>
      <c r="F669" s="16"/>
    </row>
    <row r="670" spans="5:6" ht="15.75" customHeight="1" x14ac:dyDescent="0.25">
      <c r="E670" s="1"/>
      <c r="F670" s="16"/>
    </row>
    <row r="671" spans="5:6" ht="15.75" customHeight="1" x14ac:dyDescent="0.25">
      <c r="E671" s="1"/>
      <c r="F671" s="16"/>
    </row>
    <row r="672" spans="5:6" ht="15.75" customHeight="1" x14ac:dyDescent="0.25">
      <c r="E672" s="1"/>
      <c r="F672" s="16"/>
    </row>
    <row r="673" spans="5:6" ht="15.75" customHeight="1" x14ac:dyDescent="0.25">
      <c r="E673" s="1"/>
      <c r="F673" s="16"/>
    </row>
    <row r="674" spans="5:6" ht="15.75" customHeight="1" x14ac:dyDescent="0.25">
      <c r="E674" s="1"/>
      <c r="F674" s="16"/>
    </row>
    <row r="675" spans="5:6" ht="15.75" customHeight="1" x14ac:dyDescent="0.25">
      <c r="E675" s="1"/>
      <c r="F675" s="16"/>
    </row>
    <row r="676" spans="5:6" ht="15.75" customHeight="1" x14ac:dyDescent="0.25">
      <c r="E676" s="1"/>
      <c r="F676" s="16"/>
    </row>
    <row r="677" spans="5:6" ht="15.75" customHeight="1" x14ac:dyDescent="0.25">
      <c r="E677" s="1"/>
      <c r="F677" s="16"/>
    </row>
    <row r="678" spans="5:6" ht="15.75" customHeight="1" x14ac:dyDescent="0.25">
      <c r="E678" s="1"/>
      <c r="F678" s="16"/>
    </row>
    <row r="679" spans="5:6" ht="15.75" customHeight="1" x14ac:dyDescent="0.25">
      <c r="E679" s="1"/>
      <c r="F679" s="16"/>
    </row>
    <row r="680" spans="5:6" ht="15.75" customHeight="1" x14ac:dyDescent="0.25">
      <c r="E680" s="1"/>
      <c r="F680" s="16"/>
    </row>
    <row r="681" spans="5:6" ht="15.75" customHeight="1" x14ac:dyDescent="0.25">
      <c r="E681" s="1"/>
      <c r="F681" s="16"/>
    </row>
    <row r="682" spans="5:6" ht="15.75" customHeight="1" x14ac:dyDescent="0.25">
      <c r="E682" s="1"/>
      <c r="F682" s="16"/>
    </row>
    <row r="683" spans="5:6" ht="15.75" customHeight="1" x14ac:dyDescent="0.25">
      <c r="E683" s="1"/>
      <c r="F683" s="16"/>
    </row>
    <row r="684" spans="5:6" ht="15.75" customHeight="1" x14ac:dyDescent="0.25">
      <c r="E684" s="1"/>
      <c r="F684" s="16"/>
    </row>
    <row r="685" spans="5:6" ht="15.75" customHeight="1" x14ac:dyDescent="0.25">
      <c r="E685" s="1"/>
      <c r="F685" s="16"/>
    </row>
    <row r="686" spans="5:6" ht="15.75" customHeight="1" x14ac:dyDescent="0.25">
      <c r="E686" s="1"/>
      <c r="F686" s="16"/>
    </row>
    <row r="687" spans="5:6" ht="15.75" customHeight="1" x14ac:dyDescent="0.25">
      <c r="E687" s="1"/>
      <c r="F687" s="16"/>
    </row>
    <row r="688" spans="5:6" ht="15.75" customHeight="1" x14ac:dyDescent="0.25">
      <c r="E688" s="1"/>
      <c r="F688" s="16"/>
    </row>
    <row r="689" spans="5:6" ht="15.75" customHeight="1" x14ac:dyDescent="0.25">
      <c r="E689" s="1"/>
      <c r="F689" s="16"/>
    </row>
    <row r="690" spans="5:6" ht="15.75" customHeight="1" x14ac:dyDescent="0.25">
      <c r="E690" s="1"/>
      <c r="F690" s="16"/>
    </row>
    <row r="691" spans="5:6" ht="15.75" customHeight="1" x14ac:dyDescent="0.25">
      <c r="E691" s="1"/>
      <c r="F691" s="16"/>
    </row>
    <row r="692" spans="5:6" ht="15.75" customHeight="1" x14ac:dyDescent="0.25">
      <c r="E692" s="1"/>
      <c r="F692" s="16"/>
    </row>
    <row r="693" spans="5:6" ht="15.75" customHeight="1" x14ac:dyDescent="0.25">
      <c r="E693" s="1"/>
      <c r="F693" s="16"/>
    </row>
    <row r="694" spans="5:6" ht="15.75" customHeight="1" x14ac:dyDescent="0.25">
      <c r="E694" s="1"/>
      <c r="F694" s="16"/>
    </row>
    <row r="695" spans="5:6" ht="15.75" customHeight="1" x14ac:dyDescent="0.25">
      <c r="E695" s="1"/>
      <c r="F695" s="16"/>
    </row>
    <row r="696" spans="5:6" ht="15.75" customHeight="1" x14ac:dyDescent="0.25">
      <c r="E696" s="1"/>
      <c r="F696" s="16"/>
    </row>
    <row r="697" spans="5:6" ht="15.75" customHeight="1" x14ac:dyDescent="0.25">
      <c r="E697" s="1"/>
      <c r="F697" s="16"/>
    </row>
    <row r="698" spans="5:6" ht="15.75" customHeight="1" x14ac:dyDescent="0.25">
      <c r="E698" s="1"/>
      <c r="F698" s="16"/>
    </row>
    <row r="699" spans="5:6" ht="15.75" customHeight="1" x14ac:dyDescent="0.25">
      <c r="E699" s="1"/>
      <c r="F699" s="16"/>
    </row>
    <row r="700" spans="5:6" ht="15.75" customHeight="1" x14ac:dyDescent="0.25">
      <c r="E700" s="1"/>
      <c r="F700" s="16"/>
    </row>
    <row r="701" spans="5:6" ht="15.75" customHeight="1" x14ac:dyDescent="0.25">
      <c r="E701" s="1"/>
      <c r="F701" s="16"/>
    </row>
    <row r="702" spans="5:6" ht="15.75" customHeight="1" x14ac:dyDescent="0.25">
      <c r="E702" s="1"/>
      <c r="F702" s="16"/>
    </row>
    <row r="703" spans="5:6" ht="15.75" customHeight="1" x14ac:dyDescent="0.25">
      <c r="E703" s="1"/>
      <c r="F703" s="16"/>
    </row>
    <row r="704" spans="5:6" ht="15.75" customHeight="1" x14ac:dyDescent="0.25">
      <c r="E704" s="1"/>
      <c r="F704" s="16"/>
    </row>
    <row r="705" spans="5:6" ht="15.75" customHeight="1" x14ac:dyDescent="0.25">
      <c r="E705" s="1"/>
      <c r="F705" s="16"/>
    </row>
    <row r="706" spans="5:6" ht="15.75" customHeight="1" x14ac:dyDescent="0.25">
      <c r="E706" s="1"/>
      <c r="F706" s="16"/>
    </row>
    <row r="707" spans="5:6" ht="15.75" customHeight="1" x14ac:dyDescent="0.25">
      <c r="E707" s="1"/>
      <c r="F707" s="16"/>
    </row>
    <row r="708" spans="5:6" ht="15.75" customHeight="1" x14ac:dyDescent="0.25">
      <c r="E708" s="1"/>
      <c r="F708" s="16"/>
    </row>
    <row r="709" spans="5:6" ht="15.75" customHeight="1" x14ac:dyDescent="0.25">
      <c r="E709" s="1"/>
      <c r="F709" s="16"/>
    </row>
    <row r="710" spans="5:6" ht="15.75" customHeight="1" x14ac:dyDescent="0.25">
      <c r="E710" s="1"/>
      <c r="F710" s="16"/>
    </row>
    <row r="711" spans="5:6" ht="15.75" customHeight="1" x14ac:dyDescent="0.25">
      <c r="E711" s="1"/>
      <c r="F711" s="16"/>
    </row>
    <row r="712" spans="5:6" ht="15.75" customHeight="1" x14ac:dyDescent="0.25">
      <c r="E712" s="1"/>
      <c r="F712" s="16"/>
    </row>
    <row r="713" spans="5:6" ht="15.75" customHeight="1" x14ac:dyDescent="0.25">
      <c r="E713" s="1"/>
      <c r="F713" s="16"/>
    </row>
    <row r="714" spans="5:6" ht="15.75" customHeight="1" x14ac:dyDescent="0.25">
      <c r="E714" s="1"/>
      <c r="F714" s="16"/>
    </row>
    <row r="715" spans="5:6" ht="15.75" customHeight="1" x14ac:dyDescent="0.25">
      <c r="E715" s="1"/>
      <c r="F715" s="16"/>
    </row>
    <row r="716" spans="5:6" ht="15.75" customHeight="1" x14ac:dyDescent="0.25">
      <c r="E716" s="1"/>
      <c r="F716" s="16"/>
    </row>
    <row r="717" spans="5:6" ht="15.75" customHeight="1" x14ac:dyDescent="0.25">
      <c r="E717" s="1"/>
      <c r="F717" s="16"/>
    </row>
    <row r="718" spans="5:6" ht="15.75" customHeight="1" x14ac:dyDescent="0.25">
      <c r="E718" s="1"/>
      <c r="F718" s="16"/>
    </row>
    <row r="719" spans="5:6" ht="15.75" customHeight="1" x14ac:dyDescent="0.25">
      <c r="E719" s="1"/>
      <c r="F719" s="16"/>
    </row>
    <row r="720" spans="5:6" ht="15.75" customHeight="1" x14ac:dyDescent="0.25">
      <c r="E720" s="1"/>
      <c r="F720" s="16"/>
    </row>
    <row r="721" spans="5:6" ht="15.75" customHeight="1" x14ac:dyDescent="0.25">
      <c r="E721" s="1"/>
      <c r="F721" s="16"/>
    </row>
    <row r="722" spans="5:6" ht="15.75" customHeight="1" x14ac:dyDescent="0.25">
      <c r="E722" s="1"/>
      <c r="F722" s="16"/>
    </row>
    <row r="723" spans="5:6" ht="15.75" customHeight="1" x14ac:dyDescent="0.25">
      <c r="E723" s="1"/>
      <c r="F723" s="16"/>
    </row>
    <row r="724" spans="5:6" ht="15.75" customHeight="1" x14ac:dyDescent="0.25">
      <c r="E724" s="1"/>
      <c r="F724" s="16"/>
    </row>
    <row r="725" spans="5:6" ht="15.75" customHeight="1" x14ac:dyDescent="0.25">
      <c r="E725" s="1"/>
      <c r="F725" s="16"/>
    </row>
    <row r="726" spans="5:6" ht="15.75" customHeight="1" x14ac:dyDescent="0.25">
      <c r="E726" s="1"/>
      <c r="F726" s="16"/>
    </row>
    <row r="727" spans="5:6" ht="15.75" customHeight="1" x14ac:dyDescent="0.25">
      <c r="E727" s="1"/>
      <c r="F727" s="16"/>
    </row>
    <row r="728" spans="5:6" ht="15.75" customHeight="1" x14ac:dyDescent="0.25">
      <c r="E728" s="1"/>
      <c r="F728" s="16"/>
    </row>
    <row r="729" spans="5:6" ht="15.75" customHeight="1" x14ac:dyDescent="0.25">
      <c r="E729" s="1"/>
      <c r="F729" s="16"/>
    </row>
    <row r="730" spans="5:6" ht="15.75" customHeight="1" x14ac:dyDescent="0.25">
      <c r="E730" s="1"/>
      <c r="F730" s="16"/>
    </row>
    <row r="731" spans="5:6" ht="15.75" customHeight="1" x14ac:dyDescent="0.25">
      <c r="E731" s="1"/>
      <c r="F731" s="16"/>
    </row>
    <row r="732" spans="5:6" ht="15.75" customHeight="1" x14ac:dyDescent="0.25">
      <c r="E732" s="1"/>
      <c r="F732" s="16"/>
    </row>
    <row r="733" spans="5:6" ht="15.75" customHeight="1" x14ac:dyDescent="0.25">
      <c r="E733" s="1"/>
      <c r="F733" s="16"/>
    </row>
    <row r="734" spans="5:6" ht="15.75" customHeight="1" x14ac:dyDescent="0.25">
      <c r="E734" s="1"/>
      <c r="F734" s="16"/>
    </row>
    <row r="735" spans="5:6" ht="15.75" customHeight="1" x14ac:dyDescent="0.25">
      <c r="E735" s="1"/>
      <c r="F735" s="16"/>
    </row>
    <row r="736" spans="5:6" ht="15.75" customHeight="1" x14ac:dyDescent="0.25">
      <c r="E736" s="1"/>
      <c r="F736" s="16"/>
    </row>
    <row r="737" spans="5:6" ht="15.75" customHeight="1" x14ac:dyDescent="0.25">
      <c r="E737" s="1"/>
      <c r="F737" s="16"/>
    </row>
    <row r="738" spans="5:6" ht="15.75" customHeight="1" x14ac:dyDescent="0.25">
      <c r="E738" s="1"/>
      <c r="F738" s="16"/>
    </row>
    <row r="739" spans="5:6" ht="15.75" customHeight="1" x14ac:dyDescent="0.25">
      <c r="E739" s="1"/>
      <c r="F739" s="16"/>
    </row>
    <row r="740" spans="5:6" ht="15.75" customHeight="1" x14ac:dyDescent="0.25">
      <c r="E740" s="1"/>
      <c r="F740" s="16"/>
    </row>
    <row r="741" spans="5:6" ht="15.75" customHeight="1" x14ac:dyDescent="0.25">
      <c r="E741" s="1"/>
      <c r="F741" s="16"/>
    </row>
    <row r="742" spans="5:6" ht="15.75" customHeight="1" x14ac:dyDescent="0.25">
      <c r="E742" s="1"/>
      <c r="F742" s="16"/>
    </row>
    <row r="743" spans="5:6" ht="15.75" customHeight="1" x14ac:dyDescent="0.25">
      <c r="E743" s="1"/>
      <c r="F743" s="16"/>
    </row>
    <row r="744" spans="5:6" ht="15.75" customHeight="1" x14ac:dyDescent="0.25">
      <c r="E744" s="1"/>
      <c r="F744" s="16"/>
    </row>
    <row r="745" spans="5:6" ht="15.75" customHeight="1" x14ac:dyDescent="0.25">
      <c r="E745" s="1"/>
      <c r="F745" s="16"/>
    </row>
    <row r="746" spans="5:6" ht="15.75" customHeight="1" x14ac:dyDescent="0.25">
      <c r="E746" s="1"/>
      <c r="F746" s="16"/>
    </row>
    <row r="747" spans="5:6" ht="15.75" customHeight="1" x14ac:dyDescent="0.25">
      <c r="E747" s="1"/>
      <c r="F747" s="16"/>
    </row>
    <row r="748" spans="5:6" ht="15.75" customHeight="1" x14ac:dyDescent="0.25">
      <c r="E748" s="1"/>
      <c r="F748" s="16"/>
    </row>
    <row r="749" spans="5:6" ht="15.75" customHeight="1" x14ac:dyDescent="0.25">
      <c r="E749" s="1"/>
      <c r="F749" s="16"/>
    </row>
    <row r="750" spans="5:6" ht="15.75" customHeight="1" x14ac:dyDescent="0.25">
      <c r="E750" s="1"/>
      <c r="F750" s="16"/>
    </row>
    <row r="751" spans="5:6" ht="15.75" customHeight="1" x14ac:dyDescent="0.25">
      <c r="E751" s="1"/>
      <c r="F751" s="16"/>
    </row>
    <row r="752" spans="5:6" ht="15.75" customHeight="1" x14ac:dyDescent="0.25">
      <c r="E752" s="1"/>
      <c r="F752" s="16"/>
    </row>
    <row r="753" spans="5:6" ht="15.75" customHeight="1" x14ac:dyDescent="0.25">
      <c r="E753" s="1"/>
      <c r="F753" s="16"/>
    </row>
    <row r="754" spans="5:6" ht="15.75" customHeight="1" x14ac:dyDescent="0.25">
      <c r="E754" s="1"/>
      <c r="F754" s="16"/>
    </row>
    <row r="755" spans="5:6" ht="15.75" customHeight="1" x14ac:dyDescent="0.25">
      <c r="E755" s="1"/>
      <c r="F755" s="16"/>
    </row>
    <row r="756" spans="5:6" ht="15.75" customHeight="1" x14ac:dyDescent="0.25">
      <c r="E756" s="1"/>
      <c r="F756" s="16"/>
    </row>
    <row r="757" spans="5:6" ht="15.75" customHeight="1" x14ac:dyDescent="0.25">
      <c r="E757" s="1"/>
      <c r="F757" s="16"/>
    </row>
    <row r="758" spans="5:6" ht="15.75" customHeight="1" x14ac:dyDescent="0.25">
      <c r="E758" s="1"/>
      <c r="F758" s="16"/>
    </row>
    <row r="759" spans="5:6" ht="15.75" customHeight="1" x14ac:dyDescent="0.25">
      <c r="E759" s="1"/>
      <c r="F759" s="16"/>
    </row>
    <row r="760" spans="5:6" ht="15.75" customHeight="1" x14ac:dyDescent="0.25">
      <c r="E760" s="1"/>
      <c r="F760" s="16"/>
    </row>
    <row r="761" spans="5:6" ht="15.75" customHeight="1" x14ac:dyDescent="0.25">
      <c r="E761" s="1"/>
      <c r="F761" s="16"/>
    </row>
    <row r="762" spans="5:6" ht="15.75" customHeight="1" x14ac:dyDescent="0.25">
      <c r="E762" s="1"/>
      <c r="F762" s="16"/>
    </row>
    <row r="763" spans="5:6" ht="15.75" customHeight="1" x14ac:dyDescent="0.25">
      <c r="E763" s="1"/>
      <c r="F763" s="16"/>
    </row>
    <row r="764" spans="5:6" ht="15.75" customHeight="1" x14ac:dyDescent="0.25">
      <c r="E764" s="1"/>
      <c r="F764" s="16"/>
    </row>
    <row r="765" spans="5:6" ht="15.75" customHeight="1" x14ac:dyDescent="0.25">
      <c r="E765" s="1"/>
      <c r="F765" s="16"/>
    </row>
    <row r="766" spans="5:6" ht="15.75" customHeight="1" x14ac:dyDescent="0.25">
      <c r="E766" s="1"/>
      <c r="F766" s="16"/>
    </row>
    <row r="767" spans="5:6" ht="15.75" customHeight="1" x14ac:dyDescent="0.25">
      <c r="E767" s="1"/>
      <c r="F767" s="16"/>
    </row>
    <row r="768" spans="5:6" ht="15.75" customHeight="1" x14ac:dyDescent="0.25">
      <c r="E768" s="1"/>
      <c r="F768" s="16"/>
    </row>
    <row r="769" spans="5:6" ht="15.75" customHeight="1" x14ac:dyDescent="0.25">
      <c r="E769" s="1"/>
      <c r="F769" s="16"/>
    </row>
    <row r="770" spans="5:6" ht="15.75" customHeight="1" x14ac:dyDescent="0.25">
      <c r="E770" s="1"/>
      <c r="F770" s="16"/>
    </row>
    <row r="771" spans="5:6" ht="15.75" customHeight="1" x14ac:dyDescent="0.25">
      <c r="E771" s="1"/>
      <c r="F771" s="16"/>
    </row>
    <row r="772" spans="5:6" ht="15.75" customHeight="1" x14ac:dyDescent="0.25">
      <c r="E772" s="1"/>
      <c r="F772" s="16"/>
    </row>
    <row r="773" spans="5:6" ht="15.75" customHeight="1" x14ac:dyDescent="0.25">
      <c r="E773" s="1"/>
      <c r="F773" s="16"/>
    </row>
    <row r="774" spans="5:6" ht="15.75" customHeight="1" x14ac:dyDescent="0.25">
      <c r="E774" s="1"/>
      <c r="F774" s="16"/>
    </row>
    <row r="775" spans="5:6" ht="15.75" customHeight="1" x14ac:dyDescent="0.25">
      <c r="E775" s="1"/>
      <c r="F775" s="16"/>
    </row>
    <row r="776" spans="5:6" ht="15.75" customHeight="1" x14ac:dyDescent="0.25">
      <c r="E776" s="1"/>
      <c r="F776" s="16"/>
    </row>
    <row r="777" spans="5:6" ht="15.75" customHeight="1" x14ac:dyDescent="0.25">
      <c r="E777" s="1"/>
      <c r="F777" s="16"/>
    </row>
    <row r="778" spans="5:6" ht="15.75" customHeight="1" x14ac:dyDescent="0.25">
      <c r="E778" s="1"/>
      <c r="F778" s="16"/>
    </row>
    <row r="779" spans="5:6" ht="15.75" customHeight="1" x14ac:dyDescent="0.25">
      <c r="E779" s="1"/>
      <c r="F779" s="16"/>
    </row>
    <row r="780" spans="5:6" ht="15.75" customHeight="1" x14ac:dyDescent="0.25">
      <c r="E780" s="1"/>
      <c r="F780" s="16"/>
    </row>
    <row r="781" spans="5:6" ht="15.75" customHeight="1" x14ac:dyDescent="0.25">
      <c r="E781" s="1"/>
      <c r="F781" s="16"/>
    </row>
    <row r="782" spans="5:6" ht="15.75" customHeight="1" x14ac:dyDescent="0.25">
      <c r="E782" s="1"/>
      <c r="F782" s="16"/>
    </row>
    <row r="783" spans="5:6" ht="15.75" customHeight="1" x14ac:dyDescent="0.25">
      <c r="E783" s="1"/>
      <c r="F783" s="16"/>
    </row>
    <row r="784" spans="5:6" ht="15.75" customHeight="1" x14ac:dyDescent="0.25">
      <c r="E784" s="1"/>
      <c r="F784" s="16"/>
    </row>
    <row r="785" spans="5:6" ht="15.75" customHeight="1" x14ac:dyDescent="0.25">
      <c r="E785" s="1"/>
      <c r="F785" s="16"/>
    </row>
    <row r="786" spans="5:6" ht="15.75" customHeight="1" x14ac:dyDescent="0.25">
      <c r="E786" s="1"/>
      <c r="F786" s="16"/>
    </row>
    <row r="787" spans="5:6" ht="15.75" customHeight="1" x14ac:dyDescent="0.25">
      <c r="E787" s="1"/>
      <c r="F787" s="16"/>
    </row>
    <row r="788" spans="5:6" ht="15.75" customHeight="1" x14ac:dyDescent="0.25">
      <c r="E788" s="1"/>
      <c r="F788" s="16"/>
    </row>
    <row r="789" spans="5:6" ht="15.75" customHeight="1" x14ac:dyDescent="0.25">
      <c r="E789" s="1"/>
      <c r="F789" s="16"/>
    </row>
    <row r="790" spans="5:6" ht="15.75" customHeight="1" x14ac:dyDescent="0.25">
      <c r="E790" s="1"/>
      <c r="F790" s="16"/>
    </row>
    <row r="791" spans="5:6" ht="15.75" customHeight="1" x14ac:dyDescent="0.25">
      <c r="E791" s="1"/>
      <c r="F791" s="16"/>
    </row>
    <row r="792" spans="5:6" ht="15.75" customHeight="1" x14ac:dyDescent="0.25">
      <c r="E792" s="1"/>
      <c r="F792" s="16"/>
    </row>
    <row r="793" spans="5:6" ht="15.75" customHeight="1" x14ac:dyDescent="0.25">
      <c r="E793" s="1"/>
      <c r="F793" s="16"/>
    </row>
    <row r="794" spans="5:6" ht="15.75" customHeight="1" x14ac:dyDescent="0.25">
      <c r="E794" s="1"/>
      <c r="F794" s="16"/>
    </row>
    <row r="795" spans="5:6" ht="15.75" customHeight="1" x14ac:dyDescent="0.25">
      <c r="E795" s="1"/>
      <c r="F795" s="16"/>
    </row>
    <row r="796" spans="5:6" ht="15.75" customHeight="1" x14ac:dyDescent="0.25">
      <c r="E796" s="1"/>
      <c r="F796" s="16"/>
    </row>
    <row r="797" spans="5:6" ht="15.75" customHeight="1" x14ac:dyDescent="0.25">
      <c r="E797" s="1"/>
      <c r="F797" s="16"/>
    </row>
    <row r="798" spans="5:6" ht="15.75" customHeight="1" x14ac:dyDescent="0.25">
      <c r="E798" s="1"/>
      <c r="F798" s="16"/>
    </row>
    <row r="799" spans="5:6" ht="15.75" customHeight="1" x14ac:dyDescent="0.25">
      <c r="E799" s="1"/>
      <c r="F799" s="16"/>
    </row>
    <row r="800" spans="5:6" ht="15.75" customHeight="1" x14ac:dyDescent="0.25">
      <c r="E800" s="1"/>
      <c r="F800" s="16"/>
    </row>
    <row r="801" spans="5:6" ht="15.75" customHeight="1" x14ac:dyDescent="0.25">
      <c r="E801" s="1"/>
      <c r="F801" s="16"/>
    </row>
    <row r="802" spans="5:6" ht="15.75" customHeight="1" x14ac:dyDescent="0.25">
      <c r="E802" s="1"/>
      <c r="F802" s="16"/>
    </row>
    <row r="803" spans="5:6" ht="15.75" customHeight="1" x14ac:dyDescent="0.25">
      <c r="E803" s="1"/>
      <c r="F803" s="16"/>
    </row>
    <row r="804" spans="5:6" ht="15.75" customHeight="1" x14ac:dyDescent="0.25">
      <c r="E804" s="1"/>
      <c r="F804" s="16"/>
    </row>
    <row r="805" spans="5:6" ht="15.75" customHeight="1" x14ac:dyDescent="0.25">
      <c r="E805" s="1"/>
      <c r="F805" s="16"/>
    </row>
    <row r="806" spans="5:6" ht="15.75" customHeight="1" x14ac:dyDescent="0.25">
      <c r="E806" s="1"/>
      <c r="F806" s="16"/>
    </row>
    <row r="807" spans="5:6" ht="15.75" customHeight="1" x14ac:dyDescent="0.25">
      <c r="E807" s="1"/>
      <c r="F807" s="16"/>
    </row>
    <row r="808" spans="5:6" ht="15.75" customHeight="1" x14ac:dyDescent="0.25">
      <c r="E808" s="1"/>
      <c r="F808" s="16"/>
    </row>
    <row r="809" spans="5:6" ht="15.75" customHeight="1" x14ac:dyDescent="0.25">
      <c r="E809" s="1"/>
      <c r="F809" s="16"/>
    </row>
    <row r="810" spans="5:6" ht="15.75" customHeight="1" x14ac:dyDescent="0.25">
      <c r="E810" s="1"/>
      <c r="F810" s="16"/>
    </row>
    <row r="811" spans="5:6" ht="15.75" customHeight="1" x14ac:dyDescent="0.25">
      <c r="E811" s="1"/>
      <c r="F811" s="16"/>
    </row>
    <row r="812" spans="5:6" ht="15.75" customHeight="1" x14ac:dyDescent="0.25">
      <c r="E812" s="1"/>
      <c r="F812" s="16"/>
    </row>
    <row r="813" spans="5:6" ht="15.75" customHeight="1" x14ac:dyDescent="0.25">
      <c r="E813" s="1"/>
      <c r="F813" s="16"/>
    </row>
    <row r="814" spans="5:6" ht="15.75" customHeight="1" x14ac:dyDescent="0.25">
      <c r="E814" s="1"/>
      <c r="F814" s="16"/>
    </row>
    <row r="815" spans="5:6" ht="15.75" customHeight="1" x14ac:dyDescent="0.25">
      <c r="E815" s="1"/>
      <c r="F815" s="16"/>
    </row>
    <row r="816" spans="5:6" ht="15.75" customHeight="1" x14ac:dyDescent="0.25">
      <c r="E816" s="1"/>
      <c r="F816" s="16"/>
    </row>
    <row r="817" spans="5:6" ht="15.75" customHeight="1" x14ac:dyDescent="0.25">
      <c r="E817" s="1"/>
      <c r="F817" s="16"/>
    </row>
    <row r="818" spans="5:6" ht="15.75" customHeight="1" x14ac:dyDescent="0.25">
      <c r="E818" s="1"/>
      <c r="F818" s="16"/>
    </row>
    <row r="819" spans="5:6" ht="15.75" customHeight="1" x14ac:dyDescent="0.25">
      <c r="E819" s="1"/>
      <c r="F819" s="16"/>
    </row>
    <row r="820" spans="5:6" ht="15.75" customHeight="1" x14ac:dyDescent="0.25">
      <c r="E820" s="1"/>
      <c r="F820" s="16"/>
    </row>
    <row r="821" spans="5:6" ht="15.75" customHeight="1" x14ac:dyDescent="0.25">
      <c r="E821" s="1"/>
      <c r="F821" s="16"/>
    </row>
    <row r="822" spans="5:6" ht="15.75" customHeight="1" x14ac:dyDescent="0.25">
      <c r="E822" s="1"/>
      <c r="F822" s="16"/>
    </row>
    <row r="823" spans="5:6" ht="15.75" customHeight="1" x14ac:dyDescent="0.25">
      <c r="E823" s="1"/>
      <c r="F823" s="16"/>
    </row>
    <row r="824" spans="5:6" ht="15.75" customHeight="1" x14ac:dyDescent="0.25">
      <c r="E824" s="1"/>
      <c r="F824" s="16"/>
    </row>
    <row r="825" spans="5:6" ht="15.75" customHeight="1" x14ac:dyDescent="0.25">
      <c r="E825" s="1"/>
      <c r="F825" s="16"/>
    </row>
    <row r="826" spans="5:6" ht="15.75" customHeight="1" x14ac:dyDescent="0.25">
      <c r="E826" s="1"/>
      <c r="F826" s="16"/>
    </row>
    <row r="827" spans="5:6" ht="15.75" customHeight="1" x14ac:dyDescent="0.25">
      <c r="E827" s="1"/>
      <c r="F827" s="16"/>
    </row>
    <row r="828" spans="5:6" ht="15.75" customHeight="1" x14ac:dyDescent="0.25">
      <c r="E828" s="1"/>
      <c r="F828" s="16"/>
    </row>
    <row r="829" spans="5:6" ht="15.75" customHeight="1" x14ac:dyDescent="0.25">
      <c r="E829" s="1"/>
      <c r="F829" s="16"/>
    </row>
    <row r="830" spans="5:6" ht="15.75" customHeight="1" x14ac:dyDescent="0.25">
      <c r="E830" s="1"/>
      <c r="F830" s="16"/>
    </row>
    <row r="831" spans="5:6" ht="15.75" customHeight="1" x14ac:dyDescent="0.25">
      <c r="E831" s="1"/>
      <c r="F831" s="16"/>
    </row>
    <row r="832" spans="5:6" ht="15.75" customHeight="1" x14ac:dyDescent="0.25">
      <c r="E832" s="1"/>
      <c r="F832" s="16"/>
    </row>
    <row r="833" spans="5:6" ht="15.75" customHeight="1" x14ac:dyDescent="0.25">
      <c r="E833" s="1"/>
      <c r="F833" s="16"/>
    </row>
    <row r="834" spans="5:6" ht="15.75" customHeight="1" x14ac:dyDescent="0.25">
      <c r="E834" s="1"/>
      <c r="F834" s="16"/>
    </row>
    <row r="835" spans="5:6" ht="15.75" customHeight="1" x14ac:dyDescent="0.25">
      <c r="E835" s="1"/>
      <c r="F835" s="16"/>
    </row>
    <row r="836" spans="5:6" ht="15.75" customHeight="1" x14ac:dyDescent="0.25">
      <c r="E836" s="1"/>
      <c r="F836" s="16"/>
    </row>
    <row r="837" spans="5:6" ht="15.75" customHeight="1" x14ac:dyDescent="0.25">
      <c r="E837" s="1"/>
      <c r="F837" s="16"/>
    </row>
    <row r="838" spans="5:6" ht="15.75" customHeight="1" x14ac:dyDescent="0.25">
      <c r="E838" s="1"/>
      <c r="F838" s="16"/>
    </row>
    <row r="839" spans="5:6" ht="15.75" customHeight="1" x14ac:dyDescent="0.25">
      <c r="E839" s="1"/>
      <c r="F839" s="16"/>
    </row>
    <row r="840" spans="5:6" ht="15.75" customHeight="1" x14ac:dyDescent="0.25">
      <c r="E840" s="1"/>
      <c r="F840" s="16"/>
    </row>
    <row r="841" spans="5:6" ht="15.75" customHeight="1" x14ac:dyDescent="0.25">
      <c r="E841" s="1"/>
      <c r="F841" s="16"/>
    </row>
    <row r="842" spans="5:6" ht="15.75" customHeight="1" x14ac:dyDescent="0.25">
      <c r="E842" s="1"/>
      <c r="F842" s="16"/>
    </row>
    <row r="843" spans="5:6" ht="15.75" customHeight="1" x14ac:dyDescent="0.25">
      <c r="E843" s="1"/>
      <c r="F843" s="16"/>
    </row>
    <row r="844" spans="5:6" ht="15.75" customHeight="1" x14ac:dyDescent="0.25">
      <c r="E844" s="1"/>
      <c r="F844" s="16"/>
    </row>
    <row r="845" spans="5:6" ht="15.75" customHeight="1" x14ac:dyDescent="0.25">
      <c r="E845" s="1"/>
      <c r="F845" s="16"/>
    </row>
    <row r="846" spans="5:6" ht="15.75" customHeight="1" x14ac:dyDescent="0.25">
      <c r="E846" s="1"/>
      <c r="F846" s="16"/>
    </row>
    <row r="847" spans="5:6" ht="15.75" customHeight="1" x14ac:dyDescent="0.25">
      <c r="E847" s="1"/>
      <c r="F847" s="16"/>
    </row>
    <row r="848" spans="5:6" ht="15.75" customHeight="1" x14ac:dyDescent="0.25">
      <c r="E848" s="1"/>
      <c r="F848" s="16"/>
    </row>
    <row r="849" spans="5:6" ht="15.75" customHeight="1" x14ac:dyDescent="0.25">
      <c r="E849" s="1"/>
      <c r="F849" s="16"/>
    </row>
    <row r="850" spans="5:6" ht="15.75" customHeight="1" x14ac:dyDescent="0.25">
      <c r="E850" s="1"/>
      <c r="F850" s="16"/>
    </row>
    <row r="851" spans="5:6" ht="15.75" customHeight="1" x14ac:dyDescent="0.25">
      <c r="E851" s="1"/>
      <c r="F851" s="16"/>
    </row>
    <row r="852" spans="5:6" ht="15.75" customHeight="1" x14ac:dyDescent="0.25">
      <c r="E852" s="1"/>
      <c r="F852" s="16"/>
    </row>
    <row r="853" spans="5:6" ht="15.75" customHeight="1" x14ac:dyDescent="0.25">
      <c r="E853" s="1"/>
      <c r="F853" s="16"/>
    </row>
    <row r="854" spans="5:6" ht="15.75" customHeight="1" x14ac:dyDescent="0.25">
      <c r="E854" s="1"/>
      <c r="F854" s="16"/>
    </row>
    <row r="855" spans="5:6" ht="15.75" customHeight="1" x14ac:dyDescent="0.25">
      <c r="E855" s="1"/>
      <c r="F855" s="16"/>
    </row>
    <row r="856" spans="5:6" ht="15.75" customHeight="1" x14ac:dyDescent="0.25">
      <c r="E856" s="1"/>
      <c r="F856" s="16"/>
    </row>
    <row r="857" spans="5:6" ht="15.75" customHeight="1" x14ac:dyDescent="0.25">
      <c r="E857" s="1"/>
      <c r="F857" s="16"/>
    </row>
    <row r="858" spans="5:6" ht="15.75" customHeight="1" x14ac:dyDescent="0.25">
      <c r="E858" s="1"/>
      <c r="F858" s="16"/>
    </row>
    <row r="859" spans="5:6" ht="15.75" customHeight="1" x14ac:dyDescent="0.25">
      <c r="E859" s="1"/>
      <c r="F859" s="16"/>
    </row>
    <row r="860" spans="5:6" ht="15.75" customHeight="1" x14ac:dyDescent="0.25">
      <c r="E860" s="1"/>
      <c r="F860" s="16"/>
    </row>
    <row r="861" spans="5:6" ht="15.75" customHeight="1" x14ac:dyDescent="0.25">
      <c r="E861" s="1"/>
      <c r="F861" s="16"/>
    </row>
    <row r="862" spans="5:6" ht="15.75" customHeight="1" x14ac:dyDescent="0.25">
      <c r="E862" s="1"/>
      <c r="F862" s="16"/>
    </row>
    <row r="863" spans="5:6" ht="15.75" customHeight="1" x14ac:dyDescent="0.25">
      <c r="E863" s="1"/>
      <c r="F863" s="16"/>
    </row>
    <row r="864" spans="5:6" ht="15.75" customHeight="1" x14ac:dyDescent="0.25">
      <c r="E864" s="1"/>
      <c r="F864" s="16"/>
    </row>
    <row r="865" spans="5:6" ht="15.75" customHeight="1" x14ac:dyDescent="0.25">
      <c r="E865" s="1"/>
      <c r="F865" s="16"/>
    </row>
    <row r="866" spans="5:6" ht="15.75" customHeight="1" x14ac:dyDescent="0.25">
      <c r="E866" s="1"/>
      <c r="F866" s="16"/>
    </row>
    <row r="867" spans="5:6" ht="15.75" customHeight="1" x14ac:dyDescent="0.25">
      <c r="E867" s="1"/>
      <c r="F867" s="16"/>
    </row>
    <row r="868" spans="5:6" ht="15.75" customHeight="1" x14ac:dyDescent="0.25">
      <c r="E868" s="1"/>
      <c r="F868" s="16"/>
    </row>
    <row r="869" spans="5:6" ht="15.75" customHeight="1" x14ac:dyDescent="0.25">
      <c r="E869" s="1"/>
      <c r="F869" s="16"/>
    </row>
    <row r="870" spans="5:6" ht="15.75" customHeight="1" x14ac:dyDescent="0.25">
      <c r="E870" s="1"/>
      <c r="F870" s="16"/>
    </row>
    <row r="871" spans="5:6" ht="15.75" customHeight="1" x14ac:dyDescent="0.25">
      <c r="E871" s="1"/>
      <c r="F871" s="16"/>
    </row>
    <row r="872" spans="5:6" ht="15.75" customHeight="1" x14ac:dyDescent="0.25">
      <c r="E872" s="1"/>
      <c r="F872" s="16"/>
    </row>
    <row r="873" spans="5:6" ht="15.75" customHeight="1" x14ac:dyDescent="0.25">
      <c r="E873" s="1"/>
      <c r="F873" s="16"/>
    </row>
    <row r="874" spans="5:6" ht="15.75" customHeight="1" x14ac:dyDescent="0.25">
      <c r="E874" s="1"/>
      <c r="F874" s="16"/>
    </row>
    <row r="875" spans="5:6" ht="15.75" customHeight="1" x14ac:dyDescent="0.25">
      <c r="E875" s="1"/>
      <c r="F875" s="16"/>
    </row>
    <row r="876" spans="5:6" ht="15.75" customHeight="1" x14ac:dyDescent="0.25">
      <c r="E876" s="1"/>
      <c r="F876" s="16"/>
    </row>
    <row r="877" spans="5:6" ht="15.75" customHeight="1" x14ac:dyDescent="0.25">
      <c r="E877" s="1"/>
      <c r="F877" s="16"/>
    </row>
    <row r="878" spans="5:6" ht="15.75" customHeight="1" x14ac:dyDescent="0.25">
      <c r="E878" s="1"/>
      <c r="F878" s="16"/>
    </row>
    <row r="879" spans="5:6" ht="15.75" customHeight="1" x14ac:dyDescent="0.25">
      <c r="E879" s="1"/>
      <c r="F879" s="16"/>
    </row>
    <row r="880" spans="5:6" ht="15.75" customHeight="1" x14ac:dyDescent="0.25">
      <c r="E880" s="1"/>
      <c r="F880" s="16"/>
    </row>
    <row r="881" spans="5:6" ht="15.75" customHeight="1" x14ac:dyDescent="0.25">
      <c r="E881" s="1"/>
      <c r="F881" s="16"/>
    </row>
    <row r="882" spans="5:6" ht="15.75" customHeight="1" x14ac:dyDescent="0.25">
      <c r="E882" s="1"/>
      <c r="F882" s="16"/>
    </row>
    <row r="883" spans="5:6" ht="15.75" customHeight="1" x14ac:dyDescent="0.25">
      <c r="E883" s="1"/>
      <c r="F883" s="16"/>
    </row>
    <row r="884" spans="5:6" ht="15.75" customHeight="1" x14ac:dyDescent="0.25">
      <c r="E884" s="1"/>
      <c r="F884" s="16"/>
    </row>
    <row r="885" spans="5:6" ht="15.75" customHeight="1" x14ac:dyDescent="0.25">
      <c r="E885" s="1"/>
      <c r="F885" s="16"/>
    </row>
    <row r="886" spans="5:6" ht="15.75" customHeight="1" x14ac:dyDescent="0.25">
      <c r="E886" s="1"/>
      <c r="F886" s="16"/>
    </row>
    <row r="887" spans="5:6" ht="15.75" customHeight="1" x14ac:dyDescent="0.25">
      <c r="E887" s="1"/>
      <c r="F887" s="16"/>
    </row>
    <row r="888" spans="5:6" ht="15.75" customHeight="1" x14ac:dyDescent="0.25">
      <c r="E888" s="1"/>
      <c r="F888" s="16"/>
    </row>
    <row r="889" spans="5:6" ht="15.75" customHeight="1" x14ac:dyDescent="0.25">
      <c r="E889" s="1"/>
      <c r="F889" s="16"/>
    </row>
    <row r="890" spans="5:6" ht="15.75" customHeight="1" x14ac:dyDescent="0.25">
      <c r="E890" s="1"/>
      <c r="F890" s="16"/>
    </row>
    <row r="891" spans="5:6" ht="15.75" customHeight="1" x14ac:dyDescent="0.25">
      <c r="E891" s="1"/>
      <c r="F891" s="16"/>
    </row>
    <row r="892" spans="5:6" ht="15.75" customHeight="1" x14ac:dyDescent="0.25">
      <c r="E892" s="1"/>
      <c r="F892" s="16"/>
    </row>
    <row r="893" spans="5:6" ht="15.75" customHeight="1" x14ac:dyDescent="0.25">
      <c r="E893" s="1"/>
      <c r="F893" s="16"/>
    </row>
    <row r="894" spans="5:6" ht="15.75" customHeight="1" x14ac:dyDescent="0.25">
      <c r="E894" s="1"/>
      <c r="F894" s="16"/>
    </row>
    <row r="895" spans="5:6" ht="15.75" customHeight="1" x14ac:dyDescent="0.25">
      <c r="E895" s="1"/>
      <c r="F895" s="16"/>
    </row>
    <row r="896" spans="5:6" ht="15.75" customHeight="1" x14ac:dyDescent="0.25">
      <c r="E896" s="1"/>
      <c r="F896" s="16"/>
    </row>
    <row r="897" spans="5:6" ht="15.75" customHeight="1" x14ac:dyDescent="0.25">
      <c r="E897" s="1"/>
      <c r="F897" s="16"/>
    </row>
    <row r="898" spans="5:6" ht="15.75" customHeight="1" x14ac:dyDescent="0.25">
      <c r="E898" s="1"/>
      <c r="F898" s="16"/>
    </row>
    <row r="899" spans="5:6" ht="15.75" customHeight="1" x14ac:dyDescent="0.25">
      <c r="E899" s="1"/>
      <c r="F899" s="16"/>
    </row>
    <row r="900" spans="5:6" ht="15.75" customHeight="1" x14ac:dyDescent="0.25">
      <c r="E900" s="1"/>
      <c r="F900" s="16"/>
    </row>
    <row r="901" spans="5:6" ht="15.75" customHeight="1" x14ac:dyDescent="0.25">
      <c r="E901" s="1"/>
      <c r="F901" s="16"/>
    </row>
    <row r="902" spans="5:6" ht="15.75" customHeight="1" x14ac:dyDescent="0.25">
      <c r="E902" s="1"/>
      <c r="F902" s="16"/>
    </row>
    <row r="903" spans="5:6" ht="15.75" customHeight="1" x14ac:dyDescent="0.25">
      <c r="E903" s="1"/>
      <c r="F903" s="16"/>
    </row>
    <row r="904" spans="5:6" ht="15.75" customHeight="1" x14ac:dyDescent="0.25">
      <c r="E904" s="1"/>
      <c r="F904" s="16"/>
    </row>
    <row r="905" spans="5:6" ht="15.75" customHeight="1" x14ac:dyDescent="0.25">
      <c r="E905" s="1"/>
      <c r="F905" s="16"/>
    </row>
    <row r="906" spans="5:6" ht="15.75" customHeight="1" x14ac:dyDescent="0.25">
      <c r="E906" s="1"/>
      <c r="F906" s="16"/>
    </row>
    <row r="907" spans="5:6" ht="15.75" customHeight="1" x14ac:dyDescent="0.25">
      <c r="E907" s="1"/>
      <c r="F907" s="16"/>
    </row>
    <row r="908" spans="5:6" ht="15.75" customHeight="1" x14ac:dyDescent="0.25">
      <c r="E908" s="1"/>
      <c r="F908" s="16"/>
    </row>
    <row r="909" spans="5:6" ht="15.75" customHeight="1" x14ac:dyDescent="0.25">
      <c r="E909" s="1"/>
      <c r="F909" s="16"/>
    </row>
    <row r="910" spans="5:6" ht="15.75" customHeight="1" x14ac:dyDescent="0.25">
      <c r="E910" s="1"/>
      <c r="F910" s="16"/>
    </row>
    <row r="911" spans="5:6" ht="15.75" customHeight="1" x14ac:dyDescent="0.25">
      <c r="E911" s="1"/>
      <c r="F911" s="16"/>
    </row>
    <row r="912" spans="5:6" ht="15.75" customHeight="1" x14ac:dyDescent="0.25">
      <c r="E912" s="1"/>
      <c r="F912" s="16"/>
    </row>
    <row r="913" spans="5:6" ht="15.75" customHeight="1" x14ac:dyDescent="0.25">
      <c r="E913" s="1"/>
      <c r="F913" s="16"/>
    </row>
    <row r="914" spans="5:6" ht="15.75" customHeight="1" x14ac:dyDescent="0.25">
      <c r="E914" s="1"/>
      <c r="F914" s="16"/>
    </row>
    <row r="915" spans="5:6" ht="15.75" customHeight="1" x14ac:dyDescent="0.25">
      <c r="E915" s="1"/>
      <c r="F915" s="16"/>
    </row>
    <row r="916" spans="5:6" ht="15.75" customHeight="1" x14ac:dyDescent="0.25">
      <c r="E916" s="1"/>
      <c r="F916" s="16"/>
    </row>
    <row r="917" spans="5:6" ht="15.75" customHeight="1" x14ac:dyDescent="0.25">
      <c r="E917" s="1"/>
      <c r="F917" s="16"/>
    </row>
    <row r="918" spans="5:6" ht="15.75" customHeight="1" x14ac:dyDescent="0.25">
      <c r="E918" s="1"/>
      <c r="F918" s="16"/>
    </row>
    <row r="919" spans="5:6" ht="15.75" customHeight="1" x14ac:dyDescent="0.25">
      <c r="E919" s="1"/>
      <c r="F919" s="16"/>
    </row>
    <row r="920" spans="5:6" ht="15.75" customHeight="1" x14ac:dyDescent="0.25">
      <c r="E920" s="1"/>
      <c r="F920" s="16"/>
    </row>
    <row r="921" spans="5:6" ht="15.75" customHeight="1" x14ac:dyDescent="0.25">
      <c r="E921" s="1"/>
      <c r="F921" s="16"/>
    </row>
    <row r="922" spans="5:6" ht="15.75" customHeight="1" x14ac:dyDescent="0.25">
      <c r="E922" s="1"/>
      <c r="F922" s="16"/>
    </row>
    <row r="923" spans="5:6" ht="15.75" customHeight="1" x14ac:dyDescent="0.25">
      <c r="E923" s="1"/>
      <c r="F923" s="16"/>
    </row>
    <row r="924" spans="5:6" ht="15.75" customHeight="1" x14ac:dyDescent="0.25">
      <c r="E924" s="1"/>
      <c r="F924" s="16"/>
    </row>
    <row r="925" spans="5:6" ht="15.75" customHeight="1" x14ac:dyDescent="0.25">
      <c r="E925" s="1"/>
      <c r="F925" s="16"/>
    </row>
    <row r="926" spans="5:6" ht="15.75" customHeight="1" x14ac:dyDescent="0.25">
      <c r="E926" s="1"/>
      <c r="F926" s="16"/>
    </row>
    <row r="927" spans="5:6" ht="15.75" customHeight="1" x14ac:dyDescent="0.25">
      <c r="E927" s="1"/>
      <c r="F927" s="16"/>
    </row>
    <row r="928" spans="5:6" ht="15.75" customHeight="1" x14ac:dyDescent="0.25">
      <c r="E928" s="1"/>
      <c r="F928" s="16"/>
    </row>
    <row r="929" spans="5:6" ht="15.75" customHeight="1" x14ac:dyDescent="0.25">
      <c r="E929" s="1"/>
      <c r="F929" s="16"/>
    </row>
    <row r="930" spans="5:6" ht="15.75" customHeight="1" x14ac:dyDescent="0.25">
      <c r="E930" s="1"/>
      <c r="F930" s="16"/>
    </row>
    <row r="931" spans="5:6" ht="15.75" customHeight="1" x14ac:dyDescent="0.25">
      <c r="E931" s="1"/>
      <c r="F931" s="16"/>
    </row>
    <row r="932" spans="5:6" ht="15.75" customHeight="1" x14ac:dyDescent="0.25">
      <c r="E932" s="1"/>
      <c r="F932" s="16"/>
    </row>
    <row r="933" spans="5:6" ht="15.75" customHeight="1" x14ac:dyDescent="0.25">
      <c r="E933" s="1"/>
      <c r="F933" s="16"/>
    </row>
    <row r="934" spans="5:6" ht="15.75" customHeight="1" x14ac:dyDescent="0.25">
      <c r="E934" s="1"/>
      <c r="F934" s="16"/>
    </row>
    <row r="935" spans="5:6" ht="15.75" customHeight="1" x14ac:dyDescent="0.25">
      <c r="E935" s="1"/>
      <c r="F935" s="16"/>
    </row>
    <row r="936" spans="5:6" ht="15.75" customHeight="1" x14ac:dyDescent="0.25">
      <c r="E936" s="1"/>
      <c r="F936" s="16"/>
    </row>
    <row r="937" spans="5:6" ht="15.75" customHeight="1" x14ac:dyDescent="0.25">
      <c r="E937" s="1"/>
      <c r="F937" s="16"/>
    </row>
    <row r="938" spans="5:6" ht="15.75" customHeight="1" x14ac:dyDescent="0.25">
      <c r="E938" s="1"/>
      <c r="F938" s="16"/>
    </row>
    <row r="939" spans="5:6" ht="15.75" customHeight="1" x14ac:dyDescent="0.25">
      <c r="E939" s="1"/>
      <c r="F939" s="16"/>
    </row>
    <row r="940" spans="5:6" ht="15.75" customHeight="1" x14ac:dyDescent="0.25">
      <c r="E940" s="1"/>
      <c r="F940" s="16"/>
    </row>
    <row r="941" spans="5:6" ht="15.75" customHeight="1" x14ac:dyDescent="0.25">
      <c r="E941" s="1"/>
      <c r="F941" s="16"/>
    </row>
    <row r="942" spans="5:6" ht="15.75" customHeight="1" x14ac:dyDescent="0.25">
      <c r="E942" s="1"/>
      <c r="F942" s="16"/>
    </row>
    <row r="943" spans="5:6" ht="15.75" customHeight="1" x14ac:dyDescent="0.25">
      <c r="E943" s="1"/>
      <c r="F943" s="16"/>
    </row>
    <row r="944" spans="5:6" ht="15.75" customHeight="1" x14ac:dyDescent="0.25">
      <c r="E944" s="1"/>
      <c r="F944" s="16"/>
    </row>
    <row r="945" spans="5:6" ht="15.75" customHeight="1" x14ac:dyDescent="0.25">
      <c r="E945" s="1"/>
      <c r="F945" s="16"/>
    </row>
    <row r="946" spans="5:6" ht="15.75" customHeight="1" x14ac:dyDescent="0.25">
      <c r="E946" s="1"/>
      <c r="F946" s="16"/>
    </row>
    <row r="947" spans="5:6" ht="15.75" customHeight="1" x14ac:dyDescent="0.25">
      <c r="E947" s="1"/>
      <c r="F947" s="16"/>
    </row>
    <row r="948" spans="5:6" ht="15.75" customHeight="1" x14ac:dyDescent="0.25">
      <c r="E948" s="1"/>
      <c r="F948" s="16"/>
    </row>
    <row r="949" spans="5:6" ht="15.75" customHeight="1" x14ac:dyDescent="0.25">
      <c r="E949" s="1"/>
      <c r="F949" s="16"/>
    </row>
    <row r="950" spans="5:6" ht="15.75" customHeight="1" x14ac:dyDescent="0.25">
      <c r="E950" s="1"/>
      <c r="F950" s="16"/>
    </row>
    <row r="951" spans="5:6" ht="15.75" customHeight="1" x14ac:dyDescent="0.25">
      <c r="E951" s="1"/>
      <c r="F951" s="16"/>
    </row>
    <row r="952" spans="5:6" ht="15.75" customHeight="1" x14ac:dyDescent="0.25">
      <c r="E952" s="1"/>
      <c r="F952" s="16"/>
    </row>
    <row r="953" spans="5:6" ht="15.75" customHeight="1" x14ac:dyDescent="0.25">
      <c r="E953" s="1"/>
      <c r="F953" s="16"/>
    </row>
    <row r="954" spans="5:6" ht="15.75" customHeight="1" x14ac:dyDescent="0.25">
      <c r="E954" s="1"/>
      <c r="F954" s="16"/>
    </row>
    <row r="955" spans="5:6" ht="15.75" customHeight="1" x14ac:dyDescent="0.25">
      <c r="E955" s="1"/>
      <c r="F955" s="16"/>
    </row>
    <row r="956" spans="5:6" ht="15.75" customHeight="1" x14ac:dyDescent="0.25">
      <c r="E956" s="1"/>
      <c r="F956" s="16"/>
    </row>
    <row r="957" spans="5:6" ht="15.75" customHeight="1" x14ac:dyDescent="0.25">
      <c r="E957" s="1"/>
      <c r="F957" s="16"/>
    </row>
    <row r="958" spans="5:6" ht="15.75" customHeight="1" x14ac:dyDescent="0.25">
      <c r="E958" s="1"/>
      <c r="F958" s="16"/>
    </row>
    <row r="959" spans="5:6" ht="15.75" customHeight="1" x14ac:dyDescent="0.25">
      <c r="E959" s="1"/>
      <c r="F959" s="16"/>
    </row>
    <row r="960" spans="5:6" ht="15.75" customHeight="1" x14ac:dyDescent="0.25">
      <c r="E960" s="1"/>
      <c r="F960" s="16"/>
    </row>
    <row r="961" spans="5:6" ht="15.75" customHeight="1" x14ac:dyDescent="0.25">
      <c r="E961" s="1"/>
      <c r="F961" s="16"/>
    </row>
    <row r="962" spans="5:6" ht="15.75" customHeight="1" x14ac:dyDescent="0.25">
      <c r="E962" s="1"/>
      <c r="F962" s="16"/>
    </row>
    <row r="963" spans="5:6" ht="15.75" customHeight="1" x14ac:dyDescent="0.25">
      <c r="E963" s="1"/>
      <c r="F963" s="16"/>
    </row>
    <row r="964" spans="5:6" ht="15.75" customHeight="1" x14ac:dyDescent="0.25">
      <c r="E964" s="1"/>
      <c r="F964" s="16"/>
    </row>
    <row r="965" spans="5:6" ht="15.75" customHeight="1" x14ac:dyDescent="0.25">
      <c r="E965" s="1"/>
      <c r="F965" s="16"/>
    </row>
    <row r="966" spans="5:6" ht="15.75" customHeight="1" x14ac:dyDescent="0.25">
      <c r="E966" s="1"/>
      <c r="F966" s="16"/>
    </row>
    <row r="967" spans="5:6" ht="15.75" customHeight="1" x14ac:dyDescent="0.25">
      <c r="E967" s="1"/>
      <c r="F967" s="16"/>
    </row>
    <row r="968" spans="5:6" ht="15.75" customHeight="1" x14ac:dyDescent="0.25">
      <c r="E968" s="1"/>
      <c r="F968" s="16"/>
    </row>
    <row r="969" spans="5:6" ht="15.75" customHeight="1" x14ac:dyDescent="0.25">
      <c r="E969" s="1"/>
      <c r="F969" s="16"/>
    </row>
    <row r="970" spans="5:6" ht="15.75" customHeight="1" x14ac:dyDescent="0.25">
      <c r="E970" s="1"/>
      <c r="F970" s="16"/>
    </row>
    <row r="971" spans="5:6" ht="15.75" customHeight="1" x14ac:dyDescent="0.25">
      <c r="E971" s="1"/>
      <c r="F971" s="16"/>
    </row>
    <row r="972" spans="5:6" ht="15.75" customHeight="1" x14ac:dyDescent="0.25">
      <c r="E972" s="1"/>
      <c r="F972" s="16"/>
    </row>
    <row r="973" spans="5:6" ht="15.75" customHeight="1" x14ac:dyDescent="0.25">
      <c r="E973" s="1"/>
      <c r="F973" s="16"/>
    </row>
    <row r="974" spans="5:6" ht="15.75" customHeight="1" x14ac:dyDescent="0.25">
      <c r="E974" s="1"/>
      <c r="F974" s="16"/>
    </row>
    <row r="975" spans="5:6" ht="15.75" customHeight="1" x14ac:dyDescent="0.25">
      <c r="E975" s="1"/>
      <c r="F975" s="16"/>
    </row>
    <row r="976" spans="5:6" ht="15.75" customHeight="1" x14ac:dyDescent="0.25">
      <c r="E976" s="1"/>
      <c r="F976" s="16"/>
    </row>
    <row r="977" spans="5:6" ht="15.75" customHeight="1" x14ac:dyDescent="0.25">
      <c r="E977" s="1"/>
      <c r="F977" s="16"/>
    </row>
    <row r="978" spans="5:6" ht="15.75" customHeight="1" x14ac:dyDescent="0.25">
      <c r="E978" s="1"/>
      <c r="F978" s="16"/>
    </row>
    <row r="979" spans="5:6" ht="15.75" customHeight="1" x14ac:dyDescent="0.25">
      <c r="E979" s="1"/>
      <c r="F979" s="16"/>
    </row>
    <row r="980" spans="5:6" ht="15.75" customHeight="1" x14ac:dyDescent="0.25">
      <c r="E980" s="1"/>
      <c r="F980" s="16"/>
    </row>
    <row r="981" spans="5:6" ht="15.75" customHeight="1" x14ac:dyDescent="0.25">
      <c r="E981" s="1"/>
      <c r="F981" s="16"/>
    </row>
    <row r="982" spans="5:6" ht="15.75" customHeight="1" x14ac:dyDescent="0.25">
      <c r="E982" s="1"/>
      <c r="F982" s="16"/>
    </row>
    <row r="983" spans="5:6" ht="15.75" customHeight="1" x14ac:dyDescent="0.25">
      <c r="E983" s="1"/>
      <c r="F983" s="16"/>
    </row>
    <row r="984" spans="5:6" ht="15.75" customHeight="1" x14ac:dyDescent="0.25">
      <c r="E984" s="1"/>
      <c r="F984" s="16"/>
    </row>
    <row r="985" spans="5:6" ht="15.75" customHeight="1" x14ac:dyDescent="0.25">
      <c r="E985" s="1"/>
      <c r="F985" s="16"/>
    </row>
    <row r="986" spans="5:6" ht="15.75" customHeight="1" x14ac:dyDescent="0.25">
      <c r="E986" s="1"/>
      <c r="F986" s="16"/>
    </row>
    <row r="987" spans="5:6" ht="15.75" customHeight="1" x14ac:dyDescent="0.25">
      <c r="E987" s="1"/>
      <c r="F987" s="16"/>
    </row>
    <row r="988" spans="5:6" ht="15.75" customHeight="1" x14ac:dyDescent="0.25">
      <c r="E988" s="1"/>
      <c r="F988" s="16"/>
    </row>
    <row r="989" spans="5:6" ht="15.75" customHeight="1" x14ac:dyDescent="0.25">
      <c r="E989" s="1"/>
      <c r="F989" s="16"/>
    </row>
    <row r="990" spans="5:6" ht="15.75" customHeight="1" x14ac:dyDescent="0.25">
      <c r="E990" s="1"/>
      <c r="F990" s="16"/>
    </row>
    <row r="991" spans="5:6" ht="15.75" customHeight="1" x14ac:dyDescent="0.25">
      <c r="E991" s="1"/>
      <c r="F991" s="16"/>
    </row>
    <row r="992" spans="5:6" ht="15.75" customHeight="1" x14ac:dyDescent="0.25">
      <c r="E992" s="1"/>
      <c r="F992" s="16"/>
    </row>
    <row r="993" spans="5:6" ht="15.75" customHeight="1" x14ac:dyDescent="0.25">
      <c r="E993" s="1"/>
      <c r="F993" s="16"/>
    </row>
    <row r="994" spans="5:6" ht="15.75" customHeight="1" x14ac:dyDescent="0.25">
      <c r="E994" s="1"/>
      <c r="F994" s="16"/>
    </row>
    <row r="995" spans="5:6" ht="15.75" customHeight="1" x14ac:dyDescent="0.25">
      <c r="E995" s="1"/>
      <c r="F995" s="16"/>
    </row>
    <row r="996" spans="5:6" ht="15.75" customHeight="1" x14ac:dyDescent="0.25">
      <c r="E996" s="1"/>
      <c r="F996" s="16"/>
    </row>
    <row r="997" spans="5:6" ht="15.75" customHeight="1" x14ac:dyDescent="0.25">
      <c r="E997" s="1"/>
      <c r="F997" s="16"/>
    </row>
    <row r="998" spans="5:6" ht="15.75" customHeight="1" x14ac:dyDescent="0.25">
      <c r="E998" s="1"/>
      <c r="F998" s="16"/>
    </row>
    <row r="999" spans="5:6" ht="15.75" customHeight="1" x14ac:dyDescent="0.25">
      <c r="E999" s="1"/>
      <c r="F999" s="16"/>
    </row>
    <row r="1000" spans="5:6" ht="15.75" customHeight="1" x14ac:dyDescent="0.25">
      <c r="E1000" s="1"/>
      <c r="F1000" s="16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AD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11" customWidth="1"/>
    <col min="5" max="7" width="8.7109375" customWidth="1"/>
    <col min="8" max="8" width="11.7109375" customWidth="1"/>
    <col min="9" max="18" width="8.7109375" customWidth="1"/>
    <col min="19" max="19" width="9.140625" customWidth="1"/>
    <col min="20" max="20" width="10.7109375" customWidth="1"/>
    <col min="21" max="21" width="12.28515625" customWidth="1"/>
    <col min="22" max="22" width="8.7109375" customWidth="1"/>
    <col min="23" max="23" width="11.140625" customWidth="1"/>
    <col min="24" max="25" width="8.7109375" customWidth="1"/>
    <col min="26" max="27" width="10.7109375" customWidth="1"/>
    <col min="28" max="30" width="8.7109375" customWidth="1"/>
  </cols>
  <sheetData>
    <row r="1" spans="3:30" x14ac:dyDescent="0.25">
      <c r="S1" s="1"/>
    </row>
    <row r="2" spans="3:30" x14ac:dyDescent="0.25">
      <c r="S2" s="1"/>
    </row>
    <row r="3" spans="3:30" ht="17.25" x14ac:dyDescent="0.3">
      <c r="C3" s="1"/>
      <c r="D3" s="2" t="s">
        <v>116</v>
      </c>
      <c r="E3" s="17"/>
      <c r="F3" s="18"/>
      <c r="G3" s="2"/>
      <c r="H3" s="2"/>
      <c r="I3" s="2"/>
      <c r="J3" s="2"/>
      <c r="K3" s="2"/>
      <c r="L3" s="2"/>
      <c r="M3" s="3"/>
      <c r="O3" s="19" t="s">
        <v>88</v>
      </c>
      <c r="P3" s="26" t="s">
        <v>2</v>
      </c>
      <c r="Q3" s="27" t="s">
        <v>117</v>
      </c>
      <c r="S3" s="1"/>
    </row>
    <row r="4" spans="3:30" x14ac:dyDescent="0.25">
      <c r="C4" s="1"/>
      <c r="D4" s="4" t="s">
        <v>1</v>
      </c>
      <c r="E4" s="9" t="s">
        <v>2</v>
      </c>
      <c r="F4" s="20">
        <v>1799</v>
      </c>
      <c r="G4" s="4">
        <v>2099</v>
      </c>
      <c r="H4" s="4">
        <v>2699</v>
      </c>
      <c r="I4" s="4">
        <v>588</v>
      </c>
      <c r="J4" s="4">
        <v>2088</v>
      </c>
      <c r="K4" s="4">
        <v>2488</v>
      </c>
      <c r="L4" s="4">
        <v>2688</v>
      </c>
      <c r="M4" s="5" t="s">
        <v>3</v>
      </c>
      <c r="S4" s="1"/>
    </row>
    <row r="5" spans="3:30" ht="17.25" x14ac:dyDescent="0.3">
      <c r="C5" s="1"/>
      <c r="D5" s="6" t="s">
        <v>4</v>
      </c>
      <c r="E5" s="10">
        <f>'May 2023'!$I$69</f>
        <v>33780</v>
      </c>
      <c r="F5" s="22">
        <f>'May 2023'!$J$69</f>
        <v>10000</v>
      </c>
      <c r="G5" s="7">
        <f>'May 2023'!$K$69</f>
        <v>0</v>
      </c>
      <c r="H5" s="7">
        <f>'May 2023'!$L$69</f>
        <v>8800</v>
      </c>
      <c r="I5" s="7">
        <f>'May 2023'!$M$69</f>
        <v>3500</v>
      </c>
      <c r="J5" s="7">
        <f>'May 2023'!$N$69</f>
        <v>13475</v>
      </c>
      <c r="K5" s="7">
        <f>'May 2023'!$O$69</f>
        <v>14550</v>
      </c>
      <c r="L5" s="7">
        <f>'May 2023'!$P$69</f>
        <v>5100</v>
      </c>
      <c r="M5" s="8">
        <f>SUM(E5:L5)</f>
        <v>89205</v>
      </c>
      <c r="O5" s="28">
        <f>SUM(F5:L5)</f>
        <v>55425</v>
      </c>
      <c r="P5" s="29">
        <f>E5</f>
        <v>33780</v>
      </c>
      <c r="Q5" s="30">
        <f>SUM(O5,P5)</f>
        <v>89205</v>
      </c>
      <c r="S5" s="1"/>
    </row>
    <row r="6" spans="3:30" x14ac:dyDescent="0.25">
      <c r="C6" s="1"/>
      <c r="D6" s="6" t="s">
        <v>5</v>
      </c>
      <c r="E6" s="10"/>
      <c r="F6" s="22"/>
      <c r="G6" s="7"/>
      <c r="H6" s="7"/>
      <c r="I6" s="7"/>
      <c r="J6" s="7"/>
      <c r="K6" s="7"/>
      <c r="L6" s="7"/>
      <c r="M6" s="7"/>
      <c r="S6" s="1"/>
    </row>
    <row r="7" spans="3:30" x14ac:dyDescent="0.25">
      <c r="C7" s="1"/>
      <c r="D7" s="6" t="s">
        <v>6</v>
      </c>
      <c r="E7" s="10"/>
      <c r="F7" s="22"/>
      <c r="G7" s="7"/>
      <c r="H7" s="7"/>
      <c r="I7" s="7"/>
      <c r="J7" s="7"/>
      <c r="K7" s="7"/>
      <c r="L7" s="7"/>
      <c r="M7" s="7"/>
      <c r="S7" s="1"/>
    </row>
    <row r="8" spans="3:30" x14ac:dyDescent="0.25">
      <c r="C8" s="1"/>
      <c r="D8" s="6" t="s">
        <v>7</v>
      </c>
      <c r="E8" s="10"/>
      <c r="F8" s="22"/>
      <c r="G8" s="7"/>
      <c r="H8" s="7"/>
      <c r="I8" s="7"/>
      <c r="J8" s="7"/>
      <c r="K8" s="7"/>
      <c r="L8" s="7"/>
      <c r="M8" s="7"/>
      <c r="S8" s="1"/>
    </row>
    <row r="9" spans="3:30" x14ac:dyDescent="0.25">
      <c r="C9" s="1"/>
      <c r="E9" s="1"/>
      <c r="F9" s="16"/>
      <c r="S9" s="1"/>
    </row>
    <row r="10" spans="3:30" x14ac:dyDescent="0.25">
      <c r="C10" s="1"/>
      <c r="E10" s="1"/>
      <c r="F10" s="16"/>
      <c r="S10" s="1"/>
    </row>
    <row r="11" spans="3:30" x14ac:dyDescent="0.25">
      <c r="C11" s="1"/>
      <c r="E11" s="1"/>
      <c r="F11" s="16"/>
      <c r="S11" s="1"/>
    </row>
    <row r="12" spans="3:30" x14ac:dyDescent="0.25">
      <c r="C12" s="9" t="s">
        <v>8</v>
      </c>
      <c r="D12" s="4" t="s">
        <v>9</v>
      </c>
      <c r="E12" s="9" t="s">
        <v>10</v>
      </c>
      <c r="F12" s="20" t="s">
        <v>11</v>
      </c>
      <c r="G12" s="4" t="s">
        <v>4</v>
      </c>
      <c r="H12" s="4" t="s">
        <v>12</v>
      </c>
      <c r="I12" s="4" t="s">
        <v>2</v>
      </c>
      <c r="J12" s="4" t="s">
        <v>13</v>
      </c>
      <c r="K12" s="4" t="s">
        <v>14</v>
      </c>
      <c r="L12" s="4" t="s">
        <v>15</v>
      </c>
      <c r="M12" s="4" t="s">
        <v>16</v>
      </c>
      <c r="N12" s="4" t="s">
        <v>17</v>
      </c>
      <c r="O12" s="4" t="s">
        <v>18</v>
      </c>
      <c r="P12" s="4" t="s">
        <v>19</v>
      </c>
      <c r="S12" s="1" t="s">
        <v>118</v>
      </c>
    </row>
    <row r="13" spans="3:30" x14ac:dyDescent="0.25">
      <c r="C13" s="10">
        <v>1</v>
      </c>
      <c r="D13" s="11">
        <v>45049</v>
      </c>
      <c r="E13" s="10" t="s">
        <v>119</v>
      </c>
      <c r="F13" s="22" t="s">
        <v>120</v>
      </c>
      <c r="G13" s="7">
        <v>1500</v>
      </c>
      <c r="H13" s="12">
        <v>196</v>
      </c>
      <c r="I13" s="7"/>
      <c r="J13" s="7"/>
      <c r="K13" s="7"/>
      <c r="L13" s="7" t="s">
        <v>84</v>
      </c>
      <c r="M13" s="7"/>
      <c r="N13" s="7"/>
      <c r="O13" s="7"/>
      <c r="P13" s="7">
        <v>1500</v>
      </c>
      <c r="S13" s="10" t="s">
        <v>121</v>
      </c>
      <c r="T13" s="7" t="s">
        <v>9</v>
      </c>
      <c r="U13" s="7" t="s">
        <v>122</v>
      </c>
      <c r="V13" s="7" t="s">
        <v>4</v>
      </c>
      <c r="W13" s="7" t="s">
        <v>123</v>
      </c>
      <c r="X13" s="7" t="s">
        <v>4</v>
      </c>
      <c r="Y13" s="7" t="s">
        <v>117</v>
      </c>
      <c r="Z13" s="7" t="s">
        <v>124</v>
      </c>
      <c r="AA13" s="7" t="s">
        <v>11</v>
      </c>
      <c r="AB13" s="7" t="s">
        <v>4</v>
      </c>
      <c r="AC13" s="7" t="s">
        <v>125</v>
      </c>
      <c r="AD13" s="7" t="s">
        <v>126</v>
      </c>
    </row>
    <row r="14" spans="3:30" x14ac:dyDescent="0.25">
      <c r="C14" s="10">
        <v>2</v>
      </c>
      <c r="D14" s="11">
        <v>45048</v>
      </c>
      <c r="E14" s="10">
        <v>57</v>
      </c>
      <c r="F14" s="22" t="s">
        <v>120</v>
      </c>
      <c r="G14" s="7">
        <v>1500</v>
      </c>
      <c r="H14" s="12">
        <v>135</v>
      </c>
      <c r="I14" s="7">
        <v>1500</v>
      </c>
      <c r="J14" s="7"/>
      <c r="K14" s="7"/>
      <c r="L14" s="7"/>
      <c r="M14" s="7"/>
      <c r="N14" s="7"/>
      <c r="O14" s="7"/>
      <c r="P14" s="7"/>
      <c r="S14" s="10">
        <v>1</v>
      </c>
      <c r="T14" s="11">
        <v>45060</v>
      </c>
      <c r="U14" s="7" t="s">
        <v>127</v>
      </c>
      <c r="V14" s="7">
        <v>500</v>
      </c>
      <c r="W14" s="7"/>
      <c r="X14" s="7"/>
      <c r="Y14" s="7"/>
      <c r="Z14" s="11">
        <v>45064</v>
      </c>
      <c r="AA14" s="11" t="s">
        <v>96</v>
      </c>
      <c r="AB14" s="7">
        <v>8500</v>
      </c>
      <c r="AC14" s="7" t="s">
        <v>96</v>
      </c>
      <c r="AD14" s="7" t="s">
        <v>128</v>
      </c>
    </row>
    <row r="15" spans="3:30" x14ac:dyDescent="0.25">
      <c r="C15" s="10">
        <v>3</v>
      </c>
      <c r="D15" s="11">
        <v>45049</v>
      </c>
      <c r="E15" s="10">
        <v>59</v>
      </c>
      <c r="F15" s="22" t="s">
        <v>40</v>
      </c>
      <c r="G15" s="7">
        <v>500</v>
      </c>
      <c r="H15" s="12">
        <v>145</v>
      </c>
      <c r="I15" s="7">
        <v>500</v>
      </c>
      <c r="J15" s="7"/>
      <c r="K15" s="7"/>
      <c r="L15" s="7" t="s">
        <v>84</v>
      </c>
      <c r="M15" s="7"/>
      <c r="N15" s="7"/>
      <c r="O15" s="7"/>
      <c r="P15" s="7"/>
      <c r="S15" s="10">
        <v>2</v>
      </c>
      <c r="T15" s="11">
        <v>45060</v>
      </c>
      <c r="U15" s="7" t="s">
        <v>129</v>
      </c>
      <c r="V15" s="7">
        <v>2500</v>
      </c>
      <c r="W15" s="7"/>
      <c r="X15" s="7"/>
      <c r="Y15" s="7"/>
      <c r="Z15" s="11">
        <v>45064</v>
      </c>
      <c r="AA15" s="11" t="s">
        <v>96</v>
      </c>
      <c r="AB15" s="7">
        <v>1000</v>
      </c>
      <c r="AC15" s="7" t="s">
        <v>130</v>
      </c>
      <c r="AD15" s="7">
        <v>27000</v>
      </c>
    </row>
    <row r="16" spans="3:30" x14ac:dyDescent="0.25">
      <c r="C16" s="10">
        <v>4</v>
      </c>
      <c r="D16" s="11">
        <v>45049</v>
      </c>
      <c r="E16" s="10" t="s">
        <v>131</v>
      </c>
      <c r="F16" s="22" t="s">
        <v>111</v>
      </c>
      <c r="G16" s="7">
        <v>200</v>
      </c>
      <c r="H16" s="31" t="s">
        <v>132</v>
      </c>
      <c r="I16" s="7">
        <v>100</v>
      </c>
      <c r="J16" s="7"/>
      <c r="K16" s="7" t="s">
        <v>84</v>
      </c>
      <c r="L16" s="7" t="s">
        <v>84</v>
      </c>
      <c r="M16" s="7"/>
      <c r="N16" s="7"/>
      <c r="O16" s="7"/>
      <c r="P16" s="7">
        <v>100</v>
      </c>
      <c r="S16" s="10">
        <v>3</v>
      </c>
      <c r="T16" s="11">
        <v>45060</v>
      </c>
      <c r="U16" s="7" t="s">
        <v>133</v>
      </c>
      <c r="V16" s="7">
        <v>52000</v>
      </c>
      <c r="W16" s="7"/>
      <c r="X16" s="7"/>
      <c r="Y16" s="7"/>
      <c r="Z16" s="11">
        <v>45064</v>
      </c>
      <c r="AA16" s="7" t="s">
        <v>96</v>
      </c>
      <c r="AB16" s="7">
        <v>1000</v>
      </c>
      <c r="AC16" s="7" t="s">
        <v>133</v>
      </c>
      <c r="AD16" s="7">
        <v>51000</v>
      </c>
    </row>
    <row r="17" spans="3:30" x14ac:dyDescent="0.25">
      <c r="C17" s="10">
        <v>5</v>
      </c>
      <c r="D17" s="11">
        <v>45049</v>
      </c>
      <c r="E17" s="10">
        <v>62</v>
      </c>
      <c r="F17" s="22" t="s">
        <v>37</v>
      </c>
      <c r="G17" s="7">
        <v>250</v>
      </c>
      <c r="H17" s="12">
        <v>210</v>
      </c>
      <c r="I17" s="7"/>
      <c r="J17" s="7" t="s">
        <v>84</v>
      </c>
      <c r="K17" s="7"/>
      <c r="L17" s="7">
        <v>250</v>
      </c>
      <c r="M17" s="7"/>
      <c r="N17" s="7"/>
      <c r="O17" s="7"/>
      <c r="P17" s="7"/>
      <c r="S17" s="10">
        <v>4</v>
      </c>
      <c r="T17" s="11">
        <v>45060</v>
      </c>
      <c r="U17" s="7" t="s">
        <v>134</v>
      </c>
      <c r="V17" s="7">
        <v>8000</v>
      </c>
      <c r="W17" s="7"/>
      <c r="X17" s="7"/>
      <c r="Y17" s="7"/>
      <c r="Z17" s="11">
        <v>45064</v>
      </c>
      <c r="AA17" s="7" t="s">
        <v>96</v>
      </c>
      <c r="AB17" s="7">
        <v>3500</v>
      </c>
      <c r="AC17" s="7" t="s">
        <v>135</v>
      </c>
      <c r="AD17" s="7">
        <v>4500</v>
      </c>
    </row>
    <row r="18" spans="3:30" x14ac:dyDescent="0.25">
      <c r="C18" s="10">
        <v>6</v>
      </c>
      <c r="D18" s="11">
        <v>45050</v>
      </c>
      <c r="E18" s="10">
        <v>64</v>
      </c>
      <c r="F18" s="22" t="s">
        <v>136</v>
      </c>
      <c r="G18" s="7">
        <v>2000</v>
      </c>
      <c r="H18" s="12">
        <v>140</v>
      </c>
      <c r="I18" s="7">
        <v>2000</v>
      </c>
      <c r="J18" s="7"/>
      <c r="K18" s="7"/>
      <c r="L18" s="7"/>
      <c r="M18" s="7"/>
      <c r="N18" s="7"/>
      <c r="O18" s="7"/>
      <c r="P18" s="7"/>
      <c r="S18" s="10">
        <v>5</v>
      </c>
      <c r="T18" s="11">
        <v>45060</v>
      </c>
      <c r="U18" s="7" t="s">
        <v>96</v>
      </c>
      <c r="V18" s="32">
        <v>8500</v>
      </c>
      <c r="W18" s="7"/>
      <c r="X18" s="7"/>
      <c r="Y18" s="7"/>
      <c r="Z18" s="11">
        <v>45065</v>
      </c>
      <c r="AA18" s="7" t="s">
        <v>89</v>
      </c>
      <c r="AB18" s="7">
        <v>1000</v>
      </c>
      <c r="AC18" s="7" t="s">
        <v>137</v>
      </c>
      <c r="AD18" s="7">
        <v>36500</v>
      </c>
    </row>
    <row r="19" spans="3:30" x14ac:dyDescent="0.25">
      <c r="C19" s="10">
        <v>7</v>
      </c>
      <c r="D19" s="11">
        <v>45050</v>
      </c>
      <c r="E19" s="10" t="s">
        <v>27</v>
      </c>
      <c r="F19" s="22" t="s">
        <v>28</v>
      </c>
      <c r="G19" s="7">
        <v>500</v>
      </c>
      <c r="H19" s="12">
        <v>197</v>
      </c>
      <c r="I19" s="7"/>
      <c r="J19" s="7">
        <v>500</v>
      </c>
      <c r="K19" s="7"/>
      <c r="L19" s="7"/>
      <c r="M19" s="7"/>
      <c r="N19" s="7"/>
      <c r="O19" s="7"/>
      <c r="P19" s="7"/>
      <c r="S19" s="10">
        <v>6</v>
      </c>
      <c r="T19" s="11">
        <v>45060</v>
      </c>
      <c r="U19" s="7" t="s">
        <v>138</v>
      </c>
      <c r="V19" s="7">
        <v>5000</v>
      </c>
      <c r="W19" s="7"/>
      <c r="X19" s="7"/>
      <c r="Y19" s="7"/>
      <c r="Z19" s="11">
        <v>45065</v>
      </c>
      <c r="AA19" s="7" t="s">
        <v>139</v>
      </c>
      <c r="AB19" s="7">
        <v>1200</v>
      </c>
      <c r="AC19" s="7" t="s">
        <v>137</v>
      </c>
      <c r="AD19" s="7">
        <v>35300</v>
      </c>
    </row>
    <row r="20" spans="3:30" x14ac:dyDescent="0.25">
      <c r="C20" s="10">
        <v>8</v>
      </c>
      <c r="D20" s="11">
        <v>45050</v>
      </c>
      <c r="E20" s="10">
        <v>65</v>
      </c>
      <c r="F20" s="22" t="s">
        <v>140</v>
      </c>
      <c r="G20" s="7">
        <v>200</v>
      </c>
      <c r="H20" s="12">
        <v>135</v>
      </c>
      <c r="I20" s="7">
        <v>200</v>
      </c>
      <c r="J20" s="7"/>
      <c r="K20" s="7"/>
      <c r="L20" s="7"/>
      <c r="M20" s="7"/>
      <c r="N20" s="7"/>
      <c r="O20" s="7"/>
      <c r="P20" s="7"/>
      <c r="S20" s="10">
        <v>7</v>
      </c>
      <c r="T20" s="11">
        <v>45060</v>
      </c>
      <c r="U20" s="7" t="s">
        <v>141</v>
      </c>
      <c r="V20" s="7">
        <v>27000</v>
      </c>
      <c r="W20" s="7"/>
      <c r="X20" s="7"/>
      <c r="Y20" s="7"/>
      <c r="Z20" s="11">
        <v>45065</v>
      </c>
      <c r="AA20" s="7" t="s">
        <v>48</v>
      </c>
      <c r="AB20" s="7">
        <v>700</v>
      </c>
      <c r="AC20" s="7" t="s">
        <v>137</v>
      </c>
      <c r="AD20" s="7">
        <v>34600</v>
      </c>
    </row>
    <row r="21" spans="3:30" ht="15.75" customHeight="1" x14ac:dyDescent="0.25">
      <c r="C21" s="10">
        <v>9</v>
      </c>
      <c r="D21" s="11">
        <v>45051</v>
      </c>
      <c r="E21" s="10">
        <v>66</v>
      </c>
      <c r="F21" s="22" t="s">
        <v>142</v>
      </c>
      <c r="G21" s="7">
        <v>1000</v>
      </c>
      <c r="H21" s="12">
        <v>193</v>
      </c>
      <c r="I21" s="7"/>
      <c r="J21" s="7"/>
      <c r="K21" s="7"/>
      <c r="L21" s="7"/>
      <c r="M21" s="7"/>
      <c r="N21" s="7"/>
      <c r="O21" s="7">
        <v>1000</v>
      </c>
      <c r="P21" s="7"/>
      <c r="S21" s="10">
        <v>8</v>
      </c>
      <c r="T21" s="11">
        <v>45060</v>
      </c>
      <c r="U21" s="7" t="s">
        <v>137</v>
      </c>
      <c r="V21" s="7">
        <v>37500</v>
      </c>
      <c r="W21" s="7"/>
      <c r="X21" s="7"/>
      <c r="Y21" s="7"/>
      <c r="Z21" s="11">
        <v>45066</v>
      </c>
      <c r="AA21" s="7" t="s">
        <v>139</v>
      </c>
      <c r="AB21" s="7">
        <v>500</v>
      </c>
      <c r="AC21" s="7" t="s">
        <v>133</v>
      </c>
      <c r="AD21" s="7">
        <v>50500</v>
      </c>
    </row>
    <row r="22" spans="3:30" ht="15.75" customHeight="1" x14ac:dyDescent="0.25">
      <c r="C22" s="10">
        <v>10</v>
      </c>
      <c r="D22" s="11">
        <v>45051</v>
      </c>
      <c r="E22" s="10">
        <v>67</v>
      </c>
      <c r="F22" s="22" t="s">
        <v>143</v>
      </c>
      <c r="G22" s="7">
        <v>2000</v>
      </c>
      <c r="H22" s="12">
        <v>200</v>
      </c>
      <c r="I22" s="7"/>
      <c r="J22" s="7"/>
      <c r="K22" s="7"/>
      <c r="L22" s="7">
        <v>2000</v>
      </c>
      <c r="M22" s="7"/>
      <c r="N22" s="7"/>
      <c r="O22" s="7"/>
      <c r="P22" s="7"/>
      <c r="S22" s="10">
        <v>9</v>
      </c>
      <c r="T22" s="11">
        <v>45077</v>
      </c>
      <c r="U22" s="7" t="s">
        <v>144</v>
      </c>
      <c r="V22" s="7">
        <v>16293</v>
      </c>
      <c r="W22" s="7"/>
      <c r="X22" s="7"/>
      <c r="Y22" s="7"/>
      <c r="Z22" s="11">
        <v>45077</v>
      </c>
      <c r="AA22" s="7" t="s">
        <v>145</v>
      </c>
      <c r="AB22" s="7">
        <v>480</v>
      </c>
      <c r="AC22" s="7" t="s">
        <v>146</v>
      </c>
      <c r="AD22" s="7"/>
    </row>
    <row r="23" spans="3:30" ht="15.75" customHeight="1" x14ac:dyDescent="0.25">
      <c r="C23" s="10">
        <v>11</v>
      </c>
      <c r="D23" s="11">
        <v>45051</v>
      </c>
      <c r="E23" s="10" t="s">
        <v>147</v>
      </c>
      <c r="F23" s="22" t="s">
        <v>49</v>
      </c>
      <c r="G23" s="7">
        <v>1500</v>
      </c>
      <c r="H23" s="12">
        <v>206</v>
      </c>
      <c r="I23" s="7"/>
      <c r="J23" s="7"/>
      <c r="K23" s="7"/>
      <c r="L23" s="7"/>
      <c r="M23" s="7">
        <v>1500</v>
      </c>
      <c r="N23" s="7"/>
      <c r="O23" s="7"/>
      <c r="P23" s="7"/>
      <c r="S23" s="10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</row>
    <row r="24" spans="3:30" ht="15.75" customHeight="1" x14ac:dyDescent="0.25">
      <c r="C24" s="10">
        <v>12</v>
      </c>
      <c r="D24" s="11">
        <v>45051</v>
      </c>
      <c r="E24" s="10">
        <v>68</v>
      </c>
      <c r="F24" s="22" t="s">
        <v>148</v>
      </c>
      <c r="G24" s="7">
        <v>1000</v>
      </c>
      <c r="H24" s="12">
        <v>205</v>
      </c>
      <c r="I24" s="7"/>
      <c r="J24" s="7"/>
      <c r="K24" s="7"/>
      <c r="L24" s="7"/>
      <c r="M24" s="7"/>
      <c r="N24" s="7"/>
      <c r="O24" s="7"/>
      <c r="P24" s="7">
        <v>1000</v>
      </c>
      <c r="S24" s="10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</row>
    <row r="25" spans="3:30" ht="15.75" customHeight="1" x14ac:dyDescent="0.25">
      <c r="C25" s="10">
        <v>13</v>
      </c>
      <c r="D25" s="11">
        <v>45051</v>
      </c>
      <c r="E25" s="10" t="s">
        <v>149</v>
      </c>
      <c r="F25" s="22" t="s">
        <v>44</v>
      </c>
      <c r="G25" s="7">
        <v>2000</v>
      </c>
      <c r="H25" s="12">
        <v>220</v>
      </c>
      <c r="I25" s="7"/>
      <c r="J25" s="7"/>
      <c r="K25" s="7"/>
      <c r="L25" s="7"/>
      <c r="M25" s="7"/>
      <c r="N25" s="7"/>
      <c r="O25" s="7"/>
      <c r="P25" s="7">
        <v>2000</v>
      </c>
      <c r="S25" s="10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</row>
    <row r="26" spans="3:30" ht="15.75" customHeight="1" x14ac:dyDescent="0.25">
      <c r="C26" s="10">
        <v>14</v>
      </c>
      <c r="D26" s="11">
        <v>45051</v>
      </c>
      <c r="E26" s="10">
        <v>69</v>
      </c>
      <c r="F26" s="22" t="s">
        <v>96</v>
      </c>
      <c r="G26" s="7">
        <v>10000</v>
      </c>
      <c r="H26" s="12">
        <v>140</v>
      </c>
      <c r="I26" s="7">
        <v>10000</v>
      </c>
      <c r="J26" s="7"/>
      <c r="K26" s="7"/>
      <c r="L26" s="7"/>
      <c r="M26" s="7"/>
      <c r="N26" s="7"/>
      <c r="O26" s="7"/>
      <c r="P26" s="7"/>
      <c r="S26" s="10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</row>
    <row r="27" spans="3:30" ht="15.75" customHeight="1" x14ac:dyDescent="0.25">
      <c r="C27" s="10">
        <v>15</v>
      </c>
      <c r="D27" s="11">
        <v>45054</v>
      </c>
      <c r="E27" s="10">
        <v>71</v>
      </c>
      <c r="F27" s="22" t="s">
        <v>150</v>
      </c>
      <c r="G27" s="7">
        <v>1000</v>
      </c>
      <c r="H27" s="12">
        <v>203</v>
      </c>
      <c r="I27" s="7"/>
      <c r="J27" s="7"/>
      <c r="K27" s="7"/>
      <c r="L27" s="7"/>
      <c r="M27" s="7">
        <v>1000</v>
      </c>
      <c r="N27" s="7"/>
      <c r="O27" s="7"/>
      <c r="P27" s="7"/>
      <c r="S27" s="10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</row>
    <row r="28" spans="3:30" ht="15.75" customHeight="1" x14ac:dyDescent="0.25">
      <c r="C28" s="10">
        <v>16</v>
      </c>
      <c r="D28" s="11">
        <v>45054</v>
      </c>
      <c r="E28" s="24">
        <v>72</v>
      </c>
      <c r="F28" s="22" t="s">
        <v>80</v>
      </c>
      <c r="G28" s="7">
        <v>600</v>
      </c>
      <c r="H28" s="12">
        <v>137</v>
      </c>
      <c r="I28" s="7">
        <v>600</v>
      </c>
      <c r="J28" s="7"/>
      <c r="K28" s="7"/>
      <c r="L28" s="7"/>
      <c r="M28" s="7"/>
      <c r="N28" s="7"/>
      <c r="O28" s="7"/>
      <c r="P28" s="7"/>
      <c r="S28" s="10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</row>
    <row r="29" spans="3:30" ht="15.75" customHeight="1" x14ac:dyDescent="0.25">
      <c r="C29" s="10">
        <v>17</v>
      </c>
      <c r="D29" s="11">
        <v>45054</v>
      </c>
      <c r="E29" s="10">
        <v>73</v>
      </c>
      <c r="F29" s="22" t="s">
        <v>24</v>
      </c>
      <c r="G29" s="7">
        <v>700</v>
      </c>
      <c r="H29" s="12" t="s">
        <v>151</v>
      </c>
      <c r="I29" s="7">
        <v>500</v>
      </c>
      <c r="J29" s="7"/>
      <c r="K29" s="7"/>
      <c r="L29" s="7"/>
      <c r="M29" s="7"/>
      <c r="N29" s="7"/>
      <c r="O29" s="7">
        <v>200</v>
      </c>
      <c r="P29" s="7"/>
      <c r="S29" s="10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</row>
    <row r="30" spans="3:30" ht="15.75" customHeight="1" x14ac:dyDescent="0.25">
      <c r="C30" s="10">
        <v>18</v>
      </c>
      <c r="D30" s="11">
        <v>45055</v>
      </c>
      <c r="E30" s="10" t="s">
        <v>152</v>
      </c>
      <c r="F30" s="22" t="s">
        <v>95</v>
      </c>
      <c r="G30" s="7">
        <v>4000</v>
      </c>
      <c r="H30" s="12">
        <v>196</v>
      </c>
      <c r="I30" s="7"/>
      <c r="J30" s="7"/>
      <c r="K30" s="7"/>
      <c r="L30" s="7"/>
      <c r="M30" s="7"/>
      <c r="N30" s="7"/>
      <c r="O30" s="7">
        <v>4000</v>
      </c>
      <c r="P30" s="7"/>
      <c r="S30" s="10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</row>
    <row r="31" spans="3:30" ht="15.75" customHeight="1" x14ac:dyDescent="0.25">
      <c r="C31" s="10">
        <v>19</v>
      </c>
      <c r="D31" s="11">
        <v>45055</v>
      </c>
      <c r="E31" s="10" t="s">
        <v>153</v>
      </c>
      <c r="F31" s="22" t="s">
        <v>49</v>
      </c>
      <c r="G31" s="7">
        <v>5000</v>
      </c>
      <c r="H31" s="12" t="s">
        <v>154</v>
      </c>
      <c r="I31" s="7"/>
      <c r="J31" s="7"/>
      <c r="K31" s="7"/>
      <c r="L31" s="7">
        <v>2000</v>
      </c>
      <c r="M31" s="7"/>
      <c r="N31" s="7">
        <v>2000</v>
      </c>
      <c r="O31" s="7">
        <v>1000</v>
      </c>
      <c r="P31" s="7"/>
      <c r="S31" s="10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</row>
    <row r="32" spans="3:30" ht="15.75" customHeight="1" x14ac:dyDescent="0.25">
      <c r="C32" s="10">
        <v>20</v>
      </c>
      <c r="D32" s="11">
        <v>45057</v>
      </c>
      <c r="E32" s="10" t="s">
        <v>27</v>
      </c>
      <c r="F32" s="22" t="s">
        <v>30</v>
      </c>
      <c r="G32" s="7">
        <v>250</v>
      </c>
      <c r="H32" s="12" t="s">
        <v>155</v>
      </c>
      <c r="I32" s="7"/>
      <c r="J32" s="7"/>
      <c r="K32" s="7"/>
      <c r="L32" s="7">
        <v>50</v>
      </c>
      <c r="M32" s="7"/>
      <c r="N32" s="7"/>
      <c r="O32" s="7"/>
      <c r="P32" s="7">
        <v>200</v>
      </c>
      <c r="S32" s="10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</row>
    <row r="33" spans="3:30" ht="15.75" customHeight="1" x14ac:dyDescent="0.25">
      <c r="C33" s="10">
        <v>21</v>
      </c>
      <c r="D33" s="11">
        <v>45057</v>
      </c>
      <c r="E33" s="10" t="s">
        <v>156</v>
      </c>
      <c r="F33" s="22" t="s">
        <v>32</v>
      </c>
      <c r="G33" s="7">
        <v>500</v>
      </c>
      <c r="H33" s="12">
        <v>204</v>
      </c>
      <c r="I33" s="7"/>
      <c r="J33" s="7"/>
      <c r="K33" s="7"/>
      <c r="L33" s="7"/>
      <c r="M33" s="7"/>
      <c r="N33" s="7"/>
      <c r="O33" s="7">
        <v>500</v>
      </c>
      <c r="P33" s="7"/>
      <c r="S33" s="10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</row>
    <row r="34" spans="3:30" ht="15.75" customHeight="1" x14ac:dyDescent="0.25">
      <c r="C34" s="10">
        <v>22</v>
      </c>
      <c r="D34" s="11">
        <v>45054</v>
      </c>
      <c r="E34" s="10">
        <v>74</v>
      </c>
      <c r="F34" s="22" t="s">
        <v>157</v>
      </c>
      <c r="G34" s="7">
        <v>200</v>
      </c>
      <c r="H34" s="12">
        <v>220</v>
      </c>
      <c r="I34" s="7"/>
      <c r="J34" s="7"/>
      <c r="K34" s="7"/>
      <c r="L34" s="7"/>
      <c r="M34" s="7"/>
      <c r="N34" s="7"/>
      <c r="O34" s="7"/>
      <c r="P34" s="7">
        <v>200</v>
      </c>
      <c r="S34" s="10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</row>
    <row r="35" spans="3:30" ht="15.75" customHeight="1" x14ac:dyDescent="0.25">
      <c r="C35" s="10">
        <v>23</v>
      </c>
      <c r="D35" s="11">
        <v>45057</v>
      </c>
      <c r="E35" s="10">
        <v>75</v>
      </c>
      <c r="F35" s="22" t="s">
        <v>41</v>
      </c>
      <c r="G35" s="7">
        <v>5000</v>
      </c>
      <c r="H35" s="12">
        <v>204</v>
      </c>
      <c r="I35" s="7"/>
      <c r="J35" s="7">
        <v>5000</v>
      </c>
      <c r="K35" s="7"/>
      <c r="L35" s="7"/>
      <c r="M35" s="7"/>
      <c r="N35" s="7"/>
      <c r="O35" s="7"/>
      <c r="P35" s="7"/>
      <c r="S35" s="10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 t="s">
        <v>84</v>
      </c>
    </row>
    <row r="36" spans="3:30" ht="15.75" customHeight="1" x14ac:dyDescent="0.25">
      <c r="C36" s="10">
        <v>24</v>
      </c>
      <c r="D36" s="11">
        <v>45057</v>
      </c>
      <c r="E36" s="10" t="s">
        <v>27</v>
      </c>
      <c r="F36" s="22" t="s">
        <v>28</v>
      </c>
      <c r="G36" s="7">
        <v>500</v>
      </c>
      <c r="H36" s="12">
        <v>144</v>
      </c>
      <c r="I36" s="7">
        <v>500</v>
      </c>
      <c r="J36" s="7"/>
      <c r="K36" s="7"/>
      <c r="L36" s="7"/>
      <c r="M36" s="7"/>
      <c r="N36" s="7"/>
      <c r="O36" s="7"/>
      <c r="P36" s="7"/>
      <c r="S36" s="9"/>
      <c r="T36" s="4"/>
      <c r="U36" s="4"/>
      <c r="V36" s="4">
        <f>SUM(V14:V35)</f>
        <v>157293</v>
      </c>
      <c r="W36" s="4"/>
      <c r="X36" s="4"/>
      <c r="Y36" s="4"/>
      <c r="Z36" s="4"/>
      <c r="AA36" s="4"/>
      <c r="AB36" s="4">
        <f>SUM(AB14:AB35)</f>
        <v>17880</v>
      </c>
      <c r="AC36" s="4"/>
      <c r="AD36" s="4">
        <f>SUM(V36-AB36)</f>
        <v>139413</v>
      </c>
    </row>
    <row r="37" spans="3:30" ht="15.75" customHeight="1" x14ac:dyDescent="0.25">
      <c r="C37" s="10">
        <v>25</v>
      </c>
      <c r="D37" s="11">
        <v>45061</v>
      </c>
      <c r="E37" s="10">
        <v>76</v>
      </c>
      <c r="F37" s="22" t="s">
        <v>71</v>
      </c>
      <c r="G37" s="7">
        <v>200</v>
      </c>
      <c r="H37" s="12">
        <v>195</v>
      </c>
      <c r="I37" s="7"/>
      <c r="J37" s="7"/>
      <c r="K37" s="7"/>
      <c r="L37" s="7"/>
      <c r="M37" s="7"/>
      <c r="N37" s="7"/>
      <c r="O37" s="7">
        <v>200</v>
      </c>
      <c r="P37" s="7"/>
      <c r="S37" s="1"/>
    </row>
    <row r="38" spans="3:30" ht="15.75" customHeight="1" x14ac:dyDescent="0.25">
      <c r="C38" s="10">
        <v>26</v>
      </c>
      <c r="D38" s="11">
        <v>45062</v>
      </c>
      <c r="E38" s="10">
        <v>77</v>
      </c>
      <c r="F38" s="22" t="s">
        <v>142</v>
      </c>
      <c r="G38" s="7">
        <v>100</v>
      </c>
      <c r="H38" s="12">
        <v>197</v>
      </c>
      <c r="I38" s="7"/>
      <c r="J38" s="7"/>
      <c r="K38" s="7"/>
      <c r="L38" s="7"/>
      <c r="M38" s="7"/>
      <c r="N38" s="7"/>
      <c r="O38" s="7">
        <v>100</v>
      </c>
      <c r="P38" s="7"/>
      <c r="S38" s="1"/>
    </row>
    <row r="39" spans="3:30" ht="15.75" customHeight="1" x14ac:dyDescent="0.25">
      <c r="C39" s="10">
        <v>27</v>
      </c>
      <c r="D39" s="11">
        <v>45063</v>
      </c>
      <c r="E39" s="10">
        <v>79</v>
      </c>
      <c r="F39" s="22" t="s">
        <v>37</v>
      </c>
      <c r="G39" s="7">
        <v>500</v>
      </c>
      <c r="H39" s="12">
        <v>210</v>
      </c>
      <c r="I39" s="7"/>
      <c r="J39" s="7"/>
      <c r="K39" s="7"/>
      <c r="L39" s="7">
        <v>500</v>
      </c>
      <c r="M39" s="7"/>
      <c r="N39" s="7"/>
      <c r="O39" s="7"/>
      <c r="P39" s="7"/>
      <c r="S39" s="1"/>
    </row>
    <row r="40" spans="3:30" ht="15.75" customHeight="1" x14ac:dyDescent="0.25">
      <c r="C40" s="10">
        <v>28</v>
      </c>
      <c r="D40" s="11">
        <v>45064</v>
      </c>
      <c r="E40" s="10">
        <v>81</v>
      </c>
      <c r="F40" s="22" t="s">
        <v>142</v>
      </c>
      <c r="G40" s="7">
        <v>500</v>
      </c>
      <c r="H40" s="12">
        <v>193</v>
      </c>
      <c r="I40" s="7"/>
      <c r="J40" s="7"/>
      <c r="K40" s="7"/>
      <c r="L40" s="7"/>
      <c r="M40" s="7"/>
      <c r="N40" s="7"/>
      <c r="O40" s="7">
        <v>500</v>
      </c>
      <c r="P40" s="7"/>
      <c r="S40" s="1"/>
    </row>
    <row r="41" spans="3:30" ht="15.75" customHeight="1" x14ac:dyDescent="0.25">
      <c r="C41" s="10">
        <v>29</v>
      </c>
      <c r="D41" s="11">
        <v>45064</v>
      </c>
      <c r="E41" s="10">
        <v>82</v>
      </c>
      <c r="F41" s="22" t="s">
        <v>96</v>
      </c>
      <c r="G41" s="7">
        <v>8500</v>
      </c>
      <c r="H41" s="12">
        <v>140</v>
      </c>
      <c r="I41" s="7">
        <v>8500</v>
      </c>
      <c r="J41" s="7"/>
      <c r="K41" s="7"/>
      <c r="L41" s="7"/>
      <c r="M41" s="7"/>
      <c r="N41" s="7"/>
      <c r="O41" s="7"/>
      <c r="P41" s="7"/>
      <c r="S41" s="1"/>
    </row>
    <row r="42" spans="3:30" ht="15.75" customHeight="1" x14ac:dyDescent="0.25">
      <c r="C42" s="10">
        <v>30</v>
      </c>
      <c r="D42" s="11">
        <v>45064</v>
      </c>
      <c r="E42" s="10">
        <v>83</v>
      </c>
      <c r="F42" s="22" t="s">
        <v>96</v>
      </c>
      <c r="G42" s="7">
        <v>1000</v>
      </c>
      <c r="H42" s="12">
        <v>145</v>
      </c>
      <c r="I42" s="7">
        <v>1000</v>
      </c>
      <c r="J42" s="7"/>
      <c r="K42" s="7"/>
      <c r="L42" s="7"/>
      <c r="M42" s="7"/>
      <c r="N42" s="7"/>
      <c r="O42" s="7"/>
      <c r="P42" s="7"/>
      <c r="S42" s="1"/>
    </row>
    <row r="43" spans="3:30" ht="15.75" customHeight="1" x14ac:dyDescent="0.25">
      <c r="C43" s="10">
        <v>31</v>
      </c>
      <c r="D43" s="11">
        <v>45064</v>
      </c>
      <c r="E43" s="10">
        <v>84</v>
      </c>
      <c r="F43" s="22" t="s">
        <v>96</v>
      </c>
      <c r="G43" s="7">
        <v>4500</v>
      </c>
      <c r="H43" s="12">
        <v>140</v>
      </c>
      <c r="I43" s="7">
        <v>4500</v>
      </c>
      <c r="J43" s="7"/>
      <c r="K43" s="7"/>
      <c r="L43" s="7"/>
      <c r="M43" s="7"/>
      <c r="N43" s="7"/>
      <c r="O43" s="7"/>
      <c r="P43" s="7"/>
      <c r="S43" s="1"/>
    </row>
    <row r="44" spans="3:30" ht="15.75" customHeight="1" x14ac:dyDescent="0.25">
      <c r="C44" s="10">
        <v>32</v>
      </c>
      <c r="D44" s="11">
        <v>45065</v>
      </c>
      <c r="E44" s="10">
        <v>86</v>
      </c>
      <c r="F44" s="22" t="s">
        <v>26</v>
      </c>
      <c r="G44" s="7">
        <v>100</v>
      </c>
      <c r="H44" s="12">
        <v>225</v>
      </c>
      <c r="I44" s="7"/>
      <c r="J44" s="7"/>
      <c r="K44" s="7"/>
      <c r="L44" s="7"/>
      <c r="M44" s="7"/>
      <c r="N44" s="7"/>
      <c r="O44" s="7"/>
      <c r="P44" s="7">
        <v>100</v>
      </c>
      <c r="S44" s="1"/>
    </row>
    <row r="45" spans="3:30" ht="15.75" customHeight="1" x14ac:dyDescent="0.25">
      <c r="C45" s="10">
        <v>33</v>
      </c>
      <c r="D45" s="11">
        <v>45065</v>
      </c>
      <c r="E45" s="10">
        <v>87</v>
      </c>
      <c r="F45" s="22" t="s">
        <v>89</v>
      </c>
      <c r="G45" s="7">
        <v>1000</v>
      </c>
      <c r="H45" s="12">
        <v>135</v>
      </c>
      <c r="I45" s="7">
        <v>1000</v>
      </c>
      <c r="J45" s="7"/>
      <c r="K45" s="7"/>
      <c r="L45" s="7"/>
      <c r="M45" s="7"/>
      <c r="N45" s="7"/>
      <c r="O45" s="7"/>
      <c r="P45" s="7"/>
      <c r="S45" s="1"/>
    </row>
    <row r="46" spans="3:30" ht="15.75" customHeight="1" x14ac:dyDescent="0.25">
      <c r="C46" s="10">
        <v>34</v>
      </c>
      <c r="D46" s="11">
        <v>45065</v>
      </c>
      <c r="E46" s="10">
        <v>88</v>
      </c>
      <c r="F46" s="22" t="s">
        <v>139</v>
      </c>
      <c r="G46" s="7">
        <v>1200</v>
      </c>
      <c r="H46" s="12">
        <v>143</v>
      </c>
      <c r="I46" s="7">
        <v>1200</v>
      </c>
      <c r="J46" s="7"/>
      <c r="K46" s="7"/>
      <c r="L46" s="7"/>
      <c r="M46" s="7"/>
      <c r="N46" s="7"/>
      <c r="O46" s="7"/>
      <c r="P46" s="7"/>
      <c r="S46" s="1"/>
    </row>
    <row r="47" spans="3:30" ht="15.75" customHeight="1" x14ac:dyDescent="0.25">
      <c r="C47" s="10">
        <v>35</v>
      </c>
      <c r="D47" s="11">
        <v>45065</v>
      </c>
      <c r="E47" s="10" t="s">
        <v>27</v>
      </c>
      <c r="F47" s="22" t="s">
        <v>28</v>
      </c>
      <c r="G47" s="7">
        <v>525</v>
      </c>
      <c r="H47" s="12" t="s">
        <v>158</v>
      </c>
      <c r="I47" s="7"/>
      <c r="J47" s="7">
        <v>500</v>
      </c>
      <c r="K47" s="7"/>
      <c r="L47" s="7"/>
      <c r="M47" s="7"/>
      <c r="N47" s="7">
        <v>25</v>
      </c>
      <c r="O47" s="7"/>
      <c r="P47" s="7"/>
      <c r="S47" s="1"/>
    </row>
    <row r="48" spans="3:30" ht="15.75" customHeight="1" x14ac:dyDescent="0.25">
      <c r="C48" s="10">
        <v>36</v>
      </c>
      <c r="D48" s="11">
        <v>45065</v>
      </c>
      <c r="E48" s="10" t="s">
        <v>27</v>
      </c>
      <c r="F48" s="22" t="s">
        <v>73</v>
      </c>
      <c r="G48" s="7">
        <v>1000</v>
      </c>
      <c r="H48" s="12">
        <v>203</v>
      </c>
      <c r="I48" s="7"/>
      <c r="J48" s="7"/>
      <c r="K48" s="7"/>
      <c r="L48" s="7">
        <v>1000</v>
      </c>
      <c r="M48" s="7"/>
      <c r="N48" s="7"/>
      <c r="O48" s="7"/>
      <c r="P48" s="7"/>
      <c r="S48" s="1"/>
    </row>
    <row r="49" spans="3:19" ht="15.75" customHeight="1" x14ac:dyDescent="0.25">
      <c r="C49" s="10">
        <v>37</v>
      </c>
      <c r="D49" s="11">
        <v>45065</v>
      </c>
      <c r="E49" s="10">
        <v>90</v>
      </c>
      <c r="F49" s="22" t="s">
        <v>48</v>
      </c>
      <c r="G49" s="7">
        <v>700</v>
      </c>
      <c r="H49" s="12">
        <v>138</v>
      </c>
      <c r="I49" s="7">
        <v>700</v>
      </c>
      <c r="J49" s="7"/>
      <c r="K49" s="7"/>
      <c r="L49" s="7"/>
      <c r="M49" s="7"/>
      <c r="N49" s="7"/>
      <c r="O49" s="7"/>
      <c r="P49" s="7"/>
      <c r="S49" s="1"/>
    </row>
    <row r="50" spans="3:19" ht="15.75" customHeight="1" x14ac:dyDescent="0.25">
      <c r="C50" s="10">
        <v>38</v>
      </c>
      <c r="D50" s="11">
        <v>45066</v>
      </c>
      <c r="E50" s="10">
        <v>96</v>
      </c>
      <c r="F50" s="22" t="s">
        <v>80</v>
      </c>
      <c r="G50" s="7">
        <v>100</v>
      </c>
      <c r="H50" s="12">
        <v>200</v>
      </c>
      <c r="I50" s="7"/>
      <c r="J50" s="7"/>
      <c r="K50" s="7"/>
      <c r="L50" s="7"/>
      <c r="M50" s="7"/>
      <c r="N50" s="7">
        <v>100</v>
      </c>
      <c r="O50" s="7"/>
      <c r="P50" s="7"/>
      <c r="S50" s="1"/>
    </row>
    <row r="51" spans="3:19" ht="15.75" customHeight="1" x14ac:dyDescent="0.25">
      <c r="C51" s="10">
        <v>39</v>
      </c>
      <c r="D51" s="11">
        <v>45066</v>
      </c>
      <c r="E51" s="10">
        <v>97</v>
      </c>
      <c r="F51" s="22" t="s">
        <v>139</v>
      </c>
      <c r="G51" s="7">
        <v>500</v>
      </c>
      <c r="H51" s="12">
        <v>138</v>
      </c>
      <c r="I51" s="7">
        <v>500</v>
      </c>
      <c r="J51" s="7"/>
      <c r="K51" s="7"/>
      <c r="L51" s="7"/>
      <c r="M51" s="7"/>
      <c r="N51" s="7"/>
      <c r="O51" s="7"/>
      <c r="P51" s="7"/>
      <c r="S51" s="1"/>
    </row>
    <row r="52" spans="3:19" ht="15.75" customHeight="1" x14ac:dyDescent="0.25">
      <c r="C52" s="10">
        <v>40</v>
      </c>
      <c r="D52" s="11">
        <v>44979</v>
      </c>
      <c r="E52" s="10" t="s">
        <v>159</v>
      </c>
      <c r="F52" s="22" t="s">
        <v>49</v>
      </c>
      <c r="G52" s="7">
        <v>2000</v>
      </c>
      <c r="H52" s="31" t="s">
        <v>160</v>
      </c>
      <c r="I52" s="7"/>
      <c r="J52" s="7"/>
      <c r="K52" s="7"/>
      <c r="L52" s="7">
        <v>1000</v>
      </c>
      <c r="M52" s="7"/>
      <c r="N52" s="7"/>
      <c r="O52" s="7">
        <v>1000</v>
      </c>
      <c r="P52" s="7"/>
      <c r="S52" s="1"/>
    </row>
    <row r="53" spans="3:19" ht="15.75" customHeight="1" x14ac:dyDescent="0.25">
      <c r="C53" s="10">
        <v>41</v>
      </c>
      <c r="D53" s="11">
        <v>45068</v>
      </c>
      <c r="E53" s="10">
        <v>99</v>
      </c>
      <c r="F53" s="22" t="s">
        <v>56</v>
      </c>
      <c r="G53" s="7">
        <v>100</v>
      </c>
      <c r="H53" s="12">
        <v>140</v>
      </c>
      <c r="I53" s="7">
        <v>100</v>
      </c>
      <c r="J53" s="7"/>
      <c r="K53" s="7"/>
      <c r="L53" s="7"/>
      <c r="M53" s="7"/>
      <c r="N53" s="7"/>
      <c r="O53" s="7"/>
      <c r="P53" s="7"/>
      <c r="S53" s="1"/>
    </row>
    <row r="54" spans="3:19" ht="15.75" customHeight="1" x14ac:dyDescent="0.25">
      <c r="C54" s="10">
        <v>42</v>
      </c>
      <c r="D54" s="11">
        <v>45070</v>
      </c>
      <c r="E54" s="10">
        <v>100</v>
      </c>
      <c r="F54" s="22" t="s">
        <v>48</v>
      </c>
      <c r="G54" s="7">
        <v>250</v>
      </c>
      <c r="H54" s="12">
        <v>194</v>
      </c>
      <c r="I54" s="7"/>
      <c r="J54" s="7"/>
      <c r="K54" s="7"/>
      <c r="L54" s="7"/>
      <c r="M54" s="7"/>
      <c r="N54" s="7"/>
      <c r="O54" s="7">
        <v>250</v>
      </c>
      <c r="P54" s="7"/>
      <c r="S54" s="1"/>
    </row>
    <row r="55" spans="3:19" ht="15.75" customHeight="1" x14ac:dyDescent="0.25">
      <c r="C55" s="10">
        <v>43</v>
      </c>
      <c r="D55" s="11">
        <v>45070</v>
      </c>
      <c r="E55" s="10">
        <v>101</v>
      </c>
      <c r="F55" s="22" t="s">
        <v>111</v>
      </c>
      <c r="G55" s="7">
        <v>500</v>
      </c>
      <c r="H55" s="12" t="s">
        <v>161</v>
      </c>
      <c r="I55" s="7"/>
      <c r="J55" s="7">
        <v>250</v>
      </c>
      <c r="K55" s="7"/>
      <c r="L55" s="7"/>
      <c r="M55" s="7"/>
      <c r="N55" s="7">
        <v>250</v>
      </c>
      <c r="O55" s="7"/>
      <c r="P55" s="7"/>
      <c r="S55" s="1"/>
    </row>
    <row r="56" spans="3:19" ht="15.75" customHeight="1" x14ac:dyDescent="0.25">
      <c r="C56" s="10">
        <v>44</v>
      </c>
      <c r="D56" s="11">
        <v>45070</v>
      </c>
      <c r="E56" s="10">
        <v>102</v>
      </c>
      <c r="F56" s="22" t="s">
        <v>162</v>
      </c>
      <c r="G56" s="7">
        <v>40</v>
      </c>
      <c r="H56" s="12">
        <v>136</v>
      </c>
      <c r="I56" s="7">
        <v>40</v>
      </c>
      <c r="J56" s="7"/>
      <c r="K56" s="7"/>
      <c r="L56" s="7"/>
      <c r="M56" s="7"/>
      <c r="N56" s="7"/>
      <c r="O56" s="7"/>
      <c r="P56" s="7"/>
      <c r="S56" s="1"/>
    </row>
    <row r="57" spans="3:19" ht="15.75" customHeight="1" x14ac:dyDescent="0.25">
      <c r="C57" s="10">
        <v>45</v>
      </c>
      <c r="D57" s="11">
        <v>45071</v>
      </c>
      <c r="E57" s="10">
        <v>103</v>
      </c>
      <c r="F57" s="22" t="s">
        <v>142</v>
      </c>
      <c r="G57" s="7">
        <v>800</v>
      </c>
      <c r="H57" s="12">
        <v>190</v>
      </c>
      <c r="I57" s="7"/>
      <c r="J57" s="7"/>
      <c r="K57" s="7"/>
      <c r="L57" s="7"/>
      <c r="M57" s="7"/>
      <c r="N57" s="7"/>
      <c r="O57" s="7">
        <v>800</v>
      </c>
      <c r="P57" s="7"/>
      <c r="S57" s="1"/>
    </row>
    <row r="58" spans="3:19" ht="15.75" customHeight="1" x14ac:dyDescent="0.25">
      <c r="C58" s="10">
        <v>46</v>
      </c>
      <c r="D58" s="11">
        <v>45071</v>
      </c>
      <c r="E58" s="10">
        <v>106</v>
      </c>
      <c r="F58" s="22" t="s">
        <v>163</v>
      </c>
      <c r="G58" s="7">
        <v>250</v>
      </c>
      <c r="H58" s="12">
        <v>194</v>
      </c>
      <c r="I58" s="7"/>
      <c r="J58" s="7">
        <v>250</v>
      </c>
      <c r="K58" s="7"/>
      <c r="L58" s="7"/>
      <c r="M58" s="7"/>
      <c r="N58" s="7"/>
      <c r="O58" s="7"/>
      <c r="P58" s="7"/>
      <c r="S58" s="1"/>
    </row>
    <row r="59" spans="3:19" ht="15.75" customHeight="1" x14ac:dyDescent="0.25">
      <c r="C59" s="10">
        <v>47</v>
      </c>
      <c r="D59" s="11">
        <v>45072</v>
      </c>
      <c r="E59" s="10">
        <v>107</v>
      </c>
      <c r="F59" s="22" t="s">
        <v>71</v>
      </c>
      <c r="G59" s="7">
        <v>500</v>
      </c>
      <c r="H59" s="12">
        <v>190</v>
      </c>
      <c r="I59" s="7"/>
      <c r="J59" s="7"/>
      <c r="K59" s="7"/>
      <c r="L59" s="7"/>
      <c r="M59" s="7"/>
      <c r="N59" s="7"/>
      <c r="O59" s="7">
        <v>500</v>
      </c>
      <c r="P59" s="7"/>
      <c r="S59" s="1"/>
    </row>
    <row r="60" spans="3:19" ht="15.75" customHeight="1" x14ac:dyDescent="0.25">
      <c r="C60" s="10">
        <v>48</v>
      </c>
      <c r="D60" s="11">
        <v>45072</v>
      </c>
      <c r="E60" s="10">
        <v>108</v>
      </c>
      <c r="F60" s="22" t="s">
        <v>80</v>
      </c>
      <c r="G60" s="7">
        <v>300</v>
      </c>
      <c r="H60" s="12">
        <v>137</v>
      </c>
      <c r="I60" s="7">
        <v>300</v>
      </c>
      <c r="J60" s="7"/>
      <c r="K60" s="7"/>
      <c r="L60" s="7"/>
      <c r="M60" s="7"/>
      <c r="N60" s="7"/>
      <c r="O60" s="7"/>
      <c r="P60" s="7"/>
      <c r="S60" s="1"/>
    </row>
    <row r="61" spans="3:19" ht="15.75" customHeight="1" x14ac:dyDescent="0.25">
      <c r="C61" s="10">
        <v>49</v>
      </c>
      <c r="D61" s="11">
        <v>45072</v>
      </c>
      <c r="E61" s="10">
        <v>109</v>
      </c>
      <c r="F61" s="22" t="s">
        <v>80</v>
      </c>
      <c r="G61" s="7">
        <v>1000</v>
      </c>
      <c r="H61" s="12">
        <v>192</v>
      </c>
      <c r="I61" s="7"/>
      <c r="J61" s="7"/>
      <c r="K61" s="7"/>
      <c r="L61" s="7"/>
      <c r="M61" s="7"/>
      <c r="N61" s="7">
        <v>1000</v>
      </c>
      <c r="O61" s="7"/>
      <c r="P61" s="7"/>
      <c r="S61" s="1"/>
    </row>
    <row r="62" spans="3:19" ht="15.75" customHeight="1" x14ac:dyDescent="0.25">
      <c r="C62" s="10">
        <v>50</v>
      </c>
      <c r="D62" s="11">
        <v>45074</v>
      </c>
      <c r="E62" s="10">
        <v>110</v>
      </c>
      <c r="F62" s="22" t="s">
        <v>164</v>
      </c>
      <c r="G62" s="7">
        <v>5000</v>
      </c>
      <c r="H62" s="12">
        <v>212</v>
      </c>
      <c r="I62" s="7"/>
      <c r="J62" s="7"/>
      <c r="K62" s="7"/>
      <c r="L62" s="7"/>
      <c r="M62" s="7"/>
      <c r="N62" s="7">
        <v>5000</v>
      </c>
      <c r="O62" s="7"/>
      <c r="P62" s="7"/>
      <c r="S62" s="1"/>
    </row>
    <row r="63" spans="3:19" ht="15.75" customHeight="1" x14ac:dyDescent="0.25">
      <c r="C63" s="10">
        <v>51</v>
      </c>
      <c r="D63" s="11">
        <v>45075</v>
      </c>
      <c r="E63" s="10">
        <v>111</v>
      </c>
      <c r="F63" s="22" t="s">
        <v>49</v>
      </c>
      <c r="G63" s="7">
        <v>5000</v>
      </c>
      <c r="H63" s="12" t="s">
        <v>165</v>
      </c>
      <c r="I63" s="7"/>
      <c r="J63" s="7">
        <v>3000</v>
      </c>
      <c r="K63" s="7"/>
      <c r="L63" s="7">
        <v>2000</v>
      </c>
      <c r="M63" s="7"/>
      <c r="N63" s="7"/>
      <c r="O63" s="7"/>
      <c r="P63" s="7"/>
      <c r="S63" s="1"/>
    </row>
    <row r="64" spans="3:19" ht="15.75" customHeight="1" x14ac:dyDescent="0.25">
      <c r="C64" s="10">
        <v>52</v>
      </c>
      <c r="D64" s="11">
        <v>45075</v>
      </c>
      <c r="E64" s="10" t="s">
        <v>166</v>
      </c>
      <c r="F64" s="22" t="s">
        <v>95</v>
      </c>
      <c r="G64" s="7">
        <v>9000</v>
      </c>
      <c r="H64" s="12" t="s">
        <v>167</v>
      </c>
      <c r="I64" s="7"/>
      <c r="J64" s="7"/>
      <c r="K64" s="7"/>
      <c r="L64" s="7"/>
      <c r="M64" s="7">
        <v>1000</v>
      </c>
      <c r="N64" s="7">
        <v>4000</v>
      </c>
      <c r="O64" s="7">
        <v>4000</v>
      </c>
      <c r="P64" s="7"/>
      <c r="S64" s="1"/>
    </row>
    <row r="65" spans="3:19" ht="15.75" customHeight="1" x14ac:dyDescent="0.25">
      <c r="C65" s="10">
        <v>53</v>
      </c>
      <c r="D65" s="11">
        <v>45076</v>
      </c>
      <c r="E65" s="10">
        <v>112</v>
      </c>
      <c r="F65" s="22" t="s">
        <v>168</v>
      </c>
      <c r="G65" s="7">
        <v>500</v>
      </c>
      <c r="H65" s="12">
        <v>173</v>
      </c>
      <c r="I65" s="7"/>
      <c r="J65" s="7">
        <v>500</v>
      </c>
      <c r="K65" s="7"/>
      <c r="L65" s="7"/>
      <c r="M65" s="7"/>
      <c r="N65" s="7"/>
      <c r="O65" s="7"/>
      <c r="P65" s="7"/>
      <c r="S65" s="1"/>
    </row>
    <row r="66" spans="3:19" ht="15.75" customHeight="1" x14ac:dyDescent="0.25">
      <c r="C66" s="10">
        <v>54</v>
      </c>
      <c r="D66" s="11">
        <v>45076</v>
      </c>
      <c r="E66" s="10" t="s">
        <v>169</v>
      </c>
      <c r="F66" s="22" t="s">
        <v>32</v>
      </c>
      <c r="G66" s="7">
        <v>500</v>
      </c>
      <c r="H66" s="12">
        <v>199</v>
      </c>
      <c r="I66" s="7"/>
      <c r="J66" s="7"/>
      <c r="K66" s="7"/>
      <c r="L66" s="7"/>
      <c r="M66" s="7"/>
      <c r="N66" s="7"/>
      <c r="O66" s="7">
        <v>500</v>
      </c>
      <c r="P66" s="7"/>
      <c r="S66" s="1"/>
    </row>
    <row r="67" spans="3:19" ht="15.75" customHeight="1" x14ac:dyDescent="0.25">
      <c r="C67" s="10">
        <v>55</v>
      </c>
      <c r="D67" s="11">
        <v>45077</v>
      </c>
      <c r="E67" s="10" t="s">
        <v>170</v>
      </c>
      <c r="F67" s="22" t="s">
        <v>80</v>
      </c>
      <c r="G67" s="7">
        <v>1140</v>
      </c>
      <c r="H67" s="12" t="s">
        <v>171</v>
      </c>
      <c r="I67" s="7">
        <v>40</v>
      </c>
      <c r="J67" s="7"/>
      <c r="K67" s="7"/>
      <c r="L67" s="7"/>
      <c r="M67" s="7"/>
      <c r="N67" s="7">
        <v>1100</v>
      </c>
      <c r="O67" s="7"/>
      <c r="P67" s="7"/>
      <c r="S67" s="1"/>
    </row>
    <row r="68" spans="3:19" ht="15.75" customHeight="1" x14ac:dyDescent="0.25">
      <c r="C68" s="10"/>
      <c r="D68" s="11"/>
      <c r="E68" s="10"/>
      <c r="F68" s="22"/>
      <c r="G68" s="7"/>
      <c r="H68" s="12"/>
      <c r="I68" s="7"/>
      <c r="J68" s="7"/>
      <c r="K68" s="7"/>
      <c r="L68" s="7"/>
      <c r="M68" s="7"/>
      <c r="N68" s="7"/>
      <c r="O68" s="7"/>
      <c r="P68" s="7"/>
      <c r="S68" s="1"/>
    </row>
    <row r="69" spans="3:19" ht="15.75" customHeight="1" x14ac:dyDescent="0.25">
      <c r="C69" s="13" t="s">
        <v>3</v>
      </c>
      <c r="D69" s="14"/>
      <c r="E69" s="13"/>
      <c r="F69" s="25"/>
      <c r="G69" s="14">
        <f>SUM(G13:G68)</f>
        <v>89205</v>
      </c>
      <c r="H69" s="14"/>
      <c r="I69" s="14">
        <f>SUM('May 2023'!$I$13:$I$68)</f>
        <v>33780</v>
      </c>
      <c r="J69" s="14">
        <f>SUM('May 2023'!$J$13:$J$68)</f>
        <v>10000</v>
      </c>
      <c r="K69" s="14">
        <f>SUM('May 2023'!$K$13:$K$68)</f>
        <v>0</v>
      </c>
      <c r="L69" s="14">
        <f>SUM('May 2023'!$L$13:$L$68)</f>
        <v>8800</v>
      </c>
      <c r="M69" s="14">
        <f>SUM('May 2023'!$M$13:$M$68)</f>
        <v>3500</v>
      </c>
      <c r="N69" s="14">
        <f>SUM('May 2023'!$N$13:$N$68)</f>
        <v>13475</v>
      </c>
      <c r="O69" s="14">
        <f>SUM('May 2023'!$O$13:$O$68)</f>
        <v>14550</v>
      </c>
      <c r="P69" s="14">
        <f>SUM('May 2023'!$P$13:$P$68)</f>
        <v>5100</v>
      </c>
      <c r="S69" s="1"/>
    </row>
    <row r="70" spans="3:19" ht="15.75" customHeight="1" x14ac:dyDescent="0.25">
      <c r="C70" s="1"/>
      <c r="E70" s="1"/>
      <c r="F70" s="16"/>
      <c r="S70" s="1"/>
    </row>
    <row r="71" spans="3:19" ht="15.75" customHeight="1" x14ac:dyDescent="0.25">
      <c r="C71" s="1"/>
      <c r="D71" s="1"/>
      <c r="E71" s="1"/>
      <c r="F71" s="16"/>
      <c r="I71" s="33">
        <f>SUM('May 2023'!$I$69:'May 2023'!$P$69)</f>
        <v>89205</v>
      </c>
      <c r="S71" s="1"/>
    </row>
    <row r="72" spans="3:19" ht="15.75" customHeight="1" x14ac:dyDescent="0.25">
      <c r="E72" s="1"/>
      <c r="F72" s="16"/>
      <c r="S72" s="1"/>
    </row>
    <row r="73" spans="3:19" ht="15.75" customHeight="1" x14ac:dyDescent="0.25">
      <c r="S73" s="1"/>
    </row>
    <row r="74" spans="3:19" ht="15.75" customHeight="1" x14ac:dyDescent="0.25">
      <c r="S74" s="1"/>
    </row>
    <row r="75" spans="3:19" ht="15.75" customHeight="1" x14ac:dyDescent="0.25">
      <c r="S75" s="1"/>
    </row>
    <row r="76" spans="3:19" ht="15.75" customHeight="1" x14ac:dyDescent="0.25">
      <c r="S76" s="1"/>
    </row>
    <row r="77" spans="3:19" ht="15.75" customHeight="1" x14ac:dyDescent="0.25">
      <c r="S77" s="1"/>
    </row>
    <row r="78" spans="3:19" ht="15.75" customHeight="1" x14ac:dyDescent="0.25">
      <c r="S78" s="1"/>
    </row>
    <row r="79" spans="3:19" ht="15.75" customHeight="1" x14ac:dyDescent="0.25">
      <c r="S79" s="1"/>
    </row>
    <row r="80" spans="3:19" ht="15.75" customHeight="1" x14ac:dyDescent="0.25">
      <c r="S80" s="1"/>
    </row>
    <row r="81" spans="19:19" ht="15.75" customHeight="1" x14ac:dyDescent="0.25">
      <c r="S81" s="1"/>
    </row>
    <row r="82" spans="19:19" ht="15.75" customHeight="1" x14ac:dyDescent="0.25">
      <c r="S82" s="1"/>
    </row>
    <row r="83" spans="19:19" ht="15.75" customHeight="1" x14ac:dyDescent="0.25">
      <c r="S83" s="1"/>
    </row>
    <row r="84" spans="19:19" ht="15.75" customHeight="1" x14ac:dyDescent="0.25">
      <c r="S84" s="1"/>
    </row>
    <row r="85" spans="19:19" ht="15.75" customHeight="1" x14ac:dyDescent="0.25">
      <c r="S85" s="1"/>
    </row>
    <row r="86" spans="19:19" ht="15.75" customHeight="1" x14ac:dyDescent="0.25">
      <c r="S86" s="1"/>
    </row>
    <row r="87" spans="19:19" ht="15.75" customHeight="1" x14ac:dyDescent="0.25">
      <c r="S87" s="1"/>
    </row>
    <row r="88" spans="19:19" ht="15.75" customHeight="1" x14ac:dyDescent="0.25">
      <c r="S88" s="1"/>
    </row>
    <row r="89" spans="19:19" ht="15.75" customHeight="1" x14ac:dyDescent="0.25">
      <c r="S89" s="1"/>
    </row>
    <row r="90" spans="19:19" ht="15.75" customHeight="1" x14ac:dyDescent="0.25">
      <c r="S90" s="1"/>
    </row>
    <row r="91" spans="19:19" ht="15.75" customHeight="1" x14ac:dyDescent="0.25">
      <c r="S91" s="1"/>
    </row>
    <row r="92" spans="19:19" ht="15.75" customHeight="1" x14ac:dyDescent="0.25">
      <c r="S92" s="1"/>
    </row>
    <row r="93" spans="19:19" ht="15.75" customHeight="1" x14ac:dyDescent="0.25">
      <c r="S93" s="1"/>
    </row>
    <row r="94" spans="19:19" ht="15.75" customHeight="1" x14ac:dyDescent="0.25">
      <c r="S94" s="1"/>
    </row>
    <row r="95" spans="19:19" ht="15.75" customHeight="1" x14ac:dyDescent="0.25">
      <c r="S95" s="1"/>
    </row>
    <row r="96" spans="19:19" ht="15.75" customHeight="1" x14ac:dyDescent="0.25">
      <c r="S96" s="1"/>
    </row>
    <row r="97" spans="19:19" ht="15.75" customHeight="1" x14ac:dyDescent="0.25">
      <c r="S97" s="1"/>
    </row>
    <row r="98" spans="19:19" ht="15.75" customHeight="1" x14ac:dyDescent="0.25">
      <c r="S98" s="1"/>
    </row>
    <row r="99" spans="19:19" ht="15.75" customHeight="1" x14ac:dyDescent="0.25">
      <c r="S99" s="1"/>
    </row>
    <row r="100" spans="19:19" ht="15.75" customHeight="1" x14ac:dyDescent="0.25">
      <c r="S100" s="1"/>
    </row>
    <row r="101" spans="19:19" ht="15.75" customHeight="1" x14ac:dyDescent="0.25">
      <c r="S101" s="1"/>
    </row>
    <row r="102" spans="19:19" ht="15.75" customHeight="1" x14ac:dyDescent="0.25">
      <c r="S102" s="1"/>
    </row>
    <row r="103" spans="19:19" ht="15.75" customHeight="1" x14ac:dyDescent="0.25">
      <c r="S103" s="1"/>
    </row>
    <row r="104" spans="19:19" ht="15.75" customHeight="1" x14ac:dyDescent="0.25">
      <c r="S104" s="1"/>
    </row>
    <row r="105" spans="19:19" ht="15.75" customHeight="1" x14ac:dyDescent="0.25">
      <c r="S105" s="1"/>
    </row>
    <row r="106" spans="19:19" ht="15.75" customHeight="1" x14ac:dyDescent="0.25">
      <c r="S106" s="1"/>
    </row>
    <row r="107" spans="19:19" ht="15.75" customHeight="1" x14ac:dyDescent="0.25">
      <c r="S107" s="1"/>
    </row>
    <row r="108" spans="19:19" ht="15.75" customHeight="1" x14ac:dyDescent="0.25">
      <c r="S108" s="1"/>
    </row>
    <row r="109" spans="19:19" ht="15.75" customHeight="1" x14ac:dyDescent="0.25">
      <c r="S109" s="1"/>
    </row>
    <row r="110" spans="19:19" ht="15.75" customHeight="1" x14ac:dyDescent="0.25">
      <c r="S110" s="1"/>
    </row>
    <row r="111" spans="19:19" ht="15.75" customHeight="1" x14ac:dyDescent="0.25">
      <c r="S111" s="1"/>
    </row>
    <row r="112" spans="19:19" ht="15.75" customHeight="1" x14ac:dyDescent="0.25">
      <c r="S112" s="1"/>
    </row>
    <row r="113" spans="19:19" ht="15.75" customHeight="1" x14ac:dyDescent="0.25">
      <c r="S113" s="1"/>
    </row>
    <row r="114" spans="19:19" ht="15.75" customHeight="1" x14ac:dyDescent="0.25">
      <c r="S114" s="1"/>
    </row>
    <row r="115" spans="19:19" ht="15.75" customHeight="1" x14ac:dyDescent="0.25">
      <c r="S115" s="1"/>
    </row>
    <row r="116" spans="19:19" ht="15.75" customHeight="1" x14ac:dyDescent="0.25">
      <c r="S116" s="1"/>
    </row>
    <row r="117" spans="19:19" ht="15.75" customHeight="1" x14ac:dyDescent="0.25">
      <c r="S117" s="1"/>
    </row>
    <row r="118" spans="19:19" ht="15.75" customHeight="1" x14ac:dyDescent="0.25">
      <c r="S118" s="1"/>
    </row>
    <row r="119" spans="19:19" ht="15.75" customHeight="1" x14ac:dyDescent="0.25">
      <c r="S119" s="1"/>
    </row>
    <row r="120" spans="19:19" ht="15.75" customHeight="1" x14ac:dyDescent="0.25">
      <c r="S120" s="1"/>
    </row>
    <row r="121" spans="19:19" ht="15.75" customHeight="1" x14ac:dyDescent="0.25">
      <c r="S121" s="1"/>
    </row>
    <row r="122" spans="19:19" ht="15.75" customHeight="1" x14ac:dyDescent="0.25">
      <c r="S122" s="1"/>
    </row>
    <row r="123" spans="19:19" ht="15.75" customHeight="1" x14ac:dyDescent="0.25">
      <c r="S123" s="1"/>
    </row>
    <row r="124" spans="19:19" ht="15.75" customHeight="1" x14ac:dyDescent="0.25">
      <c r="S124" s="1"/>
    </row>
    <row r="125" spans="19:19" ht="15.75" customHeight="1" x14ac:dyDescent="0.25">
      <c r="S125" s="1"/>
    </row>
    <row r="126" spans="19:19" ht="15.75" customHeight="1" x14ac:dyDescent="0.25">
      <c r="S126" s="1"/>
    </row>
    <row r="127" spans="19:19" ht="15.75" customHeight="1" x14ac:dyDescent="0.25">
      <c r="S127" s="1"/>
    </row>
    <row r="128" spans="19:19" ht="15.75" customHeight="1" x14ac:dyDescent="0.25">
      <c r="S128" s="1"/>
    </row>
    <row r="129" spans="19:19" ht="15.75" customHeight="1" x14ac:dyDescent="0.25">
      <c r="S129" s="1"/>
    </row>
    <row r="130" spans="19:19" ht="15.75" customHeight="1" x14ac:dyDescent="0.25">
      <c r="S130" s="1"/>
    </row>
    <row r="131" spans="19:19" ht="15.75" customHeight="1" x14ac:dyDescent="0.25">
      <c r="S131" s="1"/>
    </row>
    <row r="132" spans="19:19" ht="15.75" customHeight="1" x14ac:dyDescent="0.25">
      <c r="S132" s="1"/>
    </row>
    <row r="133" spans="19:19" ht="15.75" customHeight="1" x14ac:dyDescent="0.25">
      <c r="S133" s="1"/>
    </row>
    <row r="134" spans="19:19" ht="15.75" customHeight="1" x14ac:dyDescent="0.25">
      <c r="S134" s="1"/>
    </row>
    <row r="135" spans="19:19" ht="15.75" customHeight="1" x14ac:dyDescent="0.25">
      <c r="S135" s="1"/>
    </row>
    <row r="136" spans="19:19" ht="15.75" customHeight="1" x14ac:dyDescent="0.25">
      <c r="S136" s="1"/>
    </row>
    <row r="137" spans="19:19" ht="15.75" customHeight="1" x14ac:dyDescent="0.25">
      <c r="S137" s="1"/>
    </row>
    <row r="138" spans="19:19" ht="15.75" customHeight="1" x14ac:dyDescent="0.25">
      <c r="S138" s="1"/>
    </row>
    <row r="139" spans="19:19" ht="15.75" customHeight="1" x14ac:dyDescent="0.25">
      <c r="S139" s="1"/>
    </row>
    <row r="140" spans="19:19" ht="15.75" customHeight="1" x14ac:dyDescent="0.25">
      <c r="S140" s="1"/>
    </row>
    <row r="141" spans="19:19" ht="15.75" customHeight="1" x14ac:dyDescent="0.25">
      <c r="S141" s="1"/>
    </row>
    <row r="142" spans="19:19" ht="15.75" customHeight="1" x14ac:dyDescent="0.25">
      <c r="S142" s="1"/>
    </row>
    <row r="143" spans="19:19" ht="15.75" customHeight="1" x14ac:dyDescent="0.25">
      <c r="S143" s="1"/>
    </row>
    <row r="144" spans="19:19" ht="15.75" customHeight="1" x14ac:dyDescent="0.25">
      <c r="S144" s="1"/>
    </row>
    <row r="145" spans="19:19" ht="15.75" customHeight="1" x14ac:dyDescent="0.25">
      <c r="S145" s="1"/>
    </row>
    <row r="146" spans="19:19" ht="15.75" customHeight="1" x14ac:dyDescent="0.25">
      <c r="S146" s="1"/>
    </row>
    <row r="147" spans="19:19" ht="15.75" customHeight="1" x14ac:dyDescent="0.25">
      <c r="S147" s="1"/>
    </row>
    <row r="148" spans="19:19" ht="15.75" customHeight="1" x14ac:dyDescent="0.25">
      <c r="S148" s="1"/>
    </row>
    <row r="149" spans="19:19" ht="15.75" customHeight="1" x14ac:dyDescent="0.25">
      <c r="S149" s="1"/>
    </row>
    <row r="150" spans="19:19" ht="15.75" customHeight="1" x14ac:dyDescent="0.25">
      <c r="S150" s="1"/>
    </row>
    <row r="151" spans="19:19" ht="15.75" customHeight="1" x14ac:dyDescent="0.25">
      <c r="S151" s="1"/>
    </row>
    <row r="152" spans="19:19" ht="15.75" customHeight="1" x14ac:dyDescent="0.25">
      <c r="S152" s="1"/>
    </row>
    <row r="153" spans="19:19" ht="15.75" customHeight="1" x14ac:dyDescent="0.25">
      <c r="S153" s="1"/>
    </row>
    <row r="154" spans="19:19" ht="15.75" customHeight="1" x14ac:dyDescent="0.25">
      <c r="S154" s="1"/>
    </row>
    <row r="155" spans="19:19" ht="15.75" customHeight="1" x14ac:dyDescent="0.25">
      <c r="S155" s="1"/>
    </row>
    <row r="156" spans="19:19" ht="15.75" customHeight="1" x14ac:dyDescent="0.25">
      <c r="S156" s="1"/>
    </row>
    <row r="157" spans="19:19" ht="15.75" customHeight="1" x14ac:dyDescent="0.25">
      <c r="S157" s="1"/>
    </row>
    <row r="158" spans="19:19" ht="15.75" customHeight="1" x14ac:dyDescent="0.25">
      <c r="S158" s="1"/>
    </row>
    <row r="159" spans="19:19" ht="15.75" customHeight="1" x14ac:dyDescent="0.25">
      <c r="S159" s="1"/>
    </row>
    <row r="160" spans="19:19" ht="15.75" customHeight="1" x14ac:dyDescent="0.25">
      <c r="S160" s="1"/>
    </row>
    <row r="161" spans="19:19" ht="15.75" customHeight="1" x14ac:dyDescent="0.25">
      <c r="S161" s="1"/>
    </row>
    <row r="162" spans="19:19" ht="15.75" customHeight="1" x14ac:dyDescent="0.25">
      <c r="S162" s="1"/>
    </row>
    <row r="163" spans="19:19" ht="15.75" customHeight="1" x14ac:dyDescent="0.25">
      <c r="S163" s="1"/>
    </row>
    <row r="164" spans="19:19" ht="15.75" customHeight="1" x14ac:dyDescent="0.25">
      <c r="S164" s="1"/>
    </row>
    <row r="165" spans="19:19" ht="15.75" customHeight="1" x14ac:dyDescent="0.25">
      <c r="S165" s="1"/>
    </row>
    <row r="166" spans="19:19" ht="15.75" customHeight="1" x14ac:dyDescent="0.25">
      <c r="S166" s="1"/>
    </row>
    <row r="167" spans="19:19" ht="15.75" customHeight="1" x14ac:dyDescent="0.25">
      <c r="S167" s="1"/>
    </row>
    <row r="168" spans="19:19" ht="15.75" customHeight="1" x14ac:dyDescent="0.25">
      <c r="S168" s="1"/>
    </row>
    <row r="169" spans="19:19" ht="15.75" customHeight="1" x14ac:dyDescent="0.25">
      <c r="S169" s="1"/>
    </row>
    <row r="170" spans="19:19" ht="15.75" customHeight="1" x14ac:dyDescent="0.25">
      <c r="S170" s="1"/>
    </row>
    <row r="171" spans="19:19" ht="15.75" customHeight="1" x14ac:dyDescent="0.25">
      <c r="S171" s="1"/>
    </row>
    <row r="172" spans="19:19" ht="15.75" customHeight="1" x14ac:dyDescent="0.25">
      <c r="S172" s="1"/>
    </row>
    <row r="173" spans="19:19" ht="15.75" customHeight="1" x14ac:dyDescent="0.25">
      <c r="S173" s="1"/>
    </row>
    <row r="174" spans="19:19" ht="15.75" customHeight="1" x14ac:dyDescent="0.25">
      <c r="S174" s="1"/>
    </row>
    <row r="175" spans="19:19" ht="15.75" customHeight="1" x14ac:dyDescent="0.25">
      <c r="S175" s="1"/>
    </row>
    <row r="176" spans="19:19" ht="15.75" customHeight="1" x14ac:dyDescent="0.25">
      <c r="S176" s="1"/>
    </row>
    <row r="177" spans="19:19" ht="15.75" customHeight="1" x14ac:dyDescent="0.25">
      <c r="S177" s="1"/>
    </row>
    <row r="178" spans="19:19" ht="15.75" customHeight="1" x14ac:dyDescent="0.25">
      <c r="S178" s="1"/>
    </row>
    <row r="179" spans="19:19" ht="15.75" customHeight="1" x14ac:dyDescent="0.25">
      <c r="S179" s="1"/>
    </row>
    <row r="180" spans="19:19" ht="15.75" customHeight="1" x14ac:dyDescent="0.25">
      <c r="S180" s="1"/>
    </row>
    <row r="181" spans="19:19" ht="15.75" customHeight="1" x14ac:dyDescent="0.25">
      <c r="S181" s="1"/>
    </row>
    <row r="182" spans="19:19" ht="15.75" customHeight="1" x14ac:dyDescent="0.25">
      <c r="S182" s="1"/>
    </row>
    <row r="183" spans="19:19" ht="15.75" customHeight="1" x14ac:dyDescent="0.25">
      <c r="S183" s="1"/>
    </row>
    <row r="184" spans="19:19" ht="15.75" customHeight="1" x14ac:dyDescent="0.25">
      <c r="S184" s="1"/>
    </row>
    <row r="185" spans="19:19" ht="15.75" customHeight="1" x14ac:dyDescent="0.25">
      <c r="S185" s="1"/>
    </row>
    <row r="186" spans="19:19" ht="15.75" customHeight="1" x14ac:dyDescent="0.25">
      <c r="S186" s="1"/>
    </row>
    <row r="187" spans="19:19" ht="15.75" customHeight="1" x14ac:dyDescent="0.25">
      <c r="S187" s="1"/>
    </row>
    <row r="188" spans="19:19" ht="15.75" customHeight="1" x14ac:dyDescent="0.25">
      <c r="S188" s="1"/>
    </row>
    <row r="189" spans="19:19" ht="15.75" customHeight="1" x14ac:dyDescent="0.25">
      <c r="S189" s="1"/>
    </row>
    <row r="190" spans="19:19" ht="15.75" customHeight="1" x14ac:dyDescent="0.25">
      <c r="S190" s="1"/>
    </row>
    <row r="191" spans="19:19" ht="15.75" customHeight="1" x14ac:dyDescent="0.25">
      <c r="S191" s="1"/>
    </row>
    <row r="192" spans="19:19" ht="15.75" customHeight="1" x14ac:dyDescent="0.25">
      <c r="S192" s="1"/>
    </row>
    <row r="193" spans="19:19" ht="15.75" customHeight="1" x14ac:dyDescent="0.25">
      <c r="S193" s="1"/>
    </row>
    <row r="194" spans="19:19" ht="15.75" customHeight="1" x14ac:dyDescent="0.25">
      <c r="S194" s="1"/>
    </row>
    <row r="195" spans="19:19" ht="15.75" customHeight="1" x14ac:dyDescent="0.25">
      <c r="S195" s="1"/>
    </row>
    <row r="196" spans="19:19" ht="15.75" customHeight="1" x14ac:dyDescent="0.25">
      <c r="S196" s="1"/>
    </row>
    <row r="197" spans="19:19" ht="15.75" customHeight="1" x14ac:dyDescent="0.25">
      <c r="S197" s="1"/>
    </row>
    <row r="198" spans="19:19" ht="15.75" customHeight="1" x14ac:dyDescent="0.25">
      <c r="S198" s="1"/>
    </row>
    <row r="199" spans="19:19" ht="15.75" customHeight="1" x14ac:dyDescent="0.25">
      <c r="S199" s="1"/>
    </row>
    <row r="200" spans="19:19" ht="15.75" customHeight="1" x14ac:dyDescent="0.25">
      <c r="S200" s="1"/>
    </row>
    <row r="201" spans="19:19" ht="15.75" customHeight="1" x14ac:dyDescent="0.25">
      <c r="S201" s="1"/>
    </row>
    <row r="202" spans="19:19" ht="15.75" customHeight="1" x14ac:dyDescent="0.25">
      <c r="S202" s="1"/>
    </row>
    <row r="203" spans="19:19" ht="15.75" customHeight="1" x14ac:dyDescent="0.25">
      <c r="S203" s="1"/>
    </row>
    <row r="204" spans="19:19" ht="15.75" customHeight="1" x14ac:dyDescent="0.25">
      <c r="S204" s="1"/>
    </row>
    <row r="205" spans="19:19" ht="15.75" customHeight="1" x14ac:dyDescent="0.25">
      <c r="S205" s="1"/>
    </row>
    <row r="206" spans="19:19" ht="15.75" customHeight="1" x14ac:dyDescent="0.25">
      <c r="S206" s="1"/>
    </row>
    <row r="207" spans="19:19" ht="15.75" customHeight="1" x14ac:dyDescent="0.25">
      <c r="S207" s="1"/>
    </row>
    <row r="208" spans="19:19" ht="15.75" customHeight="1" x14ac:dyDescent="0.25">
      <c r="S208" s="1"/>
    </row>
    <row r="209" spans="19:19" ht="15.75" customHeight="1" x14ac:dyDescent="0.25">
      <c r="S209" s="1"/>
    </row>
    <row r="210" spans="19:19" ht="15.75" customHeight="1" x14ac:dyDescent="0.25">
      <c r="S210" s="1"/>
    </row>
    <row r="211" spans="19:19" ht="15.75" customHeight="1" x14ac:dyDescent="0.25">
      <c r="S211" s="1"/>
    </row>
    <row r="212" spans="19:19" ht="15.75" customHeight="1" x14ac:dyDescent="0.25">
      <c r="S212" s="1"/>
    </row>
    <row r="213" spans="19:19" ht="15.75" customHeight="1" x14ac:dyDescent="0.25">
      <c r="S213" s="1"/>
    </row>
    <row r="214" spans="19:19" ht="15.75" customHeight="1" x14ac:dyDescent="0.25">
      <c r="S214" s="1"/>
    </row>
    <row r="215" spans="19:19" ht="15.75" customHeight="1" x14ac:dyDescent="0.25">
      <c r="S215" s="1"/>
    </row>
    <row r="216" spans="19:19" ht="15.75" customHeight="1" x14ac:dyDescent="0.25">
      <c r="S216" s="1"/>
    </row>
    <row r="217" spans="19:19" ht="15.75" customHeight="1" x14ac:dyDescent="0.25">
      <c r="S217" s="1"/>
    </row>
    <row r="218" spans="19:19" ht="15.75" customHeight="1" x14ac:dyDescent="0.25">
      <c r="S218" s="1"/>
    </row>
    <row r="219" spans="19:19" ht="15.75" customHeight="1" x14ac:dyDescent="0.25">
      <c r="S219" s="1"/>
    </row>
    <row r="220" spans="19:19" ht="15.75" customHeight="1" x14ac:dyDescent="0.25">
      <c r="S220" s="1"/>
    </row>
    <row r="221" spans="19:19" ht="15.75" customHeight="1" x14ac:dyDescent="0.25">
      <c r="S221" s="1"/>
    </row>
    <row r="222" spans="19:19" ht="15.75" customHeight="1" x14ac:dyDescent="0.25">
      <c r="S222" s="1"/>
    </row>
    <row r="223" spans="19:19" ht="15.75" customHeight="1" x14ac:dyDescent="0.25">
      <c r="S223" s="1"/>
    </row>
    <row r="224" spans="19:19" ht="15.75" customHeight="1" x14ac:dyDescent="0.25">
      <c r="S224" s="1"/>
    </row>
    <row r="225" spans="19:19" ht="15.75" customHeight="1" x14ac:dyDescent="0.25">
      <c r="S225" s="1"/>
    </row>
    <row r="226" spans="19:19" ht="15.75" customHeight="1" x14ac:dyDescent="0.25">
      <c r="S226" s="1"/>
    </row>
    <row r="227" spans="19:19" ht="15.75" customHeight="1" x14ac:dyDescent="0.25">
      <c r="S227" s="1"/>
    </row>
    <row r="228" spans="19:19" ht="15.75" customHeight="1" x14ac:dyDescent="0.25">
      <c r="S228" s="1"/>
    </row>
    <row r="229" spans="19:19" ht="15.75" customHeight="1" x14ac:dyDescent="0.25">
      <c r="S229" s="1"/>
    </row>
    <row r="230" spans="19:19" ht="15.75" customHeight="1" x14ac:dyDescent="0.25">
      <c r="S230" s="1"/>
    </row>
    <row r="231" spans="19:19" ht="15.75" customHeight="1" x14ac:dyDescent="0.25">
      <c r="S231" s="1"/>
    </row>
    <row r="232" spans="19:19" ht="15.75" customHeight="1" x14ac:dyDescent="0.25">
      <c r="S232" s="1"/>
    </row>
    <row r="233" spans="19:19" ht="15.75" customHeight="1" x14ac:dyDescent="0.25">
      <c r="S233" s="1"/>
    </row>
    <row r="234" spans="19:19" ht="15.75" customHeight="1" x14ac:dyDescent="0.25">
      <c r="S234" s="1"/>
    </row>
    <row r="235" spans="19:19" ht="15.75" customHeight="1" x14ac:dyDescent="0.25">
      <c r="S235" s="1"/>
    </row>
    <row r="236" spans="19:19" ht="15.75" customHeight="1" x14ac:dyDescent="0.25">
      <c r="S236" s="1"/>
    </row>
    <row r="237" spans="19:19" ht="15.75" customHeight="1" x14ac:dyDescent="0.25">
      <c r="S237" s="1"/>
    </row>
    <row r="238" spans="19:19" ht="15.75" customHeight="1" x14ac:dyDescent="0.25">
      <c r="S238" s="1"/>
    </row>
    <row r="239" spans="19:19" ht="15.75" customHeight="1" x14ac:dyDescent="0.25">
      <c r="S239" s="1"/>
    </row>
    <row r="240" spans="19:19" ht="15.75" customHeight="1" x14ac:dyDescent="0.25">
      <c r="S240" s="1"/>
    </row>
    <row r="241" spans="19:19" ht="15.75" customHeight="1" x14ac:dyDescent="0.25">
      <c r="S241" s="1"/>
    </row>
    <row r="242" spans="19:19" ht="15.75" customHeight="1" x14ac:dyDescent="0.25">
      <c r="S242" s="1"/>
    </row>
    <row r="243" spans="19:19" ht="15.75" customHeight="1" x14ac:dyDescent="0.25">
      <c r="S243" s="1"/>
    </row>
    <row r="244" spans="19:19" ht="15.75" customHeight="1" x14ac:dyDescent="0.25">
      <c r="S244" s="1"/>
    </row>
    <row r="245" spans="19:19" ht="15.75" customHeight="1" x14ac:dyDescent="0.25">
      <c r="S245" s="1"/>
    </row>
    <row r="246" spans="19:19" ht="15.75" customHeight="1" x14ac:dyDescent="0.25">
      <c r="S246" s="1"/>
    </row>
    <row r="247" spans="19:19" ht="15.75" customHeight="1" x14ac:dyDescent="0.25">
      <c r="S247" s="1"/>
    </row>
    <row r="248" spans="19:19" ht="15.75" customHeight="1" x14ac:dyDescent="0.25">
      <c r="S248" s="1"/>
    </row>
    <row r="249" spans="19:19" ht="15.75" customHeight="1" x14ac:dyDescent="0.25">
      <c r="S249" s="1"/>
    </row>
    <row r="250" spans="19:19" ht="15.75" customHeight="1" x14ac:dyDescent="0.25">
      <c r="S250" s="1"/>
    </row>
    <row r="251" spans="19:19" ht="15.75" customHeight="1" x14ac:dyDescent="0.25">
      <c r="S251" s="1"/>
    </row>
    <row r="252" spans="19:19" ht="15.75" customHeight="1" x14ac:dyDescent="0.25">
      <c r="S252" s="1"/>
    </row>
    <row r="253" spans="19:19" ht="15.75" customHeight="1" x14ac:dyDescent="0.25">
      <c r="S253" s="1"/>
    </row>
    <row r="254" spans="19:19" ht="15.75" customHeight="1" x14ac:dyDescent="0.25">
      <c r="S254" s="1"/>
    </row>
    <row r="255" spans="19:19" ht="15.75" customHeight="1" x14ac:dyDescent="0.25">
      <c r="S255" s="1"/>
    </row>
    <row r="256" spans="19:19" ht="15.75" customHeight="1" x14ac:dyDescent="0.25">
      <c r="S256" s="1"/>
    </row>
    <row r="257" spans="19:19" ht="15.75" customHeight="1" x14ac:dyDescent="0.25">
      <c r="S257" s="1"/>
    </row>
    <row r="258" spans="19:19" ht="15.75" customHeight="1" x14ac:dyDescent="0.25">
      <c r="S258" s="1"/>
    </row>
    <row r="259" spans="19:19" ht="15.75" customHeight="1" x14ac:dyDescent="0.25">
      <c r="S259" s="1"/>
    </row>
    <row r="260" spans="19:19" ht="15.75" customHeight="1" x14ac:dyDescent="0.25">
      <c r="S260" s="1"/>
    </row>
    <row r="261" spans="19:19" ht="15.75" customHeight="1" x14ac:dyDescent="0.25">
      <c r="S261" s="1"/>
    </row>
    <row r="262" spans="19:19" ht="15.75" customHeight="1" x14ac:dyDescent="0.25">
      <c r="S262" s="1"/>
    </row>
    <row r="263" spans="19:19" ht="15.75" customHeight="1" x14ac:dyDescent="0.25">
      <c r="S263" s="1"/>
    </row>
    <row r="264" spans="19:19" ht="15.75" customHeight="1" x14ac:dyDescent="0.25">
      <c r="S264" s="1"/>
    </row>
    <row r="265" spans="19:19" ht="15.75" customHeight="1" x14ac:dyDescent="0.25">
      <c r="S265" s="1"/>
    </row>
    <row r="266" spans="19:19" ht="15.75" customHeight="1" x14ac:dyDescent="0.25">
      <c r="S266" s="1"/>
    </row>
    <row r="267" spans="19:19" ht="15.75" customHeight="1" x14ac:dyDescent="0.25">
      <c r="S267" s="1"/>
    </row>
    <row r="268" spans="19:19" ht="15.75" customHeight="1" x14ac:dyDescent="0.25">
      <c r="S268" s="1"/>
    </row>
    <row r="269" spans="19:19" ht="15.75" customHeight="1" x14ac:dyDescent="0.25">
      <c r="S269" s="1"/>
    </row>
    <row r="270" spans="19:19" ht="15.75" customHeight="1" x14ac:dyDescent="0.25">
      <c r="S270" s="1"/>
    </row>
    <row r="271" spans="19:19" ht="15.75" customHeight="1" x14ac:dyDescent="0.25">
      <c r="S271" s="1"/>
    </row>
    <row r="272" spans="19:19" ht="15.75" customHeight="1" x14ac:dyDescent="0.25">
      <c r="S272" s="1"/>
    </row>
    <row r="273" spans="19:19" ht="15.75" customHeight="1" x14ac:dyDescent="0.25">
      <c r="S273" s="1"/>
    </row>
    <row r="274" spans="19:19" ht="15.75" customHeight="1" x14ac:dyDescent="0.25">
      <c r="S274" s="1"/>
    </row>
    <row r="275" spans="19:19" ht="15.75" customHeight="1" x14ac:dyDescent="0.25">
      <c r="S275" s="1"/>
    </row>
    <row r="276" spans="19:19" ht="15.75" customHeight="1" x14ac:dyDescent="0.25">
      <c r="S276" s="1"/>
    </row>
    <row r="277" spans="19:19" ht="15.75" customHeight="1" x14ac:dyDescent="0.25">
      <c r="S277" s="1"/>
    </row>
    <row r="278" spans="19:19" ht="15.75" customHeight="1" x14ac:dyDescent="0.25">
      <c r="S278" s="1"/>
    </row>
    <row r="279" spans="19:19" ht="15.75" customHeight="1" x14ac:dyDescent="0.25">
      <c r="S279" s="1"/>
    </row>
    <row r="280" spans="19:19" ht="15.75" customHeight="1" x14ac:dyDescent="0.25">
      <c r="S280" s="1"/>
    </row>
    <row r="281" spans="19:19" ht="15.75" customHeight="1" x14ac:dyDescent="0.25">
      <c r="S281" s="1"/>
    </row>
    <row r="282" spans="19:19" ht="15.75" customHeight="1" x14ac:dyDescent="0.25">
      <c r="S282" s="1"/>
    </row>
    <row r="283" spans="19:19" ht="15.75" customHeight="1" x14ac:dyDescent="0.25">
      <c r="S283" s="1"/>
    </row>
    <row r="284" spans="19:19" ht="15.75" customHeight="1" x14ac:dyDescent="0.25">
      <c r="S284" s="1"/>
    </row>
    <row r="285" spans="19:19" ht="15.75" customHeight="1" x14ac:dyDescent="0.25">
      <c r="S285" s="1"/>
    </row>
    <row r="286" spans="19:19" ht="15.75" customHeight="1" x14ac:dyDescent="0.25">
      <c r="S286" s="1"/>
    </row>
    <row r="287" spans="19:19" ht="15.75" customHeight="1" x14ac:dyDescent="0.25">
      <c r="S287" s="1"/>
    </row>
    <row r="288" spans="19:19" ht="15.75" customHeight="1" x14ac:dyDescent="0.25">
      <c r="S288" s="1"/>
    </row>
    <row r="289" spans="19:19" ht="15.75" customHeight="1" x14ac:dyDescent="0.25">
      <c r="S289" s="1"/>
    </row>
    <row r="290" spans="19:19" ht="15.75" customHeight="1" x14ac:dyDescent="0.25">
      <c r="S290" s="1"/>
    </row>
    <row r="291" spans="19:19" ht="15.75" customHeight="1" x14ac:dyDescent="0.25">
      <c r="S291" s="1"/>
    </row>
    <row r="292" spans="19:19" ht="15.75" customHeight="1" x14ac:dyDescent="0.25">
      <c r="S292" s="1"/>
    </row>
    <row r="293" spans="19:19" ht="15.75" customHeight="1" x14ac:dyDescent="0.25">
      <c r="S293" s="1"/>
    </row>
    <row r="294" spans="19:19" ht="15.75" customHeight="1" x14ac:dyDescent="0.25">
      <c r="S294" s="1"/>
    </row>
    <row r="295" spans="19:19" ht="15.75" customHeight="1" x14ac:dyDescent="0.25">
      <c r="S295" s="1"/>
    </row>
    <row r="296" spans="19:19" ht="15.75" customHeight="1" x14ac:dyDescent="0.25">
      <c r="S296" s="1"/>
    </row>
    <row r="297" spans="19:19" ht="15.75" customHeight="1" x14ac:dyDescent="0.25">
      <c r="S297" s="1"/>
    </row>
    <row r="298" spans="19:19" ht="15.75" customHeight="1" x14ac:dyDescent="0.25">
      <c r="S298" s="1"/>
    </row>
    <row r="299" spans="19:19" ht="15.75" customHeight="1" x14ac:dyDescent="0.25">
      <c r="S299" s="1"/>
    </row>
    <row r="300" spans="19:19" ht="15.75" customHeight="1" x14ac:dyDescent="0.25">
      <c r="S300" s="1"/>
    </row>
    <row r="301" spans="19:19" ht="15.75" customHeight="1" x14ac:dyDescent="0.25">
      <c r="S301" s="1"/>
    </row>
    <row r="302" spans="19:19" ht="15.75" customHeight="1" x14ac:dyDescent="0.25">
      <c r="S302" s="1"/>
    </row>
    <row r="303" spans="19:19" ht="15.75" customHeight="1" x14ac:dyDescent="0.25">
      <c r="S303" s="1"/>
    </row>
    <row r="304" spans="19:19" ht="15.75" customHeight="1" x14ac:dyDescent="0.25">
      <c r="S304" s="1"/>
    </row>
    <row r="305" spans="19:19" ht="15.75" customHeight="1" x14ac:dyDescent="0.25">
      <c r="S305" s="1"/>
    </row>
    <row r="306" spans="19:19" ht="15.75" customHeight="1" x14ac:dyDescent="0.25">
      <c r="S306" s="1"/>
    </row>
    <row r="307" spans="19:19" ht="15.75" customHeight="1" x14ac:dyDescent="0.25">
      <c r="S307" s="1"/>
    </row>
    <row r="308" spans="19:19" ht="15.75" customHeight="1" x14ac:dyDescent="0.25">
      <c r="S308" s="1"/>
    </row>
    <row r="309" spans="19:19" ht="15.75" customHeight="1" x14ac:dyDescent="0.25">
      <c r="S309" s="1"/>
    </row>
    <row r="310" spans="19:19" ht="15.75" customHeight="1" x14ac:dyDescent="0.25">
      <c r="S310" s="1"/>
    </row>
    <row r="311" spans="19:19" ht="15.75" customHeight="1" x14ac:dyDescent="0.25">
      <c r="S311" s="1"/>
    </row>
    <row r="312" spans="19:19" ht="15.75" customHeight="1" x14ac:dyDescent="0.25">
      <c r="S312" s="1"/>
    </row>
    <row r="313" spans="19:19" ht="15.75" customHeight="1" x14ac:dyDescent="0.25">
      <c r="S313" s="1"/>
    </row>
    <row r="314" spans="19:19" ht="15.75" customHeight="1" x14ac:dyDescent="0.25">
      <c r="S314" s="1"/>
    </row>
    <row r="315" spans="19:19" ht="15.75" customHeight="1" x14ac:dyDescent="0.25">
      <c r="S315" s="1"/>
    </row>
    <row r="316" spans="19:19" ht="15.75" customHeight="1" x14ac:dyDescent="0.25">
      <c r="S316" s="1"/>
    </row>
    <row r="317" spans="19:19" ht="15.75" customHeight="1" x14ac:dyDescent="0.25">
      <c r="S317" s="1"/>
    </row>
    <row r="318" spans="19:19" ht="15.75" customHeight="1" x14ac:dyDescent="0.25">
      <c r="S318" s="1"/>
    </row>
    <row r="319" spans="19:19" ht="15.75" customHeight="1" x14ac:dyDescent="0.25">
      <c r="S319" s="1"/>
    </row>
    <row r="320" spans="19:19" ht="15.75" customHeight="1" x14ac:dyDescent="0.25">
      <c r="S320" s="1"/>
    </row>
    <row r="321" spans="19:19" ht="15.75" customHeight="1" x14ac:dyDescent="0.25">
      <c r="S321" s="1"/>
    </row>
    <row r="322" spans="19:19" ht="15.75" customHeight="1" x14ac:dyDescent="0.25">
      <c r="S322" s="1"/>
    </row>
    <row r="323" spans="19:19" ht="15.75" customHeight="1" x14ac:dyDescent="0.25">
      <c r="S323" s="1"/>
    </row>
    <row r="324" spans="19:19" ht="15.75" customHeight="1" x14ac:dyDescent="0.25">
      <c r="S324" s="1"/>
    </row>
    <row r="325" spans="19:19" ht="15.75" customHeight="1" x14ac:dyDescent="0.25">
      <c r="S325" s="1"/>
    </row>
    <row r="326" spans="19:19" ht="15.75" customHeight="1" x14ac:dyDescent="0.25">
      <c r="S326" s="1"/>
    </row>
    <row r="327" spans="19:19" ht="15.75" customHeight="1" x14ac:dyDescent="0.25">
      <c r="S327" s="1"/>
    </row>
    <row r="328" spans="19:19" ht="15.75" customHeight="1" x14ac:dyDescent="0.25">
      <c r="S328" s="1"/>
    </row>
    <row r="329" spans="19:19" ht="15.75" customHeight="1" x14ac:dyDescent="0.25">
      <c r="S329" s="1"/>
    </row>
    <row r="330" spans="19:19" ht="15.75" customHeight="1" x14ac:dyDescent="0.25">
      <c r="S330" s="1"/>
    </row>
    <row r="331" spans="19:19" ht="15.75" customHeight="1" x14ac:dyDescent="0.25">
      <c r="S331" s="1"/>
    </row>
    <row r="332" spans="19:19" ht="15.75" customHeight="1" x14ac:dyDescent="0.25">
      <c r="S332" s="1"/>
    </row>
    <row r="333" spans="19:19" ht="15.75" customHeight="1" x14ac:dyDescent="0.25">
      <c r="S333" s="1"/>
    </row>
    <row r="334" spans="19:19" ht="15.75" customHeight="1" x14ac:dyDescent="0.25">
      <c r="S334" s="1"/>
    </row>
    <row r="335" spans="19:19" ht="15.75" customHeight="1" x14ac:dyDescent="0.25">
      <c r="S335" s="1"/>
    </row>
    <row r="336" spans="19:19" ht="15.75" customHeight="1" x14ac:dyDescent="0.25">
      <c r="S336" s="1"/>
    </row>
    <row r="337" spans="19:19" ht="15.75" customHeight="1" x14ac:dyDescent="0.25">
      <c r="S337" s="1"/>
    </row>
    <row r="338" spans="19:19" ht="15.75" customHeight="1" x14ac:dyDescent="0.25">
      <c r="S338" s="1"/>
    </row>
    <row r="339" spans="19:19" ht="15.75" customHeight="1" x14ac:dyDescent="0.25">
      <c r="S339" s="1"/>
    </row>
    <row r="340" spans="19:19" ht="15.75" customHeight="1" x14ac:dyDescent="0.25">
      <c r="S340" s="1"/>
    </row>
    <row r="341" spans="19:19" ht="15.75" customHeight="1" x14ac:dyDescent="0.25">
      <c r="S341" s="1"/>
    </row>
    <row r="342" spans="19:19" ht="15.75" customHeight="1" x14ac:dyDescent="0.25">
      <c r="S342" s="1"/>
    </row>
    <row r="343" spans="19:19" ht="15.75" customHeight="1" x14ac:dyDescent="0.25">
      <c r="S343" s="1"/>
    </row>
    <row r="344" spans="19:19" ht="15.75" customHeight="1" x14ac:dyDescent="0.25">
      <c r="S344" s="1"/>
    </row>
    <row r="345" spans="19:19" ht="15.75" customHeight="1" x14ac:dyDescent="0.25">
      <c r="S345" s="1"/>
    </row>
    <row r="346" spans="19:19" ht="15.75" customHeight="1" x14ac:dyDescent="0.25">
      <c r="S346" s="1"/>
    </row>
    <row r="347" spans="19:19" ht="15.75" customHeight="1" x14ac:dyDescent="0.25">
      <c r="S347" s="1"/>
    </row>
    <row r="348" spans="19:19" ht="15.75" customHeight="1" x14ac:dyDescent="0.25">
      <c r="S348" s="1"/>
    </row>
    <row r="349" spans="19:19" ht="15.75" customHeight="1" x14ac:dyDescent="0.25">
      <c r="S349" s="1"/>
    </row>
    <row r="350" spans="19:19" ht="15.75" customHeight="1" x14ac:dyDescent="0.25">
      <c r="S350" s="1"/>
    </row>
    <row r="351" spans="19:19" ht="15.75" customHeight="1" x14ac:dyDescent="0.25">
      <c r="S351" s="1"/>
    </row>
    <row r="352" spans="19:19" ht="15.75" customHeight="1" x14ac:dyDescent="0.25">
      <c r="S352" s="1"/>
    </row>
    <row r="353" spans="19:19" ht="15.75" customHeight="1" x14ac:dyDescent="0.25">
      <c r="S353" s="1"/>
    </row>
    <row r="354" spans="19:19" ht="15.75" customHeight="1" x14ac:dyDescent="0.25">
      <c r="S354" s="1"/>
    </row>
    <row r="355" spans="19:19" ht="15.75" customHeight="1" x14ac:dyDescent="0.25">
      <c r="S355" s="1"/>
    </row>
    <row r="356" spans="19:19" ht="15.75" customHeight="1" x14ac:dyDescent="0.25">
      <c r="S356" s="1"/>
    </row>
    <row r="357" spans="19:19" ht="15.75" customHeight="1" x14ac:dyDescent="0.25">
      <c r="S357" s="1"/>
    </row>
    <row r="358" spans="19:19" ht="15.75" customHeight="1" x14ac:dyDescent="0.25">
      <c r="S358" s="1"/>
    </row>
    <row r="359" spans="19:19" ht="15.75" customHeight="1" x14ac:dyDescent="0.25">
      <c r="S359" s="1"/>
    </row>
    <row r="360" spans="19:19" ht="15.75" customHeight="1" x14ac:dyDescent="0.25">
      <c r="S360" s="1"/>
    </row>
    <row r="361" spans="19:19" ht="15.75" customHeight="1" x14ac:dyDescent="0.25">
      <c r="S361" s="1"/>
    </row>
    <row r="362" spans="19:19" ht="15.75" customHeight="1" x14ac:dyDescent="0.25">
      <c r="S362" s="1"/>
    </row>
    <row r="363" spans="19:19" ht="15.75" customHeight="1" x14ac:dyDescent="0.25">
      <c r="S363" s="1"/>
    </row>
    <row r="364" spans="19:19" ht="15.75" customHeight="1" x14ac:dyDescent="0.25">
      <c r="S364" s="1"/>
    </row>
    <row r="365" spans="19:19" ht="15.75" customHeight="1" x14ac:dyDescent="0.25">
      <c r="S365" s="1"/>
    </row>
    <row r="366" spans="19:19" ht="15.75" customHeight="1" x14ac:dyDescent="0.25">
      <c r="S366" s="1"/>
    </row>
    <row r="367" spans="19:19" ht="15.75" customHeight="1" x14ac:dyDescent="0.25">
      <c r="S367" s="1"/>
    </row>
    <row r="368" spans="19:19" ht="15.75" customHeight="1" x14ac:dyDescent="0.25">
      <c r="S368" s="1"/>
    </row>
    <row r="369" spans="19:19" ht="15.75" customHeight="1" x14ac:dyDescent="0.25">
      <c r="S369" s="1"/>
    </row>
    <row r="370" spans="19:19" ht="15.75" customHeight="1" x14ac:dyDescent="0.25">
      <c r="S370" s="1"/>
    </row>
    <row r="371" spans="19:19" ht="15.75" customHeight="1" x14ac:dyDescent="0.25">
      <c r="S371" s="1"/>
    </row>
    <row r="372" spans="19:19" ht="15.75" customHeight="1" x14ac:dyDescent="0.25">
      <c r="S372" s="1"/>
    </row>
    <row r="373" spans="19:19" ht="15.75" customHeight="1" x14ac:dyDescent="0.25">
      <c r="S373" s="1"/>
    </row>
    <row r="374" spans="19:19" ht="15.75" customHeight="1" x14ac:dyDescent="0.25">
      <c r="S374" s="1"/>
    </row>
    <row r="375" spans="19:19" ht="15.75" customHeight="1" x14ac:dyDescent="0.25">
      <c r="S375" s="1"/>
    </row>
    <row r="376" spans="19:19" ht="15.75" customHeight="1" x14ac:dyDescent="0.25">
      <c r="S376" s="1"/>
    </row>
    <row r="377" spans="19:19" ht="15.75" customHeight="1" x14ac:dyDescent="0.25">
      <c r="S377" s="1"/>
    </row>
    <row r="378" spans="19:19" ht="15.75" customHeight="1" x14ac:dyDescent="0.25">
      <c r="S378" s="1"/>
    </row>
    <row r="379" spans="19:19" ht="15.75" customHeight="1" x14ac:dyDescent="0.25">
      <c r="S379" s="1"/>
    </row>
    <row r="380" spans="19:19" ht="15.75" customHeight="1" x14ac:dyDescent="0.25">
      <c r="S380" s="1"/>
    </row>
    <row r="381" spans="19:19" ht="15.75" customHeight="1" x14ac:dyDescent="0.25">
      <c r="S381" s="1"/>
    </row>
    <row r="382" spans="19:19" ht="15.75" customHeight="1" x14ac:dyDescent="0.25">
      <c r="S382" s="1"/>
    </row>
    <row r="383" spans="19:19" ht="15.75" customHeight="1" x14ac:dyDescent="0.25">
      <c r="S383" s="1"/>
    </row>
    <row r="384" spans="19:19" ht="15.75" customHeight="1" x14ac:dyDescent="0.25">
      <c r="S384" s="1"/>
    </row>
    <row r="385" spans="19:19" ht="15.75" customHeight="1" x14ac:dyDescent="0.25">
      <c r="S385" s="1"/>
    </row>
    <row r="386" spans="19:19" ht="15.75" customHeight="1" x14ac:dyDescent="0.25">
      <c r="S386" s="1"/>
    </row>
    <row r="387" spans="19:19" ht="15.75" customHeight="1" x14ac:dyDescent="0.25">
      <c r="S387" s="1"/>
    </row>
    <row r="388" spans="19:19" ht="15.75" customHeight="1" x14ac:dyDescent="0.25">
      <c r="S388" s="1"/>
    </row>
    <row r="389" spans="19:19" ht="15.75" customHeight="1" x14ac:dyDescent="0.25">
      <c r="S389" s="1"/>
    </row>
    <row r="390" spans="19:19" ht="15.75" customHeight="1" x14ac:dyDescent="0.25">
      <c r="S390" s="1"/>
    </row>
    <row r="391" spans="19:19" ht="15.75" customHeight="1" x14ac:dyDescent="0.25">
      <c r="S391" s="1"/>
    </row>
    <row r="392" spans="19:19" ht="15.75" customHeight="1" x14ac:dyDescent="0.25">
      <c r="S392" s="1"/>
    </row>
    <row r="393" spans="19:19" ht="15.75" customHeight="1" x14ac:dyDescent="0.25">
      <c r="S393" s="1"/>
    </row>
    <row r="394" spans="19:19" ht="15.75" customHeight="1" x14ac:dyDescent="0.25">
      <c r="S394" s="1"/>
    </row>
    <row r="395" spans="19:19" ht="15.75" customHeight="1" x14ac:dyDescent="0.25">
      <c r="S395" s="1"/>
    </row>
    <row r="396" spans="19:19" ht="15.75" customHeight="1" x14ac:dyDescent="0.25">
      <c r="S396" s="1"/>
    </row>
    <row r="397" spans="19:19" ht="15.75" customHeight="1" x14ac:dyDescent="0.25">
      <c r="S397" s="1"/>
    </row>
    <row r="398" spans="19:19" ht="15.75" customHeight="1" x14ac:dyDescent="0.25">
      <c r="S398" s="1"/>
    </row>
    <row r="399" spans="19:19" ht="15.75" customHeight="1" x14ac:dyDescent="0.25">
      <c r="S399" s="1"/>
    </row>
    <row r="400" spans="19:19" ht="15.75" customHeight="1" x14ac:dyDescent="0.25">
      <c r="S400" s="1"/>
    </row>
    <row r="401" spans="19:19" ht="15.75" customHeight="1" x14ac:dyDescent="0.25">
      <c r="S401" s="1"/>
    </row>
    <row r="402" spans="19:19" ht="15.75" customHeight="1" x14ac:dyDescent="0.25">
      <c r="S402" s="1"/>
    </row>
    <row r="403" spans="19:19" ht="15.75" customHeight="1" x14ac:dyDescent="0.25">
      <c r="S403" s="1"/>
    </row>
    <row r="404" spans="19:19" ht="15.75" customHeight="1" x14ac:dyDescent="0.25">
      <c r="S404" s="1"/>
    </row>
    <row r="405" spans="19:19" ht="15.75" customHeight="1" x14ac:dyDescent="0.25">
      <c r="S405" s="1"/>
    </row>
    <row r="406" spans="19:19" ht="15.75" customHeight="1" x14ac:dyDescent="0.25">
      <c r="S406" s="1"/>
    </row>
    <row r="407" spans="19:19" ht="15.75" customHeight="1" x14ac:dyDescent="0.25">
      <c r="S407" s="1"/>
    </row>
    <row r="408" spans="19:19" ht="15.75" customHeight="1" x14ac:dyDescent="0.25">
      <c r="S408" s="1"/>
    </row>
    <row r="409" spans="19:19" ht="15.75" customHeight="1" x14ac:dyDescent="0.25">
      <c r="S409" s="1"/>
    </row>
    <row r="410" spans="19:19" ht="15.75" customHeight="1" x14ac:dyDescent="0.25">
      <c r="S410" s="1"/>
    </row>
    <row r="411" spans="19:19" ht="15.75" customHeight="1" x14ac:dyDescent="0.25">
      <c r="S411" s="1"/>
    </row>
    <row r="412" spans="19:19" ht="15.75" customHeight="1" x14ac:dyDescent="0.25">
      <c r="S412" s="1"/>
    </row>
    <row r="413" spans="19:19" ht="15.75" customHeight="1" x14ac:dyDescent="0.25">
      <c r="S413" s="1"/>
    </row>
    <row r="414" spans="19:19" ht="15.75" customHeight="1" x14ac:dyDescent="0.25">
      <c r="S414" s="1"/>
    </row>
    <row r="415" spans="19:19" ht="15.75" customHeight="1" x14ac:dyDescent="0.25">
      <c r="S415" s="1"/>
    </row>
    <row r="416" spans="19:19" ht="15.75" customHeight="1" x14ac:dyDescent="0.25">
      <c r="S416" s="1"/>
    </row>
    <row r="417" spans="19:19" ht="15.75" customHeight="1" x14ac:dyDescent="0.25">
      <c r="S417" s="1"/>
    </row>
    <row r="418" spans="19:19" ht="15.75" customHeight="1" x14ac:dyDescent="0.25">
      <c r="S418" s="1"/>
    </row>
    <row r="419" spans="19:19" ht="15.75" customHeight="1" x14ac:dyDescent="0.25">
      <c r="S419" s="1"/>
    </row>
    <row r="420" spans="19:19" ht="15.75" customHeight="1" x14ac:dyDescent="0.25">
      <c r="S420" s="1"/>
    </row>
    <row r="421" spans="19:19" ht="15.75" customHeight="1" x14ac:dyDescent="0.25">
      <c r="S421" s="1"/>
    </row>
    <row r="422" spans="19:19" ht="15.75" customHeight="1" x14ac:dyDescent="0.25">
      <c r="S422" s="1"/>
    </row>
    <row r="423" spans="19:19" ht="15.75" customHeight="1" x14ac:dyDescent="0.25">
      <c r="S423" s="1"/>
    </row>
    <row r="424" spans="19:19" ht="15.75" customHeight="1" x14ac:dyDescent="0.25">
      <c r="S424" s="1"/>
    </row>
    <row r="425" spans="19:19" ht="15.75" customHeight="1" x14ac:dyDescent="0.25">
      <c r="S425" s="1"/>
    </row>
    <row r="426" spans="19:19" ht="15.75" customHeight="1" x14ac:dyDescent="0.25">
      <c r="S426" s="1"/>
    </row>
    <row r="427" spans="19:19" ht="15.75" customHeight="1" x14ac:dyDescent="0.25">
      <c r="S427" s="1"/>
    </row>
    <row r="428" spans="19:19" ht="15.75" customHeight="1" x14ac:dyDescent="0.25">
      <c r="S428" s="1"/>
    </row>
    <row r="429" spans="19:19" ht="15.75" customHeight="1" x14ac:dyDescent="0.25">
      <c r="S429" s="1"/>
    </row>
    <row r="430" spans="19:19" ht="15.75" customHeight="1" x14ac:dyDescent="0.25">
      <c r="S430" s="1"/>
    </row>
    <row r="431" spans="19:19" ht="15.75" customHeight="1" x14ac:dyDescent="0.25">
      <c r="S431" s="1"/>
    </row>
    <row r="432" spans="19:19" ht="15.75" customHeight="1" x14ac:dyDescent="0.25">
      <c r="S432" s="1"/>
    </row>
    <row r="433" spans="19:19" ht="15.75" customHeight="1" x14ac:dyDescent="0.25">
      <c r="S433" s="1"/>
    </row>
    <row r="434" spans="19:19" ht="15.75" customHeight="1" x14ac:dyDescent="0.25">
      <c r="S434" s="1"/>
    </row>
    <row r="435" spans="19:19" ht="15.75" customHeight="1" x14ac:dyDescent="0.25">
      <c r="S435" s="1"/>
    </row>
    <row r="436" spans="19:19" ht="15.75" customHeight="1" x14ac:dyDescent="0.25">
      <c r="S436" s="1"/>
    </row>
    <row r="437" spans="19:19" ht="15.75" customHeight="1" x14ac:dyDescent="0.25">
      <c r="S437" s="1"/>
    </row>
    <row r="438" spans="19:19" ht="15.75" customHeight="1" x14ac:dyDescent="0.25">
      <c r="S438" s="1"/>
    </row>
    <row r="439" spans="19:19" ht="15.75" customHeight="1" x14ac:dyDescent="0.25">
      <c r="S439" s="1"/>
    </row>
    <row r="440" spans="19:19" ht="15.75" customHeight="1" x14ac:dyDescent="0.25">
      <c r="S440" s="1"/>
    </row>
    <row r="441" spans="19:19" ht="15.75" customHeight="1" x14ac:dyDescent="0.25">
      <c r="S441" s="1"/>
    </row>
    <row r="442" spans="19:19" ht="15.75" customHeight="1" x14ac:dyDescent="0.25">
      <c r="S442" s="1"/>
    </row>
    <row r="443" spans="19:19" ht="15.75" customHeight="1" x14ac:dyDescent="0.25">
      <c r="S443" s="1"/>
    </row>
    <row r="444" spans="19:19" ht="15.75" customHeight="1" x14ac:dyDescent="0.25">
      <c r="S444" s="1"/>
    </row>
    <row r="445" spans="19:19" ht="15.75" customHeight="1" x14ac:dyDescent="0.25">
      <c r="S445" s="1"/>
    </row>
    <row r="446" spans="19:19" ht="15.75" customHeight="1" x14ac:dyDescent="0.25">
      <c r="S446" s="1"/>
    </row>
    <row r="447" spans="19:19" ht="15.75" customHeight="1" x14ac:dyDescent="0.25">
      <c r="S447" s="1"/>
    </row>
    <row r="448" spans="19:19" ht="15.75" customHeight="1" x14ac:dyDescent="0.25">
      <c r="S448" s="1"/>
    </row>
    <row r="449" spans="19:19" ht="15.75" customHeight="1" x14ac:dyDescent="0.25">
      <c r="S449" s="1"/>
    </row>
    <row r="450" spans="19:19" ht="15.75" customHeight="1" x14ac:dyDescent="0.25">
      <c r="S450" s="1"/>
    </row>
    <row r="451" spans="19:19" ht="15.75" customHeight="1" x14ac:dyDescent="0.25">
      <c r="S451" s="1"/>
    </row>
    <row r="452" spans="19:19" ht="15.75" customHeight="1" x14ac:dyDescent="0.25">
      <c r="S452" s="1"/>
    </row>
    <row r="453" spans="19:19" ht="15.75" customHeight="1" x14ac:dyDescent="0.25">
      <c r="S453" s="1"/>
    </row>
    <row r="454" spans="19:19" ht="15.75" customHeight="1" x14ac:dyDescent="0.25">
      <c r="S454" s="1"/>
    </row>
    <row r="455" spans="19:19" ht="15.75" customHeight="1" x14ac:dyDescent="0.25">
      <c r="S455" s="1"/>
    </row>
    <row r="456" spans="19:19" ht="15.75" customHeight="1" x14ac:dyDescent="0.25">
      <c r="S456" s="1"/>
    </row>
    <row r="457" spans="19:19" ht="15.75" customHeight="1" x14ac:dyDescent="0.25">
      <c r="S457" s="1"/>
    </row>
    <row r="458" spans="19:19" ht="15.75" customHeight="1" x14ac:dyDescent="0.25">
      <c r="S458" s="1"/>
    </row>
    <row r="459" spans="19:19" ht="15.75" customHeight="1" x14ac:dyDescent="0.25">
      <c r="S459" s="1"/>
    </row>
    <row r="460" spans="19:19" ht="15.75" customHeight="1" x14ac:dyDescent="0.25">
      <c r="S460" s="1"/>
    </row>
    <row r="461" spans="19:19" ht="15.75" customHeight="1" x14ac:dyDescent="0.25">
      <c r="S461" s="1"/>
    </row>
    <row r="462" spans="19:19" ht="15.75" customHeight="1" x14ac:dyDescent="0.25">
      <c r="S462" s="1"/>
    </row>
    <row r="463" spans="19:19" ht="15.75" customHeight="1" x14ac:dyDescent="0.25">
      <c r="S463" s="1"/>
    </row>
    <row r="464" spans="19:19" ht="15.75" customHeight="1" x14ac:dyDescent="0.25">
      <c r="S464" s="1"/>
    </row>
    <row r="465" spans="19:19" ht="15.75" customHeight="1" x14ac:dyDescent="0.25">
      <c r="S465" s="1"/>
    </row>
    <row r="466" spans="19:19" ht="15.75" customHeight="1" x14ac:dyDescent="0.25">
      <c r="S466" s="1"/>
    </row>
    <row r="467" spans="19:19" ht="15.75" customHeight="1" x14ac:dyDescent="0.25">
      <c r="S467" s="1"/>
    </row>
    <row r="468" spans="19:19" ht="15.75" customHeight="1" x14ac:dyDescent="0.25">
      <c r="S468" s="1"/>
    </row>
    <row r="469" spans="19:19" ht="15.75" customHeight="1" x14ac:dyDescent="0.25">
      <c r="S469" s="1"/>
    </row>
    <row r="470" spans="19:19" ht="15.75" customHeight="1" x14ac:dyDescent="0.25">
      <c r="S470" s="1"/>
    </row>
    <row r="471" spans="19:19" ht="15.75" customHeight="1" x14ac:dyDescent="0.25">
      <c r="S471" s="1"/>
    </row>
    <row r="472" spans="19:19" ht="15.75" customHeight="1" x14ac:dyDescent="0.25">
      <c r="S472" s="1"/>
    </row>
    <row r="473" spans="19:19" ht="15.75" customHeight="1" x14ac:dyDescent="0.25">
      <c r="S473" s="1"/>
    </row>
    <row r="474" spans="19:19" ht="15.75" customHeight="1" x14ac:dyDescent="0.25">
      <c r="S474" s="1"/>
    </row>
    <row r="475" spans="19:19" ht="15.75" customHeight="1" x14ac:dyDescent="0.25">
      <c r="S475" s="1"/>
    </row>
    <row r="476" spans="19:19" ht="15.75" customHeight="1" x14ac:dyDescent="0.25">
      <c r="S476" s="1"/>
    </row>
    <row r="477" spans="19:19" ht="15.75" customHeight="1" x14ac:dyDescent="0.25">
      <c r="S477" s="1"/>
    </row>
    <row r="478" spans="19:19" ht="15.75" customHeight="1" x14ac:dyDescent="0.25">
      <c r="S478" s="1"/>
    </row>
    <row r="479" spans="19:19" ht="15.75" customHeight="1" x14ac:dyDescent="0.25">
      <c r="S479" s="1"/>
    </row>
    <row r="480" spans="19:19" ht="15.75" customHeight="1" x14ac:dyDescent="0.25">
      <c r="S480" s="1"/>
    </row>
    <row r="481" spans="19:19" ht="15.75" customHeight="1" x14ac:dyDescent="0.25">
      <c r="S481" s="1"/>
    </row>
    <row r="482" spans="19:19" ht="15.75" customHeight="1" x14ac:dyDescent="0.25">
      <c r="S482" s="1"/>
    </row>
    <row r="483" spans="19:19" ht="15.75" customHeight="1" x14ac:dyDescent="0.25">
      <c r="S483" s="1"/>
    </row>
    <row r="484" spans="19:19" ht="15.75" customHeight="1" x14ac:dyDescent="0.25">
      <c r="S484" s="1"/>
    </row>
    <row r="485" spans="19:19" ht="15.75" customHeight="1" x14ac:dyDescent="0.25">
      <c r="S485" s="1"/>
    </row>
    <row r="486" spans="19:19" ht="15.75" customHeight="1" x14ac:dyDescent="0.25">
      <c r="S486" s="1"/>
    </row>
    <row r="487" spans="19:19" ht="15.75" customHeight="1" x14ac:dyDescent="0.25">
      <c r="S487" s="1"/>
    </row>
    <row r="488" spans="19:19" ht="15.75" customHeight="1" x14ac:dyDescent="0.25">
      <c r="S488" s="1"/>
    </row>
    <row r="489" spans="19:19" ht="15.75" customHeight="1" x14ac:dyDescent="0.25">
      <c r="S489" s="1"/>
    </row>
    <row r="490" spans="19:19" ht="15.75" customHeight="1" x14ac:dyDescent="0.25">
      <c r="S490" s="1"/>
    </row>
    <row r="491" spans="19:19" ht="15.75" customHeight="1" x14ac:dyDescent="0.25">
      <c r="S491" s="1"/>
    </row>
    <row r="492" spans="19:19" ht="15.75" customHeight="1" x14ac:dyDescent="0.25">
      <c r="S492" s="1"/>
    </row>
    <row r="493" spans="19:19" ht="15.75" customHeight="1" x14ac:dyDescent="0.25">
      <c r="S493" s="1"/>
    </row>
    <row r="494" spans="19:19" ht="15.75" customHeight="1" x14ac:dyDescent="0.25">
      <c r="S494" s="1"/>
    </row>
    <row r="495" spans="19:19" ht="15.75" customHeight="1" x14ac:dyDescent="0.25">
      <c r="S495" s="1"/>
    </row>
    <row r="496" spans="19:19" ht="15.75" customHeight="1" x14ac:dyDescent="0.25">
      <c r="S496" s="1"/>
    </row>
    <row r="497" spans="19:19" ht="15.75" customHeight="1" x14ac:dyDescent="0.25">
      <c r="S497" s="1"/>
    </row>
    <row r="498" spans="19:19" ht="15.75" customHeight="1" x14ac:dyDescent="0.25">
      <c r="S498" s="1"/>
    </row>
    <row r="499" spans="19:19" ht="15.75" customHeight="1" x14ac:dyDescent="0.25">
      <c r="S499" s="1"/>
    </row>
    <row r="500" spans="19:19" ht="15.75" customHeight="1" x14ac:dyDescent="0.25">
      <c r="S500" s="1"/>
    </row>
    <row r="501" spans="19:19" ht="15.75" customHeight="1" x14ac:dyDescent="0.25">
      <c r="S501" s="1"/>
    </row>
    <row r="502" spans="19:19" ht="15.75" customHeight="1" x14ac:dyDescent="0.25">
      <c r="S502" s="1"/>
    </row>
    <row r="503" spans="19:19" ht="15.75" customHeight="1" x14ac:dyDescent="0.25">
      <c r="S503" s="1"/>
    </row>
    <row r="504" spans="19:19" ht="15.75" customHeight="1" x14ac:dyDescent="0.25">
      <c r="S504" s="1"/>
    </row>
    <row r="505" spans="19:19" ht="15.75" customHeight="1" x14ac:dyDescent="0.25">
      <c r="S505" s="1"/>
    </row>
    <row r="506" spans="19:19" ht="15.75" customHeight="1" x14ac:dyDescent="0.25">
      <c r="S506" s="1"/>
    </row>
    <row r="507" spans="19:19" ht="15.75" customHeight="1" x14ac:dyDescent="0.25">
      <c r="S507" s="1"/>
    </row>
    <row r="508" spans="19:19" ht="15.75" customHeight="1" x14ac:dyDescent="0.25">
      <c r="S508" s="1"/>
    </row>
    <row r="509" spans="19:19" ht="15.75" customHeight="1" x14ac:dyDescent="0.25">
      <c r="S509" s="1"/>
    </row>
    <row r="510" spans="19:19" ht="15.75" customHeight="1" x14ac:dyDescent="0.25">
      <c r="S510" s="1"/>
    </row>
    <row r="511" spans="19:19" ht="15.75" customHeight="1" x14ac:dyDescent="0.25">
      <c r="S511" s="1"/>
    </row>
    <row r="512" spans="19:19" ht="15.75" customHeight="1" x14ac:dyDescent="0.25">
      <c r="S512" s="1"/>
    </row>
    <row r="513" spans="19:19" ht="15.75" customHeight="1" x14ac:dyDescent="0.25">
      <c r="S513" s="1"/>
    </row>
    <row r="514" spans="19:19" ht="15.75" customHeight="1" x14ac:dyDescent="0.25">
      <c r="S514" s="1"/>
    </row>
    <row r="515" spans="19:19" ht="15.75" customHeight="1" x14ac:dyDescent="0.25">
      <c r="S515" s="1"/>
    </row>
    <row r="516" spans="19:19" ht="15.75" customHeight="1" x14ac:dyDescent="0.25">
      <c r="S516" s="1"/>
    </row>
    <row r="517" spans="19:19" ht="15.75" customHeight="1" x14ac:dyDescent="0.25">
      <c r="S517" s="1"/>
    </row>
    <row r="518" spans="19:19" ht="15.75" customHeight="1" x14ac:dyDescent="0.25">
      <c r="S518" s="1"/>
    </row>
    <row r="519" spans="19:19" ht="15.75" customHeight="1" x14ac:dyDescent="0.25">
      <c r="S519" s="1"/>
    </row>
    <row r="520" spans="19:19" ht="15.75" customHeight="1" x14ac:dyDescent="0.25">
      <c r="S520" s="1"/>
    </row>
    <row r="521" spans="19:19" ht="15.75" customHeight="1" x14ac:dyDescent="0.25">
      <c r="S521" s="1"/>
    </row>
    <row r="522" spans="19:19" ht="15.75" customHeight="1" x14ac:dyDescent="0.25">
      <c r="S522" s="1"/>
    </row>
    <row r="523" spans="19:19" ht="15.75" customHeight="1" x14ac:dyDescent="0.25">
      <c r="S523" s="1"/>
    </row>
    <row r="524" spans="19:19" ht="15.75" customHeight="1" x14ac:dyDescent="0.25">
      <c r="S524" s="1"/>
    </row>
    <row r="525" spans="19:19" ht="15.75" customHeight="1" x14ac:dyDescent="0.25">
      <c r="S525" s="1"/>
    </row>
    <row r="526" spans="19:19" ht="15.75" customHeight="1" x14ac:dyDescent="0.25">
      <c r="S526" s="1"/>
    </row>
    <row r="527" spans="19:19" ht="15.75" customHeight="1" x14ac:dyDescent="0.25">
      <c r="S527" s="1"/>
    </row>
    <row r="528" spans="19:19" ht="15.75" customHeight="1" x14ac:dyDescent="0.25">
      <c r="S528" s="1"/>
    </row>
    <row r="529" spans="19:19" ht="15.75" customHeight="1" x14ac:dyDescent="0.25">
      <c r="S529" s="1"/>
    </row>
    <row r="530" spans="19:19" ht="15.75" customHeight="1" x14ac:dyDescent="0.25">
      <c r="S530" s="1"/>
    </row>
    <row r="531" spans="19:19" ht="15.75" customHeight="1" x14ac:dyDescent="0.25">
      <c r="S531" s="1"/>
    </row>
    <row r="532" spans="19:19" ht="15.75" customHeight="1" x14ac:dyDescent="0.25">
      <c r="S532" s="1"/>
    </row>
    <row r="533" spans="19:19" ht="15.75" customHeight="1" x14ac:dyDescent="0.25">
      <c r="S533" s="1"/>
    </row>
    <row r="534" spans="19:19" ht="15.75" customHeight="1" x14ac:dyDescent="0.25">
      <c r="S534" s="1"/>
    </row>
    <row r="535" spans="19:19" ht="15.75" customHeight="1" x14ac:dyDescent="0.25">
      <c r="S535" s="1"/>
    </row>
    <row r="536" spans="19:19" ht="15.75" customHeight="1" x14ac:dyDescent="0.25">
      <c r="S536" s="1"/>
    </row>
    <row r="537" spans="19:19" ht="15.75" customHeight="1" x14ac:dyDescent="0.25">
      <c r="S537" s="1"/>
    </row>
    <row r="538" spans="19:19" ht="15.75" customHeight="1" x14ac:dyDescent="0.25">
      <c r="S538" s="1"/>
    </row>
    <row r="539" spans="19:19" ht="15.75" customHeight="1" x14ac:dyDescent="0.25">
      <c r="S539" s="1"/>
    </row>
    <row r="540" spans="19:19" ht="15.75" customHeight="1" x14ac:dyDescent="0.25">
      <c r="S540" s="1"/>
    </row>
    <row r="541" spans="19:19" ht="15.75" customHeight="1" x14ac:dyDescent="0.25">
      <c r="S541" s="1"/>
    </row>
    <row r="542" spans="19:19" ht="15.75" customHeight="1" x14ac:dyDescent="0.25">
      <c r="S542" s="1"/>
    </row>
    <row r="543" spans="19:19" ht="15.75" customHeight="1" x14ac:dyDescent="0.25">
      <c r="S543" s="1"/>
    </row>
    <row r="544" spans="19:19" ht="15.75" customHeight="1" x14ac:dyDescent="0.25">
      <c r="S544" s="1"/>
    </row>
    <row r="545" spans="19:19" ht="15.75" customHeight="1" x14ac:dyDescent="0.25">
      <c r="S545" s="1"/>
    </row>
    <row r="546" spans="19:19" ht="15.75" customHeight="1" x14ac:dyDescent="0.25">
      <c r="S546" s="1"/>
    </row>
    <row r="547" spans="19:19" ht="15.75" customHeight="1" x14ac:dyDescent="0.25">
      <c r="S547" s="1"/>
    </row>
    <row r="548" spans="19:19" ht="15.75" customHeight="1" x14ac:dyDescent="0.25">
      <c r="S548" s="1"/>
    </row>
    <row r="549" spans="19:19" ht="15.75" customHeight="1" x14ac:dyDescent="0.25">
      <c r="S549" s="1"/>
    </row>
    <row r="550" spans="19:19" ht="15.75" customHeight="1" x14ac:dyDescent="0.25">
      <c r="S550" s="1"/>
    </row>
    <row r="551" spans="19:19" ht="15.75" customHeight="1" x14ac:dyDescent="0.25">
      <c r="S551" s="1"/>
    </row>
    <row r="552" spans="19:19" ht="15.75" customHeight="1" x14ac:dyDescent="0.25">
      <c r="S552" s="1"/>
    </row>
    <row r="553" spans="19:19" ht="15.75" customHeight="1" x14ac:dyDescent="0.25">
      <c r="S553" s="1"/>
    </row>
    <row r="554" spans="19:19" ht="15.75" customHeight="1" x14ac:dyDescent="0.25">
      <c r="S554" s="1"/>
    </row>
    <row r="555" spans="19:19" ht="15.75" customHeight="1" x14ac:dyDescent="0.25">
      <c r="S555" s="1"/>
    </row>
    <row r="556" spans="19:19" ht="15.75" customHeight="1" x14ac:dyDescent="0.25">
      <c r="S556" s="1"/>
    </row>
    <row r="557" spans="19:19" ht="15.75" customHeight="1" x14ac:dyDescent="0.25">
      <c r="S557" s="1"/>
    </row>
    <row r="558" spans="19:19" ht="15.75" customHeight="1" x14ac:dyDescent="0.25">
      <c r="S558" s="1"/>
    </row>
    <row r="559" spans="19:19" ht="15.75" customHeight="1" x14ac:dyDescent="0.25">
      <c r="S559" s="1"/>
    </row>
    <row r="560" spans="19:19" ht="15.75" customHeight="1" x14ac:dyDescent="0.25">
      <c r="S560" s="1"/>
    </row>
    <row r="561" spans="19:19" ht="15.75" customHeight="1" x14ac:dyDescent="0.25">
      <c r="S561" s="1"/>
    </row>
    <row r="562" spans="19:19" ht="15.75" customHeight="1" x14ac:dyDescent="0.25">
      <c r="S562" s="1"/>
    </row>
    <row r="563" spans="19:19" ht="15.75" customHeight="1" x14ac:dyDescent="0.25">
      <c r="S563" s="1"/>
    </row>
    <row r="564" spans="19:19" ht="15.75" customHeight="1" x14ac:dyDescent="0.25">
      <c r="S564" s="1"/>
    </row>
    <row r="565" spans="19:19" ht="15.75" customHeight="1" x14ac:dyDescent="0.25">
      <c r="S565" s="1"/>
    </row>
    <row r="566" spans="19:19" ht="15.75" customHeight="1" x14ac:dyDescent="0.25">
      <c r="S566" s="1"/>
    </row>
    <row r="567" spans="19:19" ht="15.75" customHeight="1" x14ac:dyDescent="0.25">
      <c r="S567" s="1"/>
    </row>
    <row r="568" spans="19:19" ht="15.75" customHeight="1" x14ac:dyDescent="0.25">
      <c r="S568" s="1"/>
    </row>
    <row r="569" spans="19:19" ht="15.75" customHeight="1" x14ac:dyDescent="0.25">
      <c r="S569" s="1"/>
    </row>
    <row r="570" spans="19:19" ht="15.75" customHeight="1" x14ac:dyDescent="0.25">
      <c r="S570" s="1"/>
    </row>
    <row r="571" spans="19:19" ht="15.75" customHeight="1" x14ac:dyDescent="0.25">
      <c r="S571" s="1"/>
    </row>
    <row r="572" spans="19:19" ht="15.75" customHeight="1" x14ac:dyDescent="0.25">
      <c r="S572" s="1"/>
    </row>
    <row r="573" spans="19:19" ht="15.75" customHeight="1" x14ac:dyDescent="0.25">
      <c r="S573" s="1"/>
    </row>
    <row r="574" spans="19:19" ht="15.75" customHeight="1" x14ac:dyDescent="0.25">
      <c r="S574" s="1"/>
    </row>
    <row r="575" spans="19:19" ht="15.75" customHeight="1" x14ac:dyDescent="0.25">
      <c r="S575" s="1"/>
    </row>
    <row r="576" spans="19:19" ht="15.75" customHeight="1" x14ac:dyDescent="0.25">
      <c r="S576" s="1"/>
    </row>
    <row r="577" spans="19:19" ht="15.75" customHeight="1" x14ac:dyDescent="0.25">
      <c r="S577" s="1"/>
    </row>
    <row r="578" spans="19:19" ht="15.75" customHeight="1" x14ac:dyDescent="0.25">
      <c r="S578" s="1"/>
    </row>
    <row r="579" spans="19:19" ht="15.75" customHeight="1" x14ac:dyDescent="0.25">
      <c r="S579" s="1"/>
    </row>
    <row r="580" spans="19:19" ht="15.75" customHeight="1" x14ac:dyDescent="0.25">
      <c r="S580" s="1"/>
    </row>
    <row r="581" spans="19:19" ht="15.75" customHeight="1" x14ac:dyDescent="0.25">
      <c r="S581" s="1"/>
    </row>
    <row r="582" spans="19:19" ht="15.75" customHeight="1" x14ac:dyDescent="0.25">
      <c r="S582" s="1"/>
    </row>
    <row r="583" spans="19:19" ht="15.75" customHeight="1" x14ac:dyDescent="0.25">
      <c r="S583" s="1"/>
    </row>
    <row r="584" spans="19:19" ht="15.75" customHeight="1" x14ac:dyDescent="0.25">
      <c r="S584" s="1"/>
    </row>
    <row r="585" spans="19:19" ht="15.75" customHeight="1" x14ac:dyDescent="0.25">
      <c r="S585" s="1"/>
    </row>
    <row r="586" spans="19:19" ht="15.75" customHeight="1" x14ac:dyDescent="0.25">
      <c r="S586" s="1"/>
    </row>
    <row r="587" spans="19:19" ht="15.75" customHeight="1" x14ac:dyDescent="0.25">
      <c r="S587" s="1"/>
    </row>
    <row r="588" spans="19:19" ht="15.75" customHeight="1" x14ac:dyDescent="0.25">
      <c r="S588" s="1"/>
    </row>
    <row r="589" spans="19:19" ht="15.75" customHeight="1" x14ac:dyDescent="0.25">
      <c r="S589" s="1"/>
    </row>
    <row r="590" spans="19:19" ht="15.75" customHeight="1" x14ac:dyDescent="0.25">
      <c r="S590" s="1"/>
    </row>
    <row r="591" spans="19:19" ht="15.75" customHeight="1" x14ac:dyDescent="0.25">
      <c r="S591" s="1"/>
    </row>
    <row r="592" spans="19:19" ht="15.75" customHeight="1" x14ac:dyDescent="0.25">
      <c r="S592" s="1"/>
    </row>
    <row r="593" spans="19:19" ht="15.75" customHeight="1" x14ac:dyDescent="0.25">
      <c r="S593" s="1"/>
    </row>
    <row r="594" spans="19:19" ht="15.75" customHeight="1" x14ac:dyDescent="0.25">
      <c r="S594" s="1"/>
    </row>
    <row r="595" spans="19:19" ht="15.75" customHeight="1" x14ac:dyDescent="0.25">
      <c r="S595" s="1"/>
    </row>
    <row r="596" spans="19:19" ht="15.75" customHeight="1" x14ac:dyDescent="0.25">
      <c r="S596" s="1"/>
    </row>
    <row r="597" spans="19:19" ht="15.75" customHeight="1" x14ac:dyDescent="0.25">
      <c r="S597" s="1"/>
    </row>
    <row r="598" spans="19:19" ht="15.75" customHeight="1" x14ac:dyDescent="0.25">
      <c r="S598" s="1"/>
    </row>
    <row r="599" spans="19:19" ht="15.75" customHeight="1" x14ac:dyDescent="0.25">
      <c r="S599" s="1"/>
    </row>
    <row r="600" spans="19:19" ht="15.75" customHeight="1" x14ac:dyDescent="0.25">
      <c r="S600" s="1"/>
    </row>
    <row r="601" spans="19:19" ht="15.75" customHeight="1" x14ac:dyDescent="0.25">
      <c r="S601" s="1"/>
    </row>
    <row r="602" spans="19:19" ht="15.75" customHeight="1" x14ac:dyDescent="0.25">
      <c r="S602" s="1"/>
    </row>
    <row r="603" spans="19:19" ht="15.75" customHeight="1" x14ac:dyDescent="0.25">
      <c r="S603" s="1"/>
    </row>
    <row r="604" spans="19:19" ht="15.75" customHeight="1" x14ac:dyDescent="0.25">
      <c r="S604" s="1"/>
    </row>
    <row r="605" spans="19:19" ht="15.75" customHeight="1" x14ac:dyDescent="0.25">
      <c r="S605" s="1"/>
    </row>
    <row r="606" spans="19:19" ht="15.75" customHeight="1" x14ac:dyDescent="0.25">
      <c r="S606" s="1"/>
    </row>
    <row r="607" spans="19:19" ht="15.75" customHeight="1" x14ac:dyDescent="0.25">
      <c r="S607" s="1"/>
    </row>
    <row r="608" spans="19:19" ht="15.75" customHeight="1" x14ac:dyDescent="0.25">
      <c r="S608" s="1"/>
    </row>
    <row r="609" spans="19:19" ht="15.75" customHeight="1" x14ac:dyDescent="0.25">
      <c r="S609" s="1"/>
    </row>
    <row r="610" spans="19:19" ht="15.75" customHeight="1" x14ac:dyDescent="0.25">
      <c r="S610" s="1"/>
    </row>
    <row r="611" spans="19:19" ht="15.75" customHeight="1" x14ac:dyDescent="0.25">
      <c r="S611" s="1"/>
    </row>
    <row r="612" spans="19:19" ht="15.75" customHeight="1" x14ac:dyDescent="0.25">
      <c r="S612" s="1"/>
    </row>
    <row r="613" spans="19:19" ht="15.75" customHeight="1" x14ac:dyDescent="0.25">
      <c r="S613" s="1"/>
    </row>
    <row r="614" spans="19:19" ht="15.75" customHeight="1" x14ac:dyDescent="0.25">
      <c r="S614" s="1"/>
    </row>
    <row r="615" spans="19:19" ht="15.75" customHeight="1" x14ac:dyDescent="0.25">
      <c r="S615" s="1"/>
    </row>
    <row r="616" spans="19:19" ht="15.75" customHeight="1" x14ac:dyDescent="0.25">
      <c r="S616" s="1"/>
    </row>
    <row r="617" spans="19:19" ht="15.75" customHeight="1" x14ac:dyDescent="0.25">
      <c r="S617" s="1"/>
    </row>
    <row r="618" spans="19:19" ht="15.75" customHeight="1" x14ac:dyDescent="0.25">
      <c r="S618" s="1"/>
    </row>
    <row r="619" spans="19:19" ht="15.75" customHeight="1" x14ac:dyDescent="0.25">
      <c r="S619" s="1"/>
    </row>
    <row r="620" spans="19:19" ht="15.75" customHeight="1" x14ac:dyDescent="0.25">
      <c r="S620" s="1"/>
    </row>
    <row r="621" spans="19:19" ht="15.75" customHeight="1" x14ac:dyDescent="0.25">
      <c r="S621" s="1"/>
    </row>
    <row r="622" spans="19:19" ht="15.75" customHeight="1" x14ac:dyDescent="0.25">
      <c r="S622" s="1"/>
    </row>
    <row r="623" spans="19:19" ht="15.75" customHeight="1" x14ac:dyDescent="0.25">
      <c r="S623" s="1"/>
    </row>
    <row r="624" spans="19:19" ht="15.75" customHeight="1" x14ac:dyDescent="0.25">
      <c r="S624" s="1"/>
    </row>
    <row r="625" spans="19:19" ht="15.75" customHeight="1" x14ac:dyDescent="0.25">
      <c r="S625" s="1"/>
    </row>
    <row r="626" spans="19:19" ht="15.75" customHeight="1" x14ac:dyDescent="0.25">
      <c r="S626" s="1"/>
    </row>
    <row r="627" spans="19:19" ht="15.75" customHeight="1" x14ac:dyDescent="0.25">
      <c r="S627" s="1"/>
    </row>
    <row r="628" spans="19:19" ht="15.75" customHeight="1" x14ac:dyDescent="0.25">
      <c r="S628" s="1"/>
    </row>
    <row r="629" spans="19:19" ht="15.75" customHeight="1" x14ac:dyDescent="0.25">
      <c r="S629" s="1"/>
    </row>
    <row r="630" spans="19:19" ht="15.75" customHeight="1" x14ac:dyDescent="0.25">
      <c r="S630" s="1"/>
    </row>
    <row r="631" spans="19:19" ht="15.75" customHeight="1" x14ac:dyDescent="0.25">
      <c r="S631" s="1"/>
    </row>
    <row r="632" spans="19:19" ht="15.75" customHeight="1" x14ac:dyDescent="0.25">
      <c r="S632" s="1"/>
    </row>
    <row r="633" spans="19:19" ht="15.75" customHeight="1" x14ac:dyDescent="0.25">
      <c r="S633" s="1"/>
    </row>
    <row r="634" spans="19:19" ht="15.75" customHeight="1" x14ac:dyDescent="0.25">
      <c r="S634" s="1"/>
    </row>
    <row r="635" spans="19:19" ht="15.75" customHeight="1" x14ac:dyDescent="0.25">
      <c r="S635" s="1"/>
    </row>
    <row r="636" spans="19:19" ht="15.75" customHeight="1" x14ac:dyDescent="0.25">
      <c r="S636" s="1"/>
    </row>
    <row r="637" spans="19:19" ht="15.75" customHeight="1" x14ac:dyDescent="0.25">
      <c r="S637" s="1"/>
    </row>
    <row r="638" spans="19:19" ht="15.75" customHeight="1" x14ac:dyDescent="0.25">
      <c r="S638" s="1"/>
    </row>
    <row r="639" spans="19:19" ht="15.75" customHeight="1" x14ac:dyDescent="0.25">
      <c r="S639" s="1"/>
    </row>
    <row r="640" spans="19:19" ht="15.75" customHeight="1" x14ac:dyDescent="0.25">
      <c r="S640" s="1"/>
    </row>
    <row r="641" spans="19:19" ht="15.75" customHeight="1" x14ac:dyDescent="0.25">
      <c r="S641" s="1"/>
    </row>
    <row r="642" spans="19:19" ht="15.75" customHeight="1" x14ac:dyDescent="0.25">
      <c r="S642" s="1"/>
    </row>
    <row r="643" spans="19:19" ht="15.75" customHeight="1" x14ac:dyDescent="0.25">
      <c r="S643" s="1"/>
    </row>
    <row r="644" spans="19:19" ht="15.75" customHeight="1" x14ac:dyDescent="0.25">
      <c r="S644" s="1"/>
    </row>
    <row r="645" spans="19:19" ht="15.75" customHeight="1" x14ac:dyDescent="0.25">
      <c r="S645" s="1"/>
    </row>
    <row r="646" spans="19:19" ht="15.75" customHeight="1" x14ac:dyDescent="0.25">
      <c r="S646" s="1"/>
    </row>
    <row r="647" spans="19:19" ht="15.75" customHeight="1" x14ac:dyDescent="0.25">
      <c r="S647" s="1"/>
    </row>
    <row r="648" spans="19:19" ht="15.75" customHeight="1" x14ac:dyDescent="0.25">
      <c r="S648" s="1"/>
    </row>
    <row r="649" spans="19:19" ht="15.75" customHeight="1" x14ac:dyDescent="0.25">
      <c r="S649" s="1"/>
    </row>
    <row r="650" spans="19:19" ht="15.75" customHeight="1" x14ac:dyDescent="0.25">
      <c r="S650" s="1"/>
    </row>
    <row r="651" spans="19:19" ht="15.75" customHeight="1" x14ac:dyDescent="0.25">
      <c r="S651" s="1"/>
    </row>
    <row r="652" spans="19:19" ht="15.75" customHeight="1" x14ac:dyDescent="0.25">
      <c r="S652" s="1"/>
    </row>
    <row r="653" spans="19:19" ht="15.75" customHeight="1" x14ac:dyDescent="0.25">
      <c r="S653" s="1"/>
    </row>
    <row r="654" spans="19:19" ht="15.75" customHeight="1" x14ac:dyDescent="0.25">
      <c r="S654" s="1"/>
    </row>
    <row r="655" spans="19:19" ht="15.75" customHeight="1" x14ac:dyDescent="0.25">
      <c r="S655" s="1"/>
    </row>
    <row r="656" spans="19:19" ht="15.75" customHeight="1" x14ac:dyDescent="0.25">
      <c r="S656" s="1"/>
    </row>
    <row r="657" spans="19:19" ht="15.75" customHeight="1" x14ac:dyDescent="0.25">
      <c r="S657" s="1"/>
    </row>
    <row r="658" spans="19:19" ht="15.75" customHeight="1" x14ac:dyDescent="0.25">
      <c r="S658" s="1"/>
    </row>
    <row r="659" spans="19:19" ht="15.75" customHeight="1" x14ac:dyDescent="0.25">
      <c r="S659" s="1"/>
    </row>
    <row r="660" spans="19:19" ht="15.75" customHeight="1" x14ac:dyDescent="0.25">
      <c r="S660" s="1"/>
    </row>
    <row r="661" spans="19:19" ht="15.75" customHeight="1" x14ac:dyDescent="0.25">
      <c r="S661" s="1"/>
    </row>
    <row r="662" spans="19:19" ht="15.75" customHeight="1" x14ac:dyDescent="0.25">
      <c r="S662" s="1"/>
    </row>
    <row r="663" spans="19:19" ht="15.75" customHeight="1" x14ac:dyDescent="0.25">
      <c r="S663" s="1"/>
    </row>
    <row r="664" spans="19:19" ht="15.75" customHeight="1" x14ac:dyDescent="0.25">
      <c r="S664" s="1"/>
    </row>
    <row r="665" spans="19:19" ht="15.75" customHeight="1" x14ac:dyDescent="0.25">
      <c r="S665" s="1"/>
    </row>
    <row r="666" spans="19:19" ht="15.75" customHeight="1" x14ac:dyDescent="0.25">
      <c r="S666" s="1"/>
    </row>
    <row r="667" spans="19:19" ht="15.75" customHeight="1" x14ac:dyDescent="0.25">
      <c r="S667" s="1"/>
    </row>
    <row r="668" spans="19:19" ht="15.75" customHeight="1" x14ac:dyDescent="0.25">
      <c r="S668" s="1"/>
    </row>
    <row r="669" spans="19:19" ht="15.75" customHeight="1" x14ac:dyDescent="0.25">
      <c r="S669" s="1"/>
    </row>
    <row r="670" spans="19:19" ht="15.75" customHeight="1" x14ac:dyDescent="0.25">
      <c r="S670" s="1"/>
    </row>
    <row r="671" spans="19:19" ht="15.75" customHeight="1" x14ac:dyDescent="0.25">
      <c r="S671" s="1"/>
    </row>
    <row r="672" spans="19:19" ht="15.75" customHeight="1" x14ac:dyDescent="0.25">
      <c r="S672" s="1"/>
    </row>
    <row r="673" spans="19:19" ht="15.75" customHeight="1" x14ac:dyDescent="0.25">
      <c r="S673" s="1"/>
    </row>
    <row r="674" spans="19:19" ht="15.75" customHeight="1" x14ac:dyDescent="0.25">
      <c r="S674" s="1"/>
    </row>
    <row r="675" spans="19:19" ht="15.75" customHeight="1" x14ac:dyDescent="0.25">
      <c r="S675" s="1"/>
    </row>
    <row r="676" spans="19:19" ht="15.75" customHeight="1" x14ac:dyDescent="0.25">
      <c r="S676" s="1"/>
    </row>
    <row r="677" spans="19:19" ht="15.75" customHeight="1" x14ac:dyDescent="0.25">
      <c r="S677" s="1"/>
    </row>
    <row r="678" spans="19:19" ht="15.75" customHeight="1" x14ac:dyDescent="0.25">
      <c r="S678" s="1"/>
    </row>
    <row r="679" spans="19:19" ht="15.75" customHeight="1" x14ac:dyDescent="0.25">
      <c r="S679" s="1"/>
    </row>
    <row r="680" spans="19:19" ht="15.75" customHeight="1" x14ac:dyDescent="0.25">
      <c r="S680" s="1"/>
    </row>
    <row r="681" spans="19:19" ht="15.75" customHeight="1" x14ac:dyDescent="0.25">
      <c r="S681" s="1"/>
    </row>
    <row r="682" spans="19:19" ht="15.75" customHeight="1" x14ac:dyDescent="0.25">
      <c r="S682" s="1"/>
    </row>
    <row r="683" spans="19:19" ht="15.75" customHeight="1" x14ac:dyDescent="0.25">
      <c r="S683" s="1"/>
    </row>
    <row r="684" spans="19:19" ht="15.75" customHeight="1" x14ac:dyDescent="0.25">
      <c r="S684" s="1"/>
    </row>
    <row r="685" spans="19:19" ht="15.75" customHeight="1" x14ac:dyDescent="0.25">
      <c r="S685" s="1"/>
    </row>
    <row r="686" spans="19:19" ht="15.75" customHeight="1" x14ac:dyDescent="0.25">
      <c r="S686" s="1"/>
    </row>
    <row r="687" spans="19:19" ht="15.75" customHeight="1" x14ac:dyDescent="0.25">
      <c r="S687" s="1"/>
    </row>
    <row r="688" spans="19:19" ht="15.75" customHeight="1" x14ac:dyDescent="0.25">
      <c r="S688" s="1"/>
    </row>
    <row r="689" spans="19:19" ht="15.75" customHeight="1" x14ac:dyDescent="0.25">
      <c r="S689" s="1"/>
    </row>
    <row r="690" spans="19:19" ht="15.75" customHeight="1" x14ac:dyDescent="0.25">
      <c r="S690" s="1"/>
    </row>
    <row r="691" spans="19:19" ht="15.75" customHeight="1" x14ac:dyDescent="0.25">
      <c r="S691" s="1"/>
    </row>
    <row r="692" spans="19:19" ht="15.75" customHeight="1" x14ac:dyDescent="0.25">
      <c r="S692" s="1"/>
    </row>
    <row r="693" spans="19:19" ht="15.75" customHeight="1" x14ac:dyDescent="0.25">
      <c r="S693" s="1"/>
    </row>
    <row r="694" spans="19:19" ht="15.75" customHeight="1" x14ac:dyDescent="0.25">
      <c r="S694" s="1"/>
    </row>
    <row r="695" spans="19:19" ht="15.75" customHeight="1" x14ac:dyDescent="0.25">
      <c r="S695" s="1"/>
    </row>
    <row r="696" spans="19:19" ht="15.75" customHeight="1" x14ac:dyDescent="0.25">
      <c r="S696" s="1"/>
    </row>
    <row r="697" spans="19:19" ht="15.75" customHeight="1" x14ac:dyDescent="0.25">
      <c r="S697" s="1"/>
    </row>
    <row r="698" spans="19:19" ht="15.75" customHeight="1" x14ac:dyDescent="0.25">
      <c r="S698" s="1"/>
    </row>
    <row r="699" spans="19:19" ht="15.75" customHeight="1" x14ac:dyDescent="0.25">
      <c r="S699" s="1"/>
    </row>
    <row r="700" spans="19:19" ht="15.75" customHeight="1" x14ac:dyDescent="0.25">
      <c r="S700" s="1"/>
    </row>
    <row r="701" spans="19:19" ht="15.75" customHeight="1" x14ac:dyDescent="0.25">
      <c r="S701" s="1"/>
    </row>
    <row r="702" spans="19:19" ht="15.75" customHeight="1" x14ac:dyDescent="0.25">
      <c r="S702" s="1"/>
    </row>
    <row r="703" spans="19:19" ht="15.75" customHeight="1" x14ac:dyDescent="0.25">
      <c r="S703" s="1"/>
    </row>
    <row r="704" spans="19:19" ht="15.75" customHeight="1" x14ac:dyDescent="0.25">
      <c r="S704" s="1"/>
    </row>
    <row r="705" spans="19:19" ht="15.75" customHeight="1" x14ac:dyDescent="0.25">
      <c r="S705" s="1"/>
    </row>
    <row r="706" spans="19:19" ht="15.75" customHeight="1" x14ac:dyDescent="0.25">
      <c r="S706" s="1"/>
    </row>
    <row r="707" spans="19:19" ht="15.75" customHeight="1" x14ac:dyDescent="0.25">
      <c r="S707" s="1"/>
    </row>
    <row r="708" spans="19:19" ht="15.75" customHeight="1" x14ac:dyDescent="0.25">
      <c r="S708" s="1"/>
    </row>
    <row r="709" spans="19:19" ht="15.75" customHeight="1" x14ac:dyDescent="0.25">
      <c r="S709" s="1"/>
    </row>
    <row r="710" spans="19:19" ht="15.75" customHeight="1" x14ac:dyDescent="0.25">
      <c r="S710" s="1"/>
    </row>
    <row r="711" spans="19:19" ht="15.75" customHeight="1" x14ac:dyDescent="0.25">
      <c r="S711" s="1"/>
    </row>
    <row r="712" spans="19:19" ht="15.75" customHeight="1" x14ac:dyDescent="0.25">
      <c r="S712" s="1"/>
    </row>
    <row r="713" spans="19:19" ht="15.75" customHeight="1" x14ac:dyDescent="0.25">
      <c r="S713" s="1"/>
    </row>
    <row r="714" spans="19:19" ht="15.75" customHeight="1" x14ac:dyDescent="0.25">
      <c r="S714" s="1"/>
    </row>
    <row r="715" spans="19:19" ht="15.75" customHeight="1" x14ac:dyDescent="0.25">
      <c r="S715" s="1"/>
    </row>
    <row r="716" spans="19:19" ht="15.75" customHeight="1" x14ac:dyDescent="0.25">
      <c r="S716" s="1"/>
    </row>
    <row r="717" spans="19:19" ht="15.75" customHeight="1" x14ac:dyDescent="0.25">
      <c r="S717" s="1"/>
    </row>
    <row r="718" spans="19:19" ht="15.75" customHeight="1" x14ac:dyDescent="0.25">
      <c r="S718" s="1"/>
    </row>
    <row r="719" spans="19:19" ht="15.75" customHeight="1" x14ac:dyDescent="0.25">
      <c r="S719" s="1"/>
    </row>
    <row r="720" spans="19:19" ht="15.75" customHeight="1" x14ac:dyDescent="0.25">
      <c r="S720" s="1"/>
    </row>
    <row r="721" spans="19:19" ht="15.75" customHeight="1" x14ac:dyDescent="0.25">
      <c r="S721" s="1"/>
    </row>
    <row r="722" spans="19:19" ht="15.75" customHeight="1" x14ac:dyDescent="0.25">
      <c r="S722" s="1"/>
    </row>
    <row r="723" spans="19:19" ht="15.75" customHeight="1" x14ac:dyDescent="0.25">
      <c r="S723" s="1"/>
    </row>
    <row r="724" spans="19:19" ht="15.75" customHeight="1" x14ac:dyDescent="0.25">
      <c r="S724" s="1"/>
    </row>
    <row r="725" spans="19:19" ht="15.75" customHeight="1" x14ac:dyDescent="0.25">
      <c r="S725" s="1"/>
    </row>
    <row r="726" spans="19:19" ht="15.75" customHeight="1" x14ac:dyDescent="0.25">
      <c r="S726" s="1"/>
    </row>
    <row r="727" spans="19:19" ht="15.75" customHeight="1" x14ac:dyDescent="0.25">
      <c r="S727" s="1"/>
    </row>
    <row r="728" spans="19:19" ht="15.75" customHeight="1" x14ac:dyDescent="0.25">
      <c r="S728" s="1"/>
    </row>
    <row r="729" spans="19:19" ht="15.75" customHeight="1" x14ac:dyDescent="0.25">
      <c r="S729" s="1"/>
    </row>
    <row r="730" spans="19:19" ht="15.75" customHeight="1" x14ac:dyDescent="0.25">
      <c r="S730" s="1"/>
    </row>
    <row r="731" spans="19:19" ht="15.75" customHeight="1" x14ac:dyDescent="0.25">
      <c r="S731" s="1"/>
    </row>
    <row r="732" spans="19:19" ht="15.75" customHeight="1" x14ac:dyDescent="0.25">
      <c r="S732" s="1"/>
    </row>
    <row r="733" spans="19:19" ht="15.75" customHeight="1" x14ac:dyDescent="0.25">
      <c r="S733" s="1"/>
    </row>
    <row r="734" spans="19:19" ht="15.75" customHeight="1" x14ac:dyDescent="0.25">
      <c r="S734" s="1"/>
    </row>
    <row r="735" spans="19:19" ht="15.75" customHeight="1" x14ac:dyDescent="0.25">
      <c r="S735" s="1"/>
    </row>
    <row r="736" spans="19:19" ht="15.75" customHeight="1" x14ac:dyDescent="0.25">
      <c r="S736" s="1"/>
    </row>
    <row r="737" spans="19:19" ht="15.75" customHeight="1" x14ac:dyDescent="0.25">
      <c r="S737" s="1"/>
    </row>
    <row r="738" spans="19:19" ht="15.75" customHeight="1" x14ac:dyDescent="0.25">
      <c r="S738" s="1"/>
    </row>
    <row r="739" spans="19:19" ht="15.75" customHeight="1" x14ac:dyDescent="0.25">
      <c r="S739" s="1"/>
    </row>
    <row r="740" spans="19:19" ht="15.75" customHeight="1" x14ac:dyDescent="0.25">
      <c r="S740" s="1"/>
    </row>
    <row r="741" spans="19:19" ht="15.75" customHeight="1" x14ac:dyDescent="0.25">
      <c r="S741" s="1"/>
    </row>
    <row r="742" spans="19:19" ht="15.75" customHeight="1" x14ac:dyDescent="0.25">
      <c r="S742" s="1"/>
    </row>
    <row r="743" spans="19:19" ht="15.75" customHeight="1" x14ac:dyDescent="0.25">
      <c r="S743" s="1"/>
    </row>
    <row r="744" spans="19:19" ht="15.75" customHeight="1" x14ac:dyDescent="0.25">
      <c r="S744" s="1"/>
    </row>
    <row r="745" spans="19:19" ht="15.75" customHeight="1" x14ac:dyDescent="0.25">
      <c r="S745" s="1"/>
    </row>
    <row r="746" spans="19:19" ht="15.75" customHeight="1" x14ac:dyDescent="0.25">
      <c r="S746" s="1"/>
    </row>
    <row r="747" spans="19:19" ht="15.75" customHeight="1" x14ac:dyDescent="0.25">
      <c r="S747" s="1"/>
    </row>
    <row r="748" spans="19:19" ht="15.75" customHeight="1" x14ac:dyDescent="0.25">
      <c r="S748" s="1"/>
    </row>
    <row r="749" spans="19:19" ht="15.75" customHeight="1" x14ac:dyDescent="0.25">
      <c r="S749" s="1"/>
    </row>
    <row r="750" spans="19:19" ht="15.75" customHeight="1" x14ac:dyDescent="0.25">
      <c r="S750" s="1"/>
    </row>
    <row r="751" spans="19:19" ht="15.75" customHeight="1" x14ac:dyDescent="0.25">
      <c r="S751" s="1"/>
    </row>
    <row r="752" spans="19:19" ht="15.75" customHeight="1" x14ac:dyDescent="0.25">
      <c r="S752" s="1"/>
    </row>
    <row r="753" spans="19:19" ht="15.75" customHeight="1" x14ac:dyDescent="0.25">
      <c r="S753" s="1"/>
    </row>
    <row r="754" spans="19:19" ht="15.75" customHeight="1" x14ac:dyDescent="0.25">
      <c r="S754" s="1"/>
    </row>
    <row r="755" spans="19:19" ht="15.75" customHeight="1" x14ac:dyDescent="0.25">
      <c r="S755" s="1"/>
    </row>
    <row r="756" spans="19:19" ht="15.75" customHeight="1" x14ac:dyDescent="0.25">
      <c r="S756" s="1"/>
    </row>
    <row r="757" spans="19:19" ht="15.75" customHeight="1" x14ac:dyDescent="0.25">
      <c r="S757" s="1"/>
    </row>
    <row r="758" spans="19:19" ht="15.75" customHeight="1" x14ac:dyDescent="0.25">
      <c r="S758" s="1"/>
    </row>
    <row r="759" spans="19:19" ht="15.75" customHeight="1" x14ac:dyDescent="0.25">
      <c r="S759" s="1"/>
    </row>
    <row r="760" spans="19:19" ht="15.75" customHeight="1" x14ac:dyDescent="0.25">
      <c r="S760" s="1"/>
    </row>
    <row r="761" spans="19:19" ht="15.75" customHeight="1" x14ac:dyDescent="0.25">
      <c r="S761" s="1"/>
    </row>
    <row r="762" spans="19:19" ht="15.75" customHeight="1" x14ac:dyDescent="0.25">
      <c r="S762" s="1"/>
    </row>
    <row r="763" spans="19:19" ht="15.75" customHeight="1" x14ac:dyDescent="0.25">
      <c r="S763" s="1"/>
    </row>
    <row r="764" spans="19:19" ht="15.75" customHeight="1" x14ac:dyDescent="0.25">
      <c r="S764" s="1"/>
    </row>
    <row r="765" spans="19:19" ht="15.75" customHeight="1" x14ac:dyDescent="0.25">
      <c r="S765" s="1"/>
    </row>
    <row r="766" spans="19:19" ht="15.75" customHeight="1" x14ac:dyDescent="0.25">
      <c r="S766" s="1"/>
    </row>
    <row r="767" spans="19:19" ht="15.75" customHeight="1" x14ac:dyDescent="0.25">
      <c r="S767" s="1"/>
    </row>
    <row r="768" spans="19:19" ht="15.75" customHeight="1" x14ac:dyDescent="0.25">
      <c r="S768" s="1"/>
    </row>
    <row r="769" spans="19:19" ht="15.75" customHeight="1" x14ac:dyDescent="0.25">
      <c r="S769" s="1"/>
    </row>
    <row r="770" spans="19:19" ht="15.75" customHeight="1" x14ac:dyDescent="0.25">
      <c r="S770" s="1"/>
    </row>
    <row r="771" spans="19:19" ht="15.75" customHeight="1" x14ac:dyDescent="0.25">
      <c r="S771" s="1"/>
    </row>
    <row r="772" spans="19:19" ht="15.75" customHeight="1" x14ac:dyDescent="0.25">
      <c r="S772" s="1"/>
    </row>
    <row r="773" spans="19:19" ht="15.75" customHeight="1" x14ac:dyDescent="0.25">
      <c r="S773" s="1"/>
    </row>
    <row r="774" spans="19:19" ht="15.75" customHeight="1" x14ac:dyDescent="0.25">
      <c r="S774" s="1"/>
    </row>
    <row r="775" spans="19:19" ht="15.75" customHeight="1" x14ac:dyDescent="0.25">
      <c r="S775" s="1"/>
    </row>
    <row r="776" spans="19:19" ht="15.75" customHeight="1" x14ac:dyDescent="0.25">
      <c r="S776" s="1"/>
    </row>
    <row r="777" spans="19:19" ht="15.75" customHeight="1" x14ac:dyDescent="0.25">
      <c r="S777" s="1"/>
    </row>
    <row r="778" spans="19:19" ht="15.75" customHeight="1" x14ac:dyDescent="0.25">
      <c r="S778" s="1"/>
    </row>
    <row r="779" spans="19:19" ht="15.75" customHeight="1" x14ac:dyDescent="0.25">
      <c r="S779" s="1"/>
    </row>
    <row r="780" spans="19:19" ht="15.75" customHeight="1" x14ac:dyDescent="0.25">
      <c r="S780" s="1"/>
    </row>
    <row r="781" spans="19:19" ht="15.75" customHeight="1" x14ac:dyDescent="0.25">
      <c r="S781" s="1"/>
    </row>
    <row r="782" spans="19:19" ht="15.75" customHeight="1" x14ac:dyDescent="0.25">
      <c r="S782" s="1"/>
    </row>
    <row r="783" spans="19:19" ht="15.75" customHeight="1" x14ac:dyDescent="0.25">
      <c r="S783" s="1"/>
    </row>
    <row r="784" spans="19:19" ht="15.75" customHeight="1" x14ac:dyDescent="0.25">
      <c r="S784" s="1"/>
    </row>
    <row r="785" spans="19:19" ht="15.75" customHeight="1" x14ac:dyDescent="0.25">
      <c r="S785" s="1"/>
    </row>
    <row r="786" spans="19:19" ht="15.75" customHeight="1" x14ac:dyDescent="0.25">
      <c r="S786" s="1"/>
    </row>
    <row r="787" spans="19:19" ht="15.75" customHeight="1" x14ac:dyDescent="0.25">
      <c r="S787" s="1"/>
    </row>
    <row r="788" spans="19:19" ht="15.75" customHeight="1" x14ac:dyDescent="0.25">
      <c r="S788" s="1"/>
    </row>
    <row r="789" spans="19:19" ht="15.75" customHeight="1" x14ac:dyDescent="0.25">
      <c r="S789" s="1"/>
    </row>
    <row r="790" spans="19:19" ht="15.75" customHeight="1" x14ac:dyDescent="0.25">
      <c r="S790" s="1"/>
    </row>
    <row r="791" spans="19:19" ht="15.75" customHeight="1" x14ac:dyDescent="0.25">
      <c r="S791" s="1"/>
    </row>
    <row r="792" spans="19:19" ht="15.75" customHeight="1" x14ac:dyDescent="0.25">
      <c r="S792" s="1"/>
    </row>
    <row r="793" spans="19:19" ht="15.75" customHeight="1" x14ac:dyDescent="0.25">
      <c r="S793" s="1"/>
    </row>
    <row r="794" spans="19:19" ht="15.75" customHeight="1" x14ac:dyDescent="0.25">
      <c r="S794" s="1"/>
    </row>
    <row r="795" spans="19:19" ht="15.75" customHeight="1" x14ac:dyDescent="0.25">
      <c r="S795" s="1"/>
    </row>
    <row r="796" spans="19:19" ht="15.75" customHeight="1" x14ac:dyDescent="0.25">
      <c r="S796" s="1"/>
    </row>
    <row r="797" spans="19:19" ht="15.75" customHeight="1" x14ac:dyDescent="0.25">
      <c r="S797" s="1"/>
    </row>
    <row r="798" spans="19:19" ht="15.75" customHeight="1" x14ac:dyDescent="0.25">
      <c r="S798" s="1"/>
    </row>
    <row r="799" spans="19:19" ht="15.75" customHeight="1" x14ac:dyDescent="0.25">
      <c r="S799" s="1"/>
    </row>
    <row r="800" spans="19:19" ht="15.75" customHeight="1" x14ac:dyDescent="0.25">
      <c r="S800" s="1"/>
    </row>
    <row r="801" spans="19:19" ht="15.75" customHeight="1" x14ac:dyDescent="0.25">
      <c r="S801" s="1"/>
    </row>
    <row r="802" spans="19:19" ht="15.75" customHeight="1" x14ac:dyDescent="0.25">
      <c r="S802" s="1"/>
    </row>
    <row r="803" spans="19:19" ht="15.75" customHeight="1" x14ac:dyDescent="0.25">
      <c r="S803" s="1"/>
    </row>
    <row r="804" spans="19:19" ht="15.75" customHeight="1" x14ac:dyDescent="0.25">
      <c r="S804" s="1"/>
    </row>
    <row r="805" spans="19:19" ht="15.75" customHeight="1" x14ac:dyDescent="0.25">
      <c r="S805" s="1"/>
    </row>
    <row r="806" spans="19:19" ht="15.75" customHeight="1" x14ac:dyDescent="0.25">
      <c r="S806" s="1"/>
    </row>
    <row r="807" spans="19:19" ht="15.75" customHeight="1" x14ac:dyDescent="0.25">
      <c r="S807" s="1"/>
    </row>
    <row r="808" spans="19:19" ht="15.75" customHeight="1" x14ac:dyDescent="0.25">
      <c r="S808" s="1"/>
    </row>
    <row r="809" spans="19:19" ht="15.75" customHeight="1" x14ac:dyDescent="0.25">
      <c r="S809" s="1"/>
    </row>
    <row r="810" spans="19:19" ht="15.75" customHeight="1" x14ac:dyDescent="0.25">
      <c r="S810" s="1"/>
    </row>
    <row r="811" spans="19:19" ht="15.75" customHeight="1" x14ac:dyDescent="0.25">
      <c r="S811" s="1"/>
    </row>
    <row r="812" spans="19:19" ht="15.75" customHeight="1" x14ac:dyDescent="0.25">
      <c r="S812" s="1"/>
    </row>
    <row r="813" spans="19:19" ht="15.75" customHeight="1" x14ac:dyDescent="0.25">
      <c r="S813" s="1"/>
    </row>
    <row r="814" spans="19:19" ht="15.75" customHeight="1" x14ac:dyDescent="0.25">
      <c r="S814" s="1"/>
    </row>
    <row r="815" spans="19:19" ht="15.75" customHeight="1" x14ac:dyDescent="0.25">
      <c r="S815" s="1"/>
    </row>
    <row r="816" spans="19:19" ht="15.75" customHeight="1" x14ac:dyDescent="0.25">
      <c r="S816" s="1"/>
    </row>
    <row r="817" spans="19:19" ht="15.75" customHeight="1" x14ac:dyDescent="0.25">
      <c r="S817" s="1"/>
    </row>
    <row r="818" spans="19:19" ht="15.75" customHeight="1" x14ac:dyDescent="0.25">
      <c r="S818" s="1"/>
    </row>
    <row r="819" spans="19:19" ht="15.75" customHeight="1" x14ac:dyDescent="0.25">
      <c r="S819" s="1"/>
    </row>
    <row r="820" spans="19:19" ht="15.75" customHeight="1" x14ac:dyDescent="0.25">
      <c r="S820" s="1"/>
    </row>
    <row r="821" spans="19:19" ht="15.75" customHeight="1" x14ac:dyDescent="0.25">
      <c r="S821" s="1"/>
    </row>
    <row r="822" spans="19:19" ht="15.75" customHeight="1" x14ac:dyDescent="0.25">
      <c r="S822" s="1"/>
    </row>
    <row r="823" spans="19:19" ht="15.75" customHeight="1" x14ac:dyDescent="0.25">
      <c r="S823" s="1"/>
    </row>
    <row r="824" spans="19:19" ht="15.75" customHeight="1" x14ac:dyDescent="0.25">
      <c r="S824" s="1"/>
    </row>
    <row r="825" spans="19:19" ht="15.75" customHeight="1" x14ac:dyDescent="0.25">
      <c r="S825" s="1"/>
    </row>
    <row r="826" spans="19:19" ht="15.75" customHeight="1" x14ac:dyDescent="0.25">
      <c r="S826" s="1"/>
    </row>
    <row r="827" spans="19:19" ht="15.75" customHeight="1" x14ac:dyDescent="0.25">
      <c r="S827" s="1"/>
    </row>
    <row r="828" spans="19:19" ht="15.75" customHeight="1" x14ac:dyDescent="0.25">
      <c r="S828" s="1"/>
    </row>
    <row r="829" spans="19:19" ht="15.75" customHeight="1" x14ac:dyDescent="0.25">
      <c r="S829" s="1"/>
    </row>
    <row r="830" spans="19:19" ht="15.75" customHeight="1" x14ac:dyDescent="0.25">
      <c r="S830" s="1"/>
    </row>
    <row r="831" spans="19:19" ht="15.75" customHeight="1" x14ac:dyDescent="0.25">
      <c r="S831" s="1"/>
    </row>
    <row r="832" spans="19:19" ht="15.75" customHeight="1" x14ac:dyDescent="0.25">
      <c r="S832" s="1"/>
    </row>
    <row r="833" spans="19:19" ht="15.75" customHeight="1" x14ac:dyDescent="0.25">
      <c r="S833" s="1"/>
    </row>
    <row r="834" spans="19:19" ht="15.75" customHeight="1" x14ac:dyDescent="0.25">
      <c r="S834" s="1"/>
    </row>
    <row r="835" spans="19:19" ht="15.75" customHeight="1" x14ac:dyDescent="0.25">
      <c r="S835" s="1"/>
    </row>
    <row r="836" spans="19:19" ht="15.75" customHeight="1" x14ac:dyDescent="0.25">
      <c r="S836" s="1"/>
    </row>
    <row r="837" spans="19:19" ht="15.75" customHeight="1" x14ac:dyDescent="0.25">
      <c r="S837" s="1"/>
    </row>
    <row r="838" spans="19:19" ht="15.75" customHeight="1" x14ac:dyDescent="0.25">
      <c r="S838" s="1"/>
    </row>
    <row r="839" spans="19:19" ht="15.75" customHeight="1" x14ac:dyDescent="0.25">
      <c r="S839" s="1"/>
    </row>
    <row r="840" spans="19:19" ht="15.75" customHeight="1" x14ac:dyDescent="0.25">
      <c r="S840" s="1"/>
    </row>
    <row r="841" spans="19:19" ht="15.75" customHeight="1" x14ac:dyDescent="0.25">
      <c r="S841" s="1"/>
    </row>
    <row r="842" spans="19:19" ht="15.75" customHeight="1" x14ac:dyDescent="0.25">
      <c r="S842" s="1"/>
    </row>
    <row r="843" spans="19:19" ht="15.75" customHeight="1" x14ac:dyDescent="0.25">
      <c r="S843" s="1"/>
    </row>
    <row r="844" spans="19:19" ht="15.75" customHeight="1" x14ac:dyDescent="0.25">
      <c r="S844" s="1"/>
    </row>
    <row r="845" spans="19:19" ht="15.75" customHeight="1" x14ac:dyDescent="0.25">
      <c r="S845" s="1"/>
    </row>
    <row r="846" spans="19:19" ht="15.75" customHeight="1" x14ac:dyDescent="0.25">
      <c r="S846" s="1"/>
    </row>
    <row r="847" spans="19:19" ht="15.75" customHeight="1" x14ac:dyDescent="0.25">
      <c r="S847" s="1"/>
    </row>
    <row r="848" spans="19:19" ht="15.75" customHeight="1" x14ac:dyDescent="0.25">
      <c r="S848" s="1"/>
    </row>
    <row r="849" spans="19:19" ht="15.75" customHeight="1" x14ac:dyDescent="0.25">
      <c r="S849" s="1"/>
    </row>
    <row r="850" spans="19:19" ht="15.75" customHeight="1" x14ac:dyDescent="0.25">
      <c r="S850" s="1"/>
    </row>
    <row r="851" spans="19:19" ht="15.75" customHeight="1" x14ac:dyDescent="0.25">
      <c r="S851" s="1"/>
    </row>
    <row r="852" spans="19:19" ht="15.75" customHeight="1" x14ac:dyDescent="0.25">
      <c r="S852" s="1"/>
    </row>
    <row r="853" spans="19:19" ht="15.75" customHeight="1" x14ac:dyDescent="0.25">
      <c r="S853" s="1"/>
    </row>
    <row r="854" spans="19:19" ht="15.75" customHeight="1" x14ac:dyDescent="0.25">
      <c r="S854" s="1"/>
    </row>
    <row r="855" spans="19:19" ht="15.75" customHeight="1" x14ac:dyDescent="0.25">
      <c r="S855" s="1"/>
    </row>
    <row r="856" spans="19:19" ht="15.75" customHeight="1" x14ac:dyDescent="0.25">
      <c r="S856" s="1"/>
    </row>
    <row r="857" spans="19:19" ht="15.75" customHeight="1" x14ac:dyDescent="0.25">
      <c r="S857" s="1"/>
    </row>
    <row r="858" spans="19:19" ht="15.75" customHeight="1" x14ac:dyDescent="0.25">
      <c r="S858" s="1"/>
    </row>
    <row r="859" spans="19:19" ht="15.75" customHeight="1" x14ac:dyDescent="0.25">
      <c r="S859" s="1"/>
    </row>
    <row r="860" spans="19:19" ht="15.75" customHeight="1" x14ac:dyDescent="0.25">
      <c r="S860" s="1"/>
    </row>
    <row r="861" spans="19:19" ht="15.75" customHeight="1" x14ac:dyDescent="0.25">
      <c r="S861" s="1"/>
    </row>
    <row r="862" spans="19:19" ht="15.75" customHeight="1" x14ac:dyDescent="0.25">
      <c r="S862" s="1"/>
    </row>
    <row r="863" spans="19:19" ht="15.75" customHeight="1" x14ac:dyDescent="0.25">
      <c r="S863" s="1"/>
    </row>
    <row r="864" spans="19:19" ht="15.75" customHeight="1" x14ac:dyDescent="0.25">
      <c r="S864" s="1"/>
    </row>
    <row r="865" spans="19:19" ht="15.75" customHeight="1" x14ac:dyDescent="0.25">
      <c r="S865" s="1"/>
    </row>
    <row r="866" spans="19:19" ht="15.75" customHeight="1" x14ac:dyDescent="0.25">
      <c r="S866" s="1"/>
    </row>
    <row r="867" spans="19:19" ht="15.75" customHeight="1" x14ac:dyDescent="0.25">
      <c r="S867" s="1"/>
    </row>
    <row r="868" spans="19:19" ht="15.75" customHeight="1" x14ac:dyDescent="0.25">
      <c r="S868" s="1"/>
    </row>
    <row r="869" spans="19:19" ht="15.75" customHeight="1" x14ac:dyDescent="0.25">
      <c r="S869" s="1"/>
    </row>
    <row r="870" spans="19:19" ht="15.75" customHeight="1" x14ac:dyDescent="0.25">
      <c r="S870" s="1"/>
    </row>
    <row r="871" spans="19:19" ht="15.75" customHeight="1" x14ac:dyDescent="0.25">
      <c r="S871" s="1"/>
    </row>
    <row r="872" spans="19:19" ht="15.75" customHeight="1" x14ac:dyDescent="0.25">
      <c r="S872" s="1"/>
    </row>
    <row r="873" spans="19:19" ht="15.75" customHeight="1" x14ac:dyDescent="0.25">
      <c r="S873" s="1"/>
    </row>
    <row r="874" spans="19:19" ht="15.75" customHeight="1" x14ac:dyDescent="0.25">
      <c r="S874" s="1"/>
    </row>
    <row r="875" spans="19:19" ht="15.75" customHeight="1" x14ac:dyDescent="0.25">
      <c r="S875" s="1"/>
    </row>
    <row r="876" spans="19:19" ht="15.75" customHeight="1" x14ac:dyDescent="0.25">
      <c r="S876" s="1"/>
    </row>
    <row r="877" spans="19:19" ht="15.75" customHeight="1" x14ac:dyDescent="0.25">
      <c r="S877" s="1"/>
    </row>
    <row r="878" spans="19:19" ht="15.75" customHeight="1" x14ac:dyDescent="0.25">
      <c r="S878" s="1"/>
    </row>
    <row r="879" spans="19:19" ht="15.75" customHeight="1" x14ac:dyDescent="0.25">
      <c r="S879" s="1"/>
    </row>
    <row r="880" spans="19:19" ht="15.75" customHeight="1" x14ac:dyDescent="0.25">
      <c r="S880" s="1"/>
    </row>
    <row r="881" spans="19:19" ht="15.75" customHeight="1" x14ac:dyDescent="0.25">
      <c r="S881" s="1"/>
    </row>
    <row r="882" spans="19:19" ht="15.75" customHeight="1" x14ac:dyDescent="0.25">
      <c r="S882" s="1"/>
    </row>
    <row r="883" spans="19:19" ht="15.75" customHeight="1" x14ac:dyDescent="0.25">
      <c r="S883" s="1"/>
    </row>
    <row r="884" spans="19:19" ht="15.75" customHeight="1" x14ac:dyDescent="0.25">
      <c r="S884" s="1"/>
    </row>
    <row r="885" spans="19:19" ht="15.75" customHeight="1" x14ac:dyDescent="0.25">
      <c r="S885" s="1"/>
    </row>
    <row r="886" spans="19:19" ht="15.75" customHeight="1" x14ac:dyDescent="0.25">
      <c r="S886" s="1"/>
    </row>
    <row r="887" spans="19:19" ht="15.75" customHeight="1" x14ac:dyDescent="0.25">
      <c r="S887" s="1"/>
    </row>
    <row r="888" spans="19:19" ht="15.75" customHeight="1" x14ac:dyDescent="0.25">
      <c r="S888" s="1"/>
    </row>
    <row r="889" spans="19:19" ht="15.75" customHeight="1" x14ac:dyDescent="0.25">
      <c r="S889" s="1"/>
    </row>
    <row r="890" spans="19:19" ht="15.75" customHeight="1" x14ac:dyDescent="0.25">
      <c r="S890" s="1"/>
    </row>
    <row r="891" spans="19:19" ht="15.75" customHeight="1" x14ac:dyDescent="0.25">
      <c r="S891" s="1"/>
    </row>
    <row r="892" spans="19:19" ht="15.75" customHeight="1" x14ac:dyDescent="0.25">
      <c r="S892" s="1"/>
    </row>
    <row r="893" spans="19:19" ht="15.75" customHeight="1" x14ac:dyDescent="0.25">
      <c r="S893" s="1"/>
    </row>
    <row r="894" spans="19:19" ht="15.75" customHeight="1" x14ac:dyDescent="0.25">
      <c r="S894" s="1"/>
    </row>
    <row r="895" spans="19:19" ht="15.75" customHeight="1" x14ac:dyDescent="0.25">
      <c r="S895" s="1"/>
    </row>
    <row r="896" spans="19:19" ht="15.75" customHeight="1" x14ac:dyDescent="0.25">
      <c r="S896" s="1"/>
    </row>
    <row r="897" spans="19:19" ht="15.75" customHeight="1" x14ac:dyDescent="0.25">
      <c r="S897" s="1"/>
    </row>
    <row r="898" spans="19:19" ht="15.75" customHeight="1" x14ac:dyDescent="0.25">
      <c r="S898" s="1"/>
    </row>
    <row r="899" spans="19:19" ht="15.75" customHeight="1" x14ac:dyDescent="0.25">
      <c r="S899" s="1"/>
    </row>
    <row r="900" spans="19:19" ht="15.75" customHeight="1" x14ac:dyDescent="0.25">
      <c r="S900" s="1"/>
    </row>
    <row r="901" spans="19:19" ht="15.75" customHeight="1" x14ac:dyDescent="0.25">
      <c r="S901" s="1"/>
    </row>
    <row r="902" spans="19:19" ht="15.75" customHeight="1" x14ac:dyDescent="0.25">
      <c r="S902" s="1"/>
    </row>
    <row r="903" spans="19:19" ht="15.75" customHeight="1" x14ac:dyDescent="0.25">
      <c r="S903" s="1"/>
    </row>
    <row r="904" spans="19:19" ht="15.75" customHeight="1" x14ac:dyDescent="0.25">
      <c r="S904" s="1"/>
    </row>
    <row r="905" spans="19:19" ht="15.75" customHeight="1" x14ac:dyDescent="0.25">
      <c r="S905" s="1"/>
    </row>
    <row r="906" spans="19:19" ht="15.75" customHeight="1" x14ac:dyDescent="0.25">
      <c r="S906" s="1"/>
    </row>
    <row r="907" spans="19:19" ht="15.75" customHeight="1" x14ac:dyDescent="0.25">
      <c r="S907" s="1"/>
    </row>
    <row r="908" spans="19:19" ht="15.75" customHeight="1" x14ac:dyDescent="0.25">
      <c r="S908" s="1"/>
    </row>
    <row r="909" spans="19:19" ht="15.75" customHeight="1" x14ac:dyDescent="0.25">
      <c r="S909" s="1"/>
    </row>
    <row r="910" spans="19:19" ht="15.75" customHeight="1" x14ac:dyDescent="0.25">
      <c r="S910" s="1"/>
    </row>
    <row r="911" spans="19:19" ht="15.75" customHeight="1" x14ac:dyDescent="0.25">
      <c r="S911" s="1"/>
    </row>
    <row r="912" spans="19:19" ht="15.75" customHeight="1" x14ac:dyDescent="0.25">
      <c r="S912" s="1"/>
    </row>
    <row r="913" spans="19:19" ht="15.75" customHeight="1" x14ac:dyDescent="0.25">
      <c r="S913" s="1"/>
    </row>
    <row r="914" spans="19:19" ht="15.75" customHeight="1" x14ac:dyDescent="0.25">
      <c r="S914" s="1"/>
    </row>
    <row r="915" spans="19:19" ht="15.75" customHeight="1" x14ac:dyDescent="0.25">
      <c r="S915" s="1"/>
    </row>
    <row r="916" spans="19:19" ht="15.75" customHeight="1" x14ac:dyDescent="0.25">
      <c r="S916" s="1"/>
    </row>
    <row r="917" spans="19:19" ht="15.75" customHeight="1" x14ac:dyDescent="0.25">
      <c r="S917" s="1"/>
    </row>
    <row r="918" spans="19:19" ht="15.75" customHeight="1" x14ac:dyDescent="0.25">
      <c r="S918" s="1"/>
    </row>
    <row r="919" spans="19:19" ht="15.75" customHeight="1" x14ac:dyDescent="0.25">
      <c r="S919" s="1"/>
    </row>
    <row r="920" spans="19:19" ht="15.75" customHeight="1" x14ac:dyDescent="0.25">
      <c r="S920" s="1"/>
    </row>
    <row r="921" spans="19:19" ht="15.75" customHeight="1" x14ac:dyDescent="0.25">
      <c r="S921" s="1"/>
    </row>
    <row r="922" spans="19:19" ht="15.75" customHeight="1" x14ac:dyDescent="0.25">
      <c r="S922" s="1"/>
    </row>
    <row r="923" spans="19:19" ht="15.75" customHeight="1" x14ac:dyDescent="0.25">
      <c r="S923" s="1"/>
    </row>
    <row r="924" spans="19:19" ht="15.75" customHeight="1" x14ac:dyDescent="0.25">
      <c r="S924" s="1"/>
    </row>
    <row r="925" spans="19:19" ht="15.75" customHeight="1" x14ac:dyDescent="0.25">
      <c r="S925" s="1"/>
    </row>
    <row r="926" spans="19:19" ht="15.75" customHeight="1" x14ac:dyDescent="0.25">
      <c r="S926" s="1"/>
    </row>
    <row r="927" spans="19:19" ht="15.75" customHeight="1" x14ac:dyDescent="0.25">
      <c r="S927" s="1"/>
    </row>
    <row r="928" spans="19:19" ht="15.75" customHeight="1" x14ac:dyDescent="0.25">
      <c r="S928" s="1"/>
    </row>
    <row r="929" spans="19:19" ht="15.75" customHeight="1" x14ac:dyDescent="0.25">
      <c r="S929" s="1"/>
    </row>
    <row r="930" spans="19:19" ht="15.75" customHeight="1" x14ac:dyDescent="0.25">
      <c r="S930" s="1"/>
    </row>
    <row r="931" spans="19:19" ht="15.75" customHeight="1" x14ac:dyDescent="0.25">
      <c r="S931" s="1"/>
    </row>
    <row r="932" spans="19:19" ht="15.75" customHeight="1" x14ac:dyDescent="0.25">
      <c r="S932" s="1"/>
    </row>
    <row r="933" spans="19:19" ht="15.75" customHeight="1" x14ac:dyDescent="0.25">
      <c r="S933" s="1"/>
    </row>
    <row r="934" spans="19:19" ht="15.75" customHeight="1" x14ac:dyDescent="0.25">
      <c r="S934" s="1"/>
    </row>
    <row r="935" spans="19:19" ht="15.75" customHeight="1" x14ac:dyDescent="0.25">
      <c r="S935" s="1"/>
    </row>
    <row r="936" spans="19:19" ht="15.75" customHeight="1" x14ac:dyDescent="0.25">
      <c r="S936" s="1"/>
    </row>
    <row r="937" spans="19:19" ht="15.75" customHeight="1" x14ac:dyDescent="0.25">
      <c r="S937" s="1"/>
    </row>
    <row r="938" spans="19:19" ht="15.75" customHeight="1" x14ac:dyDescent="0.25">
      <c r="S938" s="1"/>
    </row>
    <row r="939" spans="19:19" ht="15.75" customHeight="1" x14ac:dyDescent="0.25">
      <c r="S939" s="1"/>
    </row>
    <row r="940" spans="19:19" ht="15.75" customHeight="1" x14ac:dyDescent="0.25">
      <c r="S940" s="1"/>
    </row>
    <row r="941" spans="19:19" ht="15.75" customHeight="1" x14ac:dyDescent="0.25">
      <c r="S941" s="1"/>
    </row>
    <row r="942" spans="19:19" ht="15.75" customHeight="1" x14ac:dyDescent="0.25">
      <c r="S942" s="1"/>
    </row>
    <row r="943" spans="19:19" ht="15.75" customHeight="1" x14ac:dyDescent="0.25">
      <c r="S943" s="1"/>
    </row>
    <row r="944" spans="19:19" ht="15.75" customHeight="1" x14ac:dyDescent="0.25">
      <c r="S944" s="1"/>
    </row>
    <row r="945" spans="19:19" ht="15.75" customHeight="1" x14ac:dyDescent="0.25">
      <c r="S945" s="1"/>
    </row>
    <row r="946" spans="19:19" ht="15.75" customHeight="1" x14ac:dyDescent="0.25">
      <c r="S946" s="1"/>
    </row>
    <row r="947" spans="19:19" ht="15.75" customHeight="1" x14ac:dyDescent="0.25">
      <c r="S947" s="1"/>
    </row>
    <row r="948" spans="19:19" ht="15.75" customHeight="1" x14ac:dyDescent="0.25">
      <c r="S948" s="1"/>
    </row>
    <row r="949" spans="19:19" ht="15.75" customHeight="1" x14ac:dyDescent="0.25">
      <c r="S949" s="1"/>
    </row>
    <row r="950" spans="19:19" ht="15.75" customHeight="1" x14ac:dyDescent="0.25">
      <c r="S950" s="1"/>
    </row>
    <row r="951" spans="19:19" ht="15.75" customHeight="1" x14ac:dyDescent="0.25">
      <c r="S951" s="1"/>
    </row>
    <row r="952" spans="19:19" ht="15.75" customHeight="1" x14ac:dyDescent="0.25">
      <c r="S952" s="1"/>
    </row>
    <row r="953" spans="19:19" ht="15.75" customHeight="1" x14ac:dyDescent="0.25">
      <c r="S953" s="1"/>
    </row>
    <row r="954" spans="19:19" ht="15.75" customHeight="1" x14ac:dyDescent="0.25">
      <c r="S954" s="1"/>
    </row>
    <row r="955" spans="19:19" ht="15.75" customHeight="1" x14ac:dyDescent="0.25">
      <c r="S955" s="1"/>
    </row>
    <row r="956" spans="19:19" ht="15.75" customHeight="1" x14ac:dyDescent="0.25">
      <c r="S956" s="1"/>
    </row>
    <row r="957" spans="19:19" ht="15.75" customHeight="1" x14ac:dyDescent="0.25">
      <c r="S957" s="1"/>
    </row>
    <row r="958" spans="19:19" ht="15.75" customHeight="1" x14ac:dyDescent="0.25">
      <c r="S958" s="1"/>
    </row>
    <row r="959" spans="19:19" ht="15.75" customHeight="1" x14ac:dyDescent="0.25">
      <c r="S959" s="1"/>
    </row>
    <row r="960" spans="19:19" ht="15.75" customHeight="1" x14ac:dyDescent="0.25">
      <c r="S960" s="1"/>
    </row>
    <row r="961" spans="19:19" ht="15.75" customHeight="1" x14ac:dyDescent="0.25">
      <c r="S961" s="1"/>
    </row>
    <row r="962" spans="19:19" ht="15.75" customHeight="1" x14ac:dyDescent="0.25">
      <c r="S962" s="1"/>
    </row>
    <row r="963" spans="19:19" ht="15.75" customHeight="1" x14ac:dyDescent="0.25">
      <c r="S963" s="1"/>
    </row>
    <row r="964" spans="19:19" ht="15.75" customHeight="1" x14ac:dyDescent="0.25">
      <c r="S964" s="1"/>
    </row>
    <row r="965" spans="19:19" ht="15.75" customHeight="1" x14ac:dyDescent="0.25">
      <c r="S965" s="1"/>
    </row>
    <row r="966" spans="19:19" ht="15.75" customHeight="1" x14ac:dyDescent="0.25">
      <c r="S966" s="1"/>
    </row>
    <row r="967" spans="19:19" ht="15.75" customHeight="1" x14ac:dyDescent="0.25">
      <c r="S967" s="1"/>
    </row>
    <row r="968" spans="19:19" ht="15.75" customHeight="1" x14ac:dyDescent="0.25">
      <c r="S968" s="1"/>
    </row>
    <row r="969" spans="19:19" ht="15.75" customHeight="1" x14ac:dyDescent="0.25">
      <c r="S969" s="1"/>
    </row>
    <row r="970" spans="19:19" ht="15.75" customHeight="1" x14ac:dyDescent="0.25">
      <c r="S970" s="1"/>
    </row>
    <row r="971" spans="19:19" ht="15.75" customHeight="1" x14ac:dyDescent="0.25">
      <c r="S971" s="1"/>
    </row>
    <row r="972" spans="19:19" ht="15.75" customHeight="1" x14ac:dyDescent="0.25">
      <c r="S972" s="1"/>
    </row>
    <row r="973" spans="19:19" ht="15.75" customHeight="1" x14ac:dyDescent="0.25">
      <c r="S973" s="1"/>
    </row>
    <row r="974" spans="19:19" ht="15.75" customHeight="1" x14ac:dyDescent="0.25">
      <c r="S974" s="1"/>
    </row>
    <row r="975" spans="19:19" ht="15.75" customHeight="1" x14ac:dyDescent="0.25">
      <c r="S975" s="1"/>
    </row>
    <row r="976" spans="19:19" ht="15.75" customHeight="1" x14ac:dyDescent="0.25">
      <c r="S976" s="1"/>
    </row>
    <row r="977" spans="19:19" ht="15.75" customHeight="1" x14ac:dyDescent="0.25">
      <c r="S977" s="1"/>
    </row>
    <row r="978" spans="19:19" ht="15.75" customHeight="1" x14ac:dyDescent="0.25">
      <c r="S978" s="1"/>
    </row>
    <row r="979" spans="19:19" ht="15.75" customHeight="1" x14ac:dyDescent="0.25">
      <c r="S979" s="1"/>
    </row>
    <row r="980" spans="19:19" ht="15.75" customHeight="1" x14ac:dyDescent="0.25">
      <c r="S980" s="1"/>
    </row>
    <row r="981" spans="19:19" ht="15.75" customHeight="1" x14ac:dyDescent="0.25">
      <c r="S981" s="1"/>
    </row>
    <row r="982" spans="19:19" ht="15.75" customHeight="1" x14ac:dyDescent="0.25">
      <c r="S982" s="1"/>
    </row>
    <row r="983" spans="19:19" ht="15.75" customHeight="1" x14ac:dyDescent="0.25">
      <c r="S983" s="1"/>
    </row>
    <row r="984" spans="19:19" ht="15.75" customHeight="1" x14ac:dyDescent="0.25">
      <c r="S984" s="1"/>
    </row>
    <row r="985" spans="19:19" ht="15.75" customHeight="1" x14ac:dyDescent="0.25">
      <c r="S985" s="1"/>
    </row>
    <row r="986" spans="19:19" ht="15.75" customHeight="1" x14ac:dyDescent="0.25">
      <c r="S986" s="1"/>
    </row>
    <row r="987" spans="19:19" ht="15.75" customHeight="1" x14ac:dyDescent="0.25">
      <c r="S987" s="1"/>
    </row>
    <row r="988" spans="19:19" ht="15.75" customHeight="1" x14ac:dyDescent="0.25">
      <c r="S988" s="1"/>
    </row>
    <row r="989" spans="19:19" ht="15.75" customHeight="1" x14ac:dyDescent="0.25">
      <c r="S989" s="1"/>
    </row>
    <row r="990" spans="19:19" ht="15.75" customHeight="1" x14ac:dyDescent="0.25">
      <c r="S990" s="1"/>
    </row>
    <row r="991" spans="19:19" ht="15.75" customHeight="1" x14ac:dyDescent="0.25">
      <c r="S991" s="1"/>
    </row>
    <row r="992" spans="19:19" ht="15.75" customHeight="1" x14ac:dyDescent="0.25">
      <c r="S992" s="1"/>
    </row>
    <row r="993" spans="19:19" ht="15.75" customHeight="1" x14ac:dyDescent="0.25">
      <c r="S993" s="1"/>
    </row>
    <row r="994" spans="19:19" ht="15.75" customHeight="1" x14ac:dyDescent="0.25">
      <c r="S994" s="1"/>
    </row>
    <row r="995" spans="19:19" ht="15.75" customHeight="1" x14ac:dyDescent="0.25">
      <c r="S995" s="1"/>
    </row>
    <row r="996" spans="19:19" ht="15.75" customHeight="1" x14ac:dyDescent="0.25">
      <c r="S996" s="1"/>
    </row>
    <row r="997" spans="19:19" ht="15.75" customHeight="1" x14ac:dyDescent="0.25">
      <c r="S997" s="1"/>
    </row>
    <row r="998" spans="19:19" ht="15.75" customHeight="1" x14ac:dyDescent="0.25">
      <c r="S998" s="1"/>
    </row>
    <row r="999" spans="19:19" ht="15.75" customHeight="1" x14ac:dyDescent="0.25">
      <c r="S999" s="1"/>
    </row>
    <row r="1000" spans="19:19" ht="15.75" customHeight="1" x14ac:dyDescent="0.25">
      <c r="S1000" s="1"/>
    </row>
  </sheetData>
  <pageMargins left="0.7" right="0.7" top="0.75" bottom="0.75" header="0" footer="0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3:V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11.7109375" customWidth="1"/>
    <col min="5" max="19" width="8.7109375" customWidth="1"/>
    <col min="20" max="20" width="11.5703125" customWidth="1"/>
    <col min="21" max="21" width="24.42578125" customWidth="1"/>
    <col min="22" max="22" width="11.85546875" customWidth="1"/>
    <col min="23" max="26" width="8.7109375" customWidth="1"/>
  </cols>
  <sheetData>
    <row r="3" spans="3:22" x14ac:dyDescent="0.25">
      <c r="S3" s="1"/>
    </row>
    <row r="4" spans="3:22" ht="17.25" x14ac:dyDescent="0.3">
      <c r="C4" s="1"/>
      <c r="D4" s="2" t="s">
        <v>116</v>
      </c>
      <c r="E4" s="17"/>
      <c r="F4" s="18"/>
      <c r="G4" s="2"/>
      <c r="H4" s="2"/>
      <c r="I4" s="2"/>
      <c r="J4" s="2"/>
      <c r="K4" s="2"/>
      <c r="L4" s="2"/>
      <c r="M4" s="3"/>
      <c r="O4" s="19" t="s">
        <v>88</v>
      </c>
      <c r="P4" s="26" t="s">
        <v>2</v>
      </c>
      <c r="Q4" s="27" t="s">
        <v>117</v>
      </c>
      <c r="S4" s="1"/>
    </row>
    <row r="5" spans="3:22" x14ac:dyDescent="0.25">
      <c r="C5" s="1"/>
      <c r="D5" s="4" t="s">
        <v>1</v>
      </c>
      <c r="E5" s="9" t="s">
        <v>2</v>
      </c>
      <c r="F5" s="20">
        <v>1799</v>
      </c>
      <c r="G5" s="4">
        <v>2099</v>
      </c>
      <c r="H5" s="4">
        <v>2699</v>
      </c>
      <c r="I5" s="4">
        <v>588</v>
      </c>
      <c r="J5" s="4">
        <v>2088</v>
      </c>
      <c r="K5" s="4">
        <v>2488</v>
      </c>
      <c r="L5" s="4">
        <v>2688</v>
      </c>
      <c r="M5" s="5" t="s">
        <v>3</v>
      </c>
      <c r="S5" s="1"/>
    </row>
    <row r="6" spans="3:22" ht="17.25" x14ac:dyDescent="0.3">
      <c r="C6" s="1"/>
      <c r="D6" s="6" t="s">
        <v>4</v>
      </c>
      <c r="E6" s="10">
        <f>'June 2023'!$I$84</f>
        <v>37820</v>
      </c>
      <c r="F6" s="22">
        <f>'June 2023'!$J$84</f>
        <v>12975</v>
      </c>
      <c r="G6" s="7">
        <f>'June 2023'!$K$84</f>
        <v>0</v>
      </c>
      <c r="H6" s="7">
        <f>'June 2023'!$L$84</f>
        <v>6875</v>
      </c>
      <c r="I6" s="7">
        <f>'June 2023'!$M$84</f>
        <v>1050</v>
      </c>
      <c r="J6" s="7">
        <f>'June 2023'!$N$84</f>
        <v>3025</v>
      </c>
      <c r="K6" s="7">
        <f>'June 2023'!$O$84</f>
        <v>4400</v>
      </c>
      <c r="L6" s="7">
        <f>'June 2023'!$P$84</f>
        <v>10350</v>
      </c>
      <c r="M6" s="8">
        <f>SUM(E6:L6)</f>
        <v>76495</v>
      </c>
      <c r="O6" s="28">
        <f>SUM(F6:L6)</f>
        <v>38675</v>
      </c>
      <c r="P6" s="29">
        <f>E6</f>
        <v>37820</v>
      </c>
      <c r="Q6" s="30">
        <f>SUM(O6,P6)</f>
        <v>76495</v>
      </c>
      <c r="S6" s="1"/>
    </row>
    <row r="7" spans="3:22" x14ac:dyDescent="0.25">
      <c r="C7" s="1"/>
      <c r="D7" s="6" t="s">
        <v>5</v>
      </c>
      <c r="E7" s="10"/>
      <c r="F7" s="22"/>
      <c r="G7" s="7"/>
      <c r="H7" s="7"/>
      <c r="I7" s="7"/>
      <c r="J7" s="7"/>
      <c r="K7" s="7"/>
      <c r="L7" s="7"/>
      <c r="M7" s="7"/>
      <c r="S7" s="1"/>
    </row>
    <row r="8" spans="3:22" x14ac:dyDescent="0.25">
      <c r="C8" s="1"/>
      <c r="D8" s="6" t="s">
        <v>6</v>
      </c>
      <c r="E8" s="10"/>
      <c r="F8" s="22"/>
      <c r="G8" s="7"/>
      <c r="H8" s="7"/>
      <c r="I8" s="7"/>
      <c r="J8" s="7"/>
      <c r="K8" s="7"/>
      <c r="L8" s="7"/>
      <c r="M8" s="7"/>
      <c r="S8" s="1"/>
    </row>
    <row r="9" spans="3:22" x14ac:dyDescent="0.25">
      <c r="C9" s="1"/>
      <c r="D9" s="6" t="s">
        <v>7</v>
      </c>
      <c r="E9" s="10"/>
      <c r="F9" s="22"/>
      <c r="G9" s="7"/>
      <c r="H9" s="7"/>
      <c r="I9" s="7"/>
      <c r="J9" s="7"/>
      <c r="K9" s="7"/>
      <c r="L9" s="7"/>
      <c r="M9" s="7"/>
      <c r="S9" s="1"/>
    </row>
    <row r="10" spans="3:22" x14ac:dyDescent="0.25">
      <c r="C10" s="1"/>
      <c r="E10" s="1"/>
      <c r="F10" s="16"/>
      <c r="S10" s="1"/>
    </row>
    <row r="11" spans="3:22" x14ac:dyDescent="0.25">
      <c r="C11" s="1"/>
      <c r="E11" s="1"/>
      <c r="F11" s="16"/>
      <c r="S11" s="1"/>
    </row>
    <row r="12" spans="3:22" x14ac:dyDescent="0.25">
      <c r="C12" s="1"/>
      <c r="E12" s="1"/>
      <c r="F12" s="16"/>
      <c r="S12" s="1"/>
    </row>
    <row r="13" spans="3:22" ht="15.75" x14ac:dyDescent="0.25">
      <c r="C13" s="9" t="s">
        <v>8</v>
      </c>
      <c r="D13" s="4" t="s">
        <v>9</v>
      </c>
      <c r="E13" s="9" t="s">
        <v>10</v>
      </c>
      <c r="F13" s="20" t="s">
        <v>11</v>
      </c>
      <c r="G13" s="4" t="s">
        <v>4</v>
      </c>
      <c r="H13" s="4" t="s">
        <v>12</v>
      </c>
      <c r="I13" s="4" t="s">
        <v>2</v>
      </c>
      <c r="J13" s="4" t="s">
        <v>13</v>
      </c>
      <c r="K13" s="4" t="s">
        <v>14</v>
      </c>
      <c r="L13" s="4" t="s">
        <v>15</v>
      </c>
      <c r="M13" s="4" t="s">
        <v>16</v>
      </c>
      <c r="N13" s="4" t="s">
        <v>17</v>
      </c>
      <c r="O13" s="4" t="s">
        <v>18</v>
      </c>
      <c r="P13" s="4" t="s">
        <v>19</v>
      </c>
      <c r="S13" s="101" t="s">
        <v>118</v>
      </c>
      <c r="T13" s="102"/>
      <c r="U13" s="102"/>
      <c r="V13" s="102"/>
    </row>
    <row r="14" spans="3:22" x14ac:dyDescent="0.25">
      <c r="C14" s="10">
        <v>1</v>
      </c>
      <c r="D14" s="11">
        <v>45078</v>
      </c>
      <c r="E14" s="10">
        <v>116</v>
      </c>
      <c r="F14" s="22" t="s">
        <v>163</v>
      </c>
      <c r="G14" s="7">
        <v>500</v>
      </c>
      <c r="H14" s="12">
        <v>189</v>
      </c>
      <c r="I14" s="7"/>
      <c r="J14" s="7">
        <v>500</v>
      </c>
      <c r="K14" s="7"/>
      <c r="L14" s="7" t="s">
        <v>84</v>
      </c>
      <c r="M14" s="7"/>
      <c r="N14" s="7"/>
      <c r="O14" s="7"/>
      <c r="P14" s="7" t="s">
        <v>84</v>
      </c>
      <c r="S14" s="97" t="s">
        <v>172</v>
      </c>
      <c r="T14" s="98"/>
      <c r="U14" s="98"/>
      <c r="V14" s="34"/>
    </row>
    <row r="15" spans="3:22" x14ac:dyDescent="0.25">
      <c r="C15" s="10">
        <v>2</v>
      </c>
      <c r="D15" s="11">
        <v>45078</v>
      </c>
      <c r="E15" s="10">
        <v>118</v>
      </c>
      <c r="F15" s="22" t="s">
        <v>24</v>
      </c>
      <c r="G15" s="7">
        <v>200</v>
      </c>
      <c r="H15" s="12">
        <v>201</v>
      </c>
      <c r="I15" s="7" t="s">
        <v>84</v>
      </c>
      <c r="J15" s="7"/>
      <c r="K15" s="7"/>
      <c r="L15" s="7"/>
      <c r="M15" s="7"/>
      <c r="N15" s="7"/>
      <c r="O15" s="7">
        <v>200</v>
      </c>
      <c r="P15" s="7"/>
      <c r="S15" s="10" t="s">
        <v>121</v>
      </c>
      <c r="T15" s="7" t="s">
        <v>9</v>
      </c>
      <c r="U15" s="7" t="s">
        <v>122</v>
      </c>
      <c r="V15" s="7" t="s">
        <v>4</v>
      </c>
    </row>
    <row r="16" spans="3:22" x14ac:dyDescent="0.25">
      <c r="C16" s="10">
        <v>3</v>
      </c>
      <c r="D16" s="11">
        <v>45078</v>
      </c>
      <c r="E16" s="10">
        <v>119</v>
      </c>
      <c r="F16" s="22" t="s">
        <v>71</v>
      </c>
      <c r="G16" s="7">
        <v>400</v>
      </c>
      <c r="H16" s="12">
        <v>189</v>
      </c>
      <c r="I16" s="7" t="s">
        <v>84</v>
      </c>
      <c r="J16" s="7"/>
      <c r="K16" s="7"/>
      <c r="L16" s="7" t="s">
        <v>84</v>
      </c>
      <c r="M16" s="7"/>
      <c r="N16" s="7"/>
      <c r="O16" s="7">
        <v>400</v>
      </c>
      <c r="P16" s="7"/>
      <c r="S16" s="10">
        <v>1</v>
      </c>
      <c r="T16" s="11">
        <v>45122</v>
      </c>
      <c r="U16" s="7" t="s">
        <v>173</v>
      </c>
      <c r="V16" s="7">
        <v>7200</v>
      </c>
    </row>
    <row r="17" spans="3:22" x14ac:dyDescent="0.25">
      <c r="C17" s="10">
        <v>4</v>
      </c>
      <c r="D17" s="11">
        <v>45079</v>
      </c>
      <c r="E17" s="10">
        <v>120</v>
      </c>
      <c r="F17" s="22" t="s">
        <v>44</v>
      </c>
      <c r="G17" s="7">
        <v>2000</v>
      </c>
      <c r="H17" s="31">
        <v>215</v>
      </c>
      <c r="I17" s="7"/>
      <c r="J17" s="7"/>
      <c r="K17" s="7"/>
      <c r="L17" s="7"/>
      <c r="M17" s="7"/>
      <c r="N17" s="7"/>
      <c r="O17" s="7"/>
      <c r="P17" s="7">
        <v>2000</v>
      </c>
      <c r="S17" s="10">
        <v>2</v>
      </c>
      <c r="T17" s="11"/>
      <c r="U17" s="7"/>
      <c r="V17" s="7"/>
    </row>
    <row r="18" spans="3:22" x14ac:dyDescent="0.25">
      <c r="C18" s="10">
        <v>5</v>
      </c>
      <c r="D18" s="11">
        <v>45079</v>
      </c>
      <c r="E18" s="10">
        <v>121</v>
      </c>
      <c r="F18" s="22" t="s">
        <v>104</v>
      </c>
      <c r="G18" s="7">
        <v>245</v>
      </c>
      <c r="H18" s="12" t="s">
        <v>174</v>
      </c>
      <c r="I18" s="7">
        <v>120</v>
      </c>
      <c r="J18" s="7"/>
      <c r="K18" s="7"/>
      <c r="L18" s="7"/>
      <c r="M18" s="7"/>
      <c r="N18" s="7"/>
      <c r="O18" s="7">
        <v>125</v>
      </c>
      <c r="P18" s="7"/>
      <c r="S18" s="10">
        <v>3</v>
      </c>
      <c r="T18" s="11"/>
      <c r="U18" s="7"/>
      <c r="V18" s="7"/>
    </row>
    <row r="19" spans="3:22" x14ac:dyDescent="0.25">
      <c r="C19" s="10">
        <v>6</v>
      </c>
      <c r="D19" s="11">
        <v>45079</v>
      </c>
      <c r="E19" s="10">
        <v>122</v>
      </c>
      <c r="F19" s="22" t="s">
        <v>175</v>
      </c>
      <c r="G19" s="7">
        <v>145</v>
      </c>
      <c r="H19" s="12" t="s">
        <v>176</v>
      </c>
      <c r="I19" s="7">
        <v>120</v>
      </c>
      <c r="J19" s="7"/>
      <c r="K19" s="7"/>
      <c r="L19" s="7">
        <v>25</v>
      </c>
      <c r="M19" s="7"/>
      <c r="N19" s="7"/>
      <c r="O19" s="7"/>
      <c r="P19" s="7"/>
      <c r="S19" s="10">
        <v>4</v>
      </c>
      <c r="T19" s="11"/>
      <c r="U19" s="7"/>
      <c r="V19" s="32"/>
    </row>
    <row r="20" spans="3:22" x14ac:dyDescent="0.25">
      <c r="C20" s="10">
        <v>7</v>
      </c>
      <c r="D20" s="11">
        <v>45079</v>
      </c>
      <c r="E20" s="10">
        <v>124</v>
      </c>
      <c r="F20" s="22" t="s">
        <v>177</v>
      </c>
      <c r="G20" s="7">
        <v>1000</v>
      </c>
      <c r="H20" s="12">
        <v>176</v>
      </c>
      <c r="I20" s="7"/>
      <c r="J20" s="7">
        <v>1000</v>
      </c>
      <c r="K20" s="7"/>
      <c r="L20" s="7"/>
      <c r="M20" s="7"/>
      <c r="N20" s="7"/>
      <c r="O20" s="7"/>
      <c r="P20" s="7"/>
      <c r="S20" s="10">
        <v>5</v>
      </c>
      <c r="T20" s="11"/>
      <c r="U20" s="7"/>
      <c r="V20" s="7"/>
    </row>
    <row r="21" spans="3:22" ht="15.75" customHeight="1" x14ac:dyDescent="0.25">
      <c r="C21" s="10">
        <v>8</v>
      </c>
      <c r="D21" s="11">
        <v>45079</v>
      </c>
      <c r="E21" s="10">
        <v>125</v>
      </c>
      <c r="F21" s="22" t="s">
        <v>178</v>
      </c>
      <c r="G21" s="7">
        <v>1000</v>
      </c>
      <c r="H21" s="12">
        <v>174</v>
      </c>
      <c r="I21" s="7"/>
      <c r="J21" s="7">
        <v>1000</v>
      </c>
      <c r="K21" s="7"/>
      <c r="L21" s="7"/>
      <c r="M21" s="7"/>
      <c r="N21" s="7"/>
      <c r="O21" s="7"/>
      <c r="P21" s="7"/>
      <c r="S21" s="10">
        <v>6</v>
      </c>
      <c r="T21" s="11"/>
      <c r="U21" s="7"/>
      <c r="V21" s="7"/>
    </row>
    <row r="22" spans="3:22" ht="15.75" customHeight="1" x14ac:dyDescent="0.25">
      <c r="C22" s="10">
        <v>9</v>
      </c>
      <c r="D22" s="11">
        <v>45079</v>
      </c>
      <c r="E22" s="10">
        <v>126</v>
      </c>
      <c r="F22" s="22" t="s">
        <v>179</v>
      </c>
      <c r="G22" s="7">
        <v>500</v>
      </c>
      <c r="H22" s="12">
        <v>197</v>
      </c>
      <c r="I22" s="7"/>
      <c r="J22" s="7"/>
      <c r="K22" s="7"/>
      <c r="L22" s="7"/>
      <c r="M22" s="7"/>
      <c r="N22" s="7"/>
      <c r="O22" s="7"/>
      <c r="P22" s="7">
        <v>500</v>
      </c>
      <c r="S22" s="10">
        <v>7</v>
      </c>
      <c r="T22" s="11"/>
      <c r="U22" s="7"/>
      <c r="V22" s="7"/>
    </row>
    <row r="23" spans="3:22" ht="15.75" customHeight="1" x14ac:dyDescent="0.25">
      <c r="C23" s="10">
        <v>10</v>
      </c>
      <c r="D23" s="11">
        <v>45079</v>
      </c>
      <c r="E23" s="10" t="s">
        <v>27</v>
      </c>
      <c r="F23" s="22" t="s">
        <v>28</v>
      </c>
      <c r="G23" s="7">
        <v>300</v>
      </c>
      <c r="H23" s="12">
        <v>135</v>
      </c>
      <c r="I23" s="7">
        <v>300</v>
      </c>
      <c r="J23" s="7"/>
      <c r="K23" s="7"/>
      <c r="L23" s="7"/>
      <c r="M23" s="7"/>
      <c r="N23" s="7"/>
      <c r="O23" s="7"/>
      <c r="P23" s="7"/>
      <c r="S23" s="10">
        <v>8</v>
      </c>
      <c r="T23" s="11"/>
      <c r="U23" s="7"/>
      <c r="V23" s="7"/>
    </row>
    <row r="24" spans="3:22" ht="15.75" customHeight="1" x14ac:dyDescent="0.25">
      <c r="C24" s="10">
        <v>11</v>
      </c>
      <c r="D24" s="11">
        <v>45079</v>
      </c>
      <c r="E24" s="10" t="s">
        <v>27</v>
      </c>
      <c r="F24" s="22" t="s">
        <v>30</v>
      </c>
      <c r="G24" s="7">
        <v>250</v>
      </c>
      <c r="H24" s="12">
        <v>206</v>
      </c>
      <c r="I24" s="7"/>
      <c r="J24" s="7"/>
      <c r="K24" s="7"/>
      <c r="L24" s="7"/>
      <c r="M24" s="7"/>
      <c r="N24" s="7"/>
      <c r="O24" s="7">
        <v>50</v>
      </c>
      <c r="P24" s="7">
        <v>200</v>
      </c>
      <c r="S24" s="10"/>
      <c r="T24" s="7"/>
      <c r="U24" s="7"/>
      <c r="V24" s="7"/>
    </row>
    <row r="25" spans="3:22" ht="15.75" customHeight="1" x14ac:dyDescent="0.25">
      <c r="C25" s="10">
        <v>12</v>
      </c>
      <c r="D25" s="11">
        <v>45080</v>
      </c>
      <c r="E25" s="10">
        <v>132</v>
      </c>
      <c r="F25" s="22" t="s">
        <v>180</v>
      </c>
      <c r="G25" s="7">
        <v>460</v>
      </c>
      <c r="H25" s="12" t="s">
        <v>151</v>
      </c>
      <c r="I25" s="7">
        <v>360</v>
      </c>
      <c r="J25" s="7"/>
      <c r="K25" s="7"/>
      <c r="L25" s="7">
        <v>100</v>
      </c>
      <c r="M25" s="7"/>
      <c r="N25" s="7"/>
      <c r="O25" s="7"/>
      <c r="P25" s="7"/>
      <c r="S25" s="97" t="s">
        <v>181</v>
      </c>
      <c r="T25" s="98"/>
      <c r="U25" s="99"/>
      <c r="V25" s="7">
        <f>SUM(V16:V23)</f>
        <v>7200</v>
      </c>
    </row>
    <row r="26" spans="3:22" ht="15.75" customHeight="1" x14ac:dyDescent="0.25">
      <c r="C26" s="10">
        <v>13</v>
      </c>
      <c r="D26" s="11">
        <v>45082</v>
      </c>
      <c r="E26" s="10">
        <v>134</v>
      </c>
      <c r="F26" s="22" t="s">
        <v>182</v>
      </c>
      <c r="G26" s="7">
        <v>200</v>
      </c>
      <c r="H26" s="12">
        <v>199</v>
      </c>
      <c r="I26" s="7"/>
      <c r="J26" s="7"/>
      <c r="K26" s="7"/>
      <c r="L26" s="7"/>
      <c r="M26" s="7"/>
      <c r="N26" s="7">
        <v>200</v>
      </c>
      <c r="O26" s="7"/>
      <c r="P26" s="7"/>
      <c r="S26" s="97" t="s">
        <v>183</v>
      </c>
      <c r="T26" s="98"/>
      <c r="U26" s="99"/>
      <c r="V26" s="7">
        <v>139413</v>
      </c>
    </row>
    <row r="27" spans="3:22" ht="15.75" customHeight="1" x14ac:dyDescent="0.25">
      <c r="C27" s="10">
        <v>14</v>
      </c>
      <c r="D27" s="11">
        <v>45082</v>
      </c>
      <c r="E27" s="10">
        <v>135</v>
      </c>
      <c r="F27" s="22" t="s">
        <v>52</v>
      </c>
      <c r="G27" s="7">
        <v>5000</v>
      </c>
      <c r="H27" s="12">
        <v>125</v>
      </c>
      <c r="I27" s="7">
        <v>5000</v>
      </c>
      <c r="J27" s="7"/>
      <c r="K27" s="7"/>
      <c r="L27" s="7"/>
      <c r="M27" s="7"/>
      <c r="N27" s="7"/>
      <c r="O27" s="7"/>
      <c r="P27" s="7"/>
      <c r="S27" s="97" t="s">
        <v>184</v>
      </c>
      <c r="T27" s="98"/>
      <c r="U27" s="99"/>
      <c r="V27" s="35">
        <f>SUM(V25,V26)</f>
        <v>146613</v>
      </c>
    </row>
    <row r="28" spans="3:22" ht="15.75" customHeight="1" x14ac:dyDescent="0.25">
      <c r="C28" s="10">
        <v>15</v>
      </c>
      <c r="D28" s="11">
        <v>45083</v>
      </c>
      <c r="E28" s="10">
        <v>136</v>
      </c>
      <c r="F28" s="22" t="s">
        <v>37</v>
      </c>
      <c r="G28" s="7">
        <v>625</v>
      </c>
      <c r="H28" s="12" t="s">
        <v>185</v>
      </c>
      <c r="I28" s="7"/>
      <c r="J28" s="7"/>
      <c r="K28" s="7"/>
      <c r="L28" s="7">
        <v>500</v>
      </c>
      <c r="M28" s="7"/>
      <c r="N28" s="7"/>
      <c r="O28" s="7"/>
      <c r="P28" s="7">
        <v>125</v>
      </c>
      <c r="S28" s="97" t="s">
        <v>186</v>
      </c>
      <c r="T28" s="98"/>
      <c r="U28" s="99"/>
      <c r="V28" s="7">
        <f>'June 2023'!$I$84</f>
        <v>37820</v>
      </c>
    </row>
    <row r="29" spans="3:22" ht="15.75" customHeight="1" x14ac:dyDescent="0.25">
      <c r="C29" s="10">
        <v>16</v>
      </c>
      <c r="D29" s="11">
        <v>45083</v>
      </c>
      <c r="E29" s="24">
        <v>137</v>
      </c>
      <c r="F29" s="22" t="s">
        <v>187</v>
      </c>
      <c r="G29" s="7">
        <v>2000</v>
      </c>
      <c r="H29" s="12">
        <v>187</v>
      </c>
      <c r="I29" s="7"/>
      <c r="J29" s="7"/>
      <c r="K29" s="7"/>
      <c r="L29" s="7"/>
      <c r="M29" s="7"/>
      <c r="N29" s="7"/>
      <c r="O29" s="7"/>
      <c r="P29" s="7">
        <v>2000</v>
      </c>
      <c r="S29" s="97"/>
      <c r="T29" s="98"/>
      <c r="U29" s="99"/>
      <c r="V29" s="7"/>
    </row>
    <row r="30" spans="3:22" ht="15.75" customHeight="1" x14ac:dyDescent="0.25">
      <c r="C30" s="10">
        <v>17</v>
      </c>
      <c r="D30" s="11">
        <v>45083</v>
      </c>
      <c r="E30" s="10">
        <v>138</v>
      </c>
      <c r="F30" s="22" t="s">
        <v>96</v>
      </c>
      <c r="G30" s="7">
        <v>1000</v>
      </c>
      <c r="H30" s="12">
        <v>144</v>
      </c>
      <c r="I30" s="7">
        <v>1000</v>
      </c>
      <c r="J30" s="7"/>
      <c r="K30" s="7"/>
      <c r="L30" s="7"/>
      <c r="M30" s="7"/>
      <c r="N30" s="7"/>
      <c r="O30" s="7"/>
      <c r="P30" s="7"/>
      <c r="S30" s="100" t="s">
        <v>188</v>
      </c>
      <c r="T30" s="98"/>
      <c r="U30" s="99"/>
      <c r="V30" s="36">
        <f>SUM(V27-V28)</f>
        <v>108793</v>
      </c>
    </row>
    <row r="31" spans="3:22" ht="15.75" customHeight="1" x14ac:dyDescent="0.25">
      <c r="C31" s="10">
        <v>18</v>
      </c>
      <c r="D31" s="11">
        <v>45083</v>
      </c>
      <c r="E31" s="10">
        <v>139</v>
      </c>
      <c r="F31" s="22" t="s">
        <v>21</v>
      </c>
      <c r="G31" s="7">
        <v>1000</v>
      </c>
      <c r="H31" s="12" t="s">
        <v>189</v>
      </c>
      <c r="I31" s="7"/>
      <c r="J31" s="7"/>
      <c r="K31" s="7"/>
      <c r="L31" s="7"/>
      <c r="M31" s="7"/>
      <c r="N31" s="7"/>
      <c r="O31" s="7">
        <v>600</v>
      </c>
      <c r="P31" s="7">
        <v>400</v>
      </c>
    </row>
    <row r="32" spans="3:22" ht="15.75" customHeight="1" x14ac:dyDescent="0.25">
      <c r="C32" s="10">
        <v>19</v>
      </c>
      <c r="D32" s="11">
        <v>45083</v>
      </c>
      <c r="E32" s="10">
        <v>140</v>
      </c>
      <c r="F32" s="22" t="s">
        <v>190</v>
      </c>
      <c r="G32" s="7">
        <v>1000</v>
      </c>
      <c r="H32" s="12" t="s">
        <v>191</v>
      </c>
      <c r="I32" s="7">
        <v>1000</v>
      </c>
      <c r="J32" s="7"/>
      <c r="K32" s="7"/>
      <c r="L32" s="7"/>
      <c r="M32" s="7"/>
      <c r="N32" s="7"/>
      <c r="O32" s="7"/>
      <c r="P32" s="7">
        <v>500</v>
      </c>
    </row>
    <row r="33" spans="3:19" ht="15.75" customHeight="1" x14ac:dyDescent="0.25">
      <c r="C33" s="10">
        <v>20</v>
      </c>
      <c r="D33" s="11">
        <v>45083</v>
      </c>
      <c r="E33" s="10">
        <v>141</v>
      </c>
      <c r="F33" s="22" t="s">
        <v>163</v>
      </c>
      <c r="G33" s="7">
        <v>50</v>
      </c>
      <c r="H33" s="12">
        <v>180</v>
      </c>
      <c r="I33" s="7" t="s">
        <v>84</v>
      </c>
      <c r="J33" s="7">
        <v>50</v>
      </c>
      <c r="K33" s="7"/>
      <c r="L33" s="7"/>
      <c r="M33" s="7"/>
      <c r="N33" s="7"/>
      <c r="O33" s="7"/>
      <c r="P33" s="7"/>
    </row>
    <row r="34" spans="3:19" ht="15.75" customHeight="1" x14ac:dyDescent="0.25">
      <c r="C34" s="10">
        <v>21</v>
      </c>
      <c r="D34" s="11">
        <v>45083</v>
      </c>
      <c r="E34" s="10">
        <v>142</v>
      </c>
      <c r="F34" s="22" t="s">
        <v>192</v>
      </c>
      <c r="G34" s="7">
        <v>1000</v>
      </c>
      <c r="H34" s="12">
        <v>182</v>
      </c>
      <c r="I34" s="7"/>
      <c r="J34" s="7"/>
      <c r="K34" s="7"/>
      <c r="L34" s="7"/>
      <c r="M34" s="7"/>
      <c r="N34" s="7"/>
      <c r="O34" s="7">
        <v>1000</v>
      </c>
      <c r="P34" s="7"/>
    </row>
    <row r="35" spans="3:19" ht="15.75" customHeight="1" x14ac:dyDescent="0.25">
      <c r="C35" s="10">
        <v>22</v>
      </c>
      <c r="D35" s="11">
        <v>45083</v>
      </c>
      <c r="E35" s="10">
        <v>143</v>
      </c>
      <c r="F35" s="22" t="s">
        <v>111</v>
      </c>
      <c r="G35" s="7">
        <v>5000</v>
      </c>
      <c r="H35" s="12">
        <v>132</v>
      </c>
      <c r="I35" s="7">
        <v>5000</v>
      </c>
      <c r="J35" s="7"/>
      <c r="K35" s="7"/>
      <c r="L35" s="7"/>
      <c r="M35" s="7"/>
      <c r="N35" s="7"/>
      <c r="O35" s="7"/>
      <c r="P35" s="7"/>
    </row>
    <row r="36" spans="3:19" ht="15.75" customHeight="1" x14ac:dyDescent="0.25">
      <c r="C36" s="10">
        <v>23</v>
      </c>
      <c r="D36" s="11">
        <v>45085</v>
      </c>
      <c r="E36" s="10">
        <v>144</v>
      </c>
      <c r="F36" s="22" t="s">
        <v>80</v>
      </c>
      <c r="G36" s="7">
        <v>2000</v>
      </c>
      <c r="H36" s="12">
        <v>171.5</v>
      </c>
      <c r="I36" s="7"/>
      <c r="J36" s="7">
        <v>2000</v>
      </c>
      <c r="K36" s="7"/>
      <c r="L36" s="7"/>
      <c r="M36" s="7"/>
      <c r="N36" s="7"/>
      <c r="O36" s="7"/>
      <c r="P36" s="7"/>
    </row>
    <row r="37" spans="3:19" ht="15.75" customHeight="1" x14ac:dyDescent="0.25">
      <c r="C37" s="10">
        <v>24</v>
      </c>
      <c r="D37" s="11">
        <v>45085</v>
      </c>
      <c r="E37" s="10">
        <v>145</v>
      </c>
      <c r="F37" s="22" t="s">
        <v>193</v>
      </c>
      <c r="G37" s="7">
        <v>500</v>
      </c>
      <c r="H37" s="12">
        <v>169</v>
      </c>
      <c r="I37" s="7"/>
      <c r="J37" s="7">
        <v>500</v>
      </c>
      <c r="K37" s="7"/>
      <c r="L37" s="7"/>
      <c r="M37" s="7"/>
      <c r="N37" s="7"/>
      <c r="O37" s="7"/>
      <c r="P37" s="7"/>
    </row>
    <row r="38" spans="3:19" ht="15.75" customHeight="1" x14ac:dyDescent="0.25">
      <c r="C38" s="10">
        <v>25</v>
      </c>
      <c r="D38" s="11">
        <v>45085</v>
      </c>
      <c r="E38" s="10">
        <v>146</v>
      </c>
      <c r="F38" s="22" t="s">
        <v>193</v>
      </c>
      <c r="G38" s="7">
        <v>125</v>
      </c>
      <c r="H38" s="12" t="s">
        <v>194</v>
      </c>
      <c r="I38" s="7">
        <v>100</v>
      </c>
      <c r="J38" s="7"/>
      <c r="K38" s="7"/>
      <c r="L38" s="7">
        <v>25</v>
      </c>
      <c r="M38" s="7"/>
      <c r="N38" s="7"/>
      <c r="O38" s="7"/>
      <c r="P38" s="7"/>
      <c r="S38" s="1"/>
    </row>
    <row r="39" spans="3:19" ht="15.75" customHeight="1" x14ac:dyDescent="0.25">
      <c r="C39" s="10">
        <v>26</v>
      </c>
      <c r="D39" s="11">
        <v>45085</v>
      </c>
      <c r="E39" s="10" t="s">
        <v>195</v>
      </c>
      <c r="F39" s="22" t="s">
        <v>95</v>
      </c>
      <c r="G39" s="7">
        <v>1000</v>
      </c>
      <c r="H39" s="12">
        <v>197</v>
      </c>
      <c r="I39" s="7"/>
      <c r="J39" s="7"/>
      <c r="K39" s="7"/>
      <c r="L39" s="7"/>
      <c r="M39" s="7">
        <v>1000</v>
      </c>
      <c r="N39" s="7"/>
      <c r="O39" s="7"/>
      <c r="P39" s="7"/>
      <c r="S39" s="1"/>
    </row>
    <row r="40" spans="3:19" ht="15.75" customHeight="1" x14ac:dyDescent="0.25">
      <c r="C40" s="10">
        <v>27</v>
      </c>
      <c r="D40" s="11">
        <v>45086</v>
      </c>
      <c r="E40" s="10">
        <v>148</v>
      </c>
      <c r="F40" s="22" t="s">
        <v>196</v>
      </c>
      <c r="G40" s="7">
        <v>300</v>
      </c>
      <c r="H40" s="12">
        <v>130</v>
      </c>
      <c r="I40" s="7">
        <v>300</v>
      </c>
      <c r="J40" s="7"/>
      <c r="K40" s="7"/>
      <c r="L40" s="7"/>
      <c r="M40" s="7"/>
      <c r="N40" s="7"/>
      <c r="O40" s="7"/>
      <c r="P40" s="7"/>
      <c r="S40" s="1"/>
    </row>
    <row r="41" spans="3:19" ht="15.75" customHeight="1" x14ac:dyDescent="0.25">
      <c r="C41" s="10">
        <v>28</v>
      </c>
      <c r="D41" s="11">
        <v>45086</v>
      </c>
      <c r="E41" s="10">
        <v>149</v>
      </c>
      <c r="F41" s="22" t="s">
        <v>96</v>
      </c>
      <c r="G41" s="7">
        <v>500</v>
      </c>
      <c r="H41" s="12">
        <v>188</v>
      </c>
      <c r="I41" s="7"/>
      <c r="J41" s="7"/>
      <c r="K41" s="7"/>
      <c r="L41" s="7"/>
      <c r="M41" s="7"/>
      <c r="N41" s="7"/>
      <c r="O41" s="7">
        <v>500</v>
      </c>
      <c r="P41" s="7"/>
      <c r="S41" s="1"/>
    </row>
    <row r="42" spans="3:19" ht="15.75" customHeight="1" x14ac:dyDescent="0.25">
      <c r="C42" s="10">
        <v>29</v>
      </c>
      <c r="D42" s="11">
        <v>45087</v>
      </c>
      <c r="E42" s="10">
        <v>150</v>
      </c>
      <c r="F42" s="22" t="s">
        <v>80</v>
      </c>
      <c r="G42" s="7">
        <v>100</v>
      </c>
      <c r="H42" s="12">
        <v>137</v>
      </c>
      <c r="I42" s="7">
        <v>100</v>
      </c>
      <c r="J42" s="7"/>
      <c r="K42" s="7"/>
      <c r="L42" s="7"/>
      <c r="M42" s="7"/>
      <c r="N42" s="7"/>
      <c r="O42" s="7"/>
      <c r="P42" s="7"/>
      <c r="S42" s="1"/>
    </row>
    <row r="43" spans="3:19" ht="15.75" customHeight="1" x14ac:dyDescent="0.25">
      <c r="C43" s="10">
        <v>30</v>
      </c>
      <c r="D43" s="11">
        <v>45089</v>
      </c>
      <c r="E43" s="10">
        <v>152</v>
      </c>
      <c r="F43" s="22" t="s">
        <v>162</v>
      </c>
      <c r="G43" s="7">
        <v>3000</v>
      </c>
      <c r="H43" s="12">
        <v>125</v>
      </c>
      <c r="I43" s="7">
        <v>3000</v>
      </c>
      <c r="J43" s="7"/>
      <c r="K43" s="7"/>
      <c r="L43" s="7"/>
      <c r="M43" s="7"/>
      <c r="N43" s="7"/>
      <c r="O43" s="7"/>
      <c r="P43" s="7"/>
      <c r="S43" s="1"/>
    </row>
    <row r="44" spans="3:19" ht="15.75" customHeight="1" x14ac:dyDescent="0.25">
      <c r="C44" s="10">
        <v>31</v>
      </c>
      <c r="D44" s="11">
        <v>45089</v>
      </c>
      <c r="E44" s="10">
        <v>153</v>
      </c>
      <c r="F44" s="22" t="s">
        <v>140</v>
      </c>
      <c r="G44" s="7">
        <v>300</v>
      </c>
      <c r="H44" s="12">
        <v>135</v>
      </c>
      <c r="I44" s="7">
        <v>300</v>
      </c>
      <c r="J44" s="7"/>
      <c r="K44" s="7"/>
      <c r="L44" s="7"/>
      <c r="M44" s="7"/>
      <c r="N44" s="7"/>
      <c r="O44" s="7"/>
      <c r="P44" s="7"/>
      <c r="S44" s="1"/>
    </row>
    <row r="45" spans="3:19" ht="15.75" customHeight="1" x14ac:dyDescent="0.25">
      <c r="C45" s="10">
        <v>32</v>
      </c>
      <c r="D45" s="11">
        <v>45089</v>
      </c>
      <c r="E45" s="10">
        <v>154</v>
      </c>
      <c r="F45" s="22" t="s">
        <v>80</v>
      </c>
      <c r="G45" s="7">
        <v>25</v>
      </c>
      <c r="H45" s="12">
        <v>185</v>
      </c>
      <c r="I45" s="7"/>
      <c r="J45" s="7"/>
      <c r="K45" s="7"/>
      <c r="L45" s="7"/>
      <c r="M45" s="7"/>
      <c r="N45" s="7"/>
      <c r="O45" s="7">
        <v>25</v>
      </c>
      <c r="P45" s="7"/>
      <c r="S45" s="1"/>
    </row>
    <row r="46" spans="3:19" ht="15.75" customHeight="1" x14ac:dyDescent="0.25">
      <c r="C46" s="10">
        <v>33</v>
      </c>
      <c r="D46" s="11">
        <v>45090</v>
      </c>
      <c r="E46" s="10">
        <v>155</v>
      </c>
      <c r="F46" s="22" t="s">
        <v>97</v>
      </c>
      <c r="G46" s="7">
        <v>2000</v>
      </c>
      <c r="H46" s="12">
        <v>189</v>
      </c>
      <c r="I46" s="7"/>
      <c r="J46" s="7"/>
      <c r="K46" s="7"/>
      <c r="L46" s="7"/>
      <c r="M46" s="7"/>
      <c r="N46" s="7"/>
      <c r="O46" s="7"/>
      <c r="P46" s="7">
        <v>2000</v>
      </c>
      <c r="S46" s="1"/>
    </row>
    <row r="47" spans="3:19" ht="15.75" customHeight="1" x14ac:dyDescent="0.25">
      <c r="C47" s="10">
        <v>34</v>
      </c>
      <c r="D47" s="11">
        <v>45090</v>
      </c>
      <c r="E47" s="10">
        <v>156</v>
      </c>
      <c r="F47" s="22" t="s">
        <v>142</v>
      </c>
      <c r="G47" s="7">
        <v>300</v>
      </c>
      <c r="H47" s="12">
        <v>181</v>
      </c>
      <c r="I47" s="7"/>
      <c r="J47" s="7"/>
      <c r="K47" s="7"/>
      <c r="L47" s="7"/>
      <c r="M47" s="7"/>
      <c r="N47" s="7"/>
      <c r="O47" s="7">
        <v>300</v>
      </c>
      <c r="P47" s="7"/>
      <c r="S47" s="1"/>
    </row>
    <row r="48" spans="3:19" ht="15.75" customHeight="1" x14ac:dyDescent="0.25">
      <c r="C48" s="10">
        <v>35</v>
      </c>
      <c r="D48" s="11">
        <v>45091</v>
      </c>
      <c r="E48" s="10">
        <v>159</v>
      </c>
      <c r="F48" s="22" t="s">
        <v>89</v>
      </c>
      <c r="G48" s="7">
        <v>2000</v>
      </c>
      <c r="H48" s="12">
        <v>132</v>
      </c>
      <c r="I48" s="7">
        <v>2000</v>
      </c>
      <c r="J48" s="7"/>
      <c r="K48" s="7"/>
      <c r="L48" s="7"/>
      <c r="M48" s="7"/>
      <c r="N48" s="7"/>
      <c r="O48" s="7"/>
      <c r="P48" s="7"/>
      <c r="S48" s="1"/>
    </row>
    <row r="49" spans="3:19" ht="15.75" customHeight="1" x14ac:dyDescent="0.25">
      <c r="C49" s="10">
        <v>36</v>
      </c>
      <c r="D49" s="11">
        <v>45091</v>
      </c>
      <c r="E49" s="10" t="s">
        <v>27</v>
      </c>
      <c r="F49" s="22" t="s">
        <v>28</v>
      </c>
      <c r="G49" s="7">
        <v>1000</v>
      </c>
      <c r="H49" s="12" t="s">
        <v>197</v>
      </c>
      <c r="I49" s="7">
        <v>500</v>
      </c>
      <c r="J49" s="7">
        <v>500</v>
      </c>
      <c r="K49" s="7"/>
      <c r="L49" s="7"/>
      <c r="M49" s="7"/>
      <c r="N49" s="7"/>
      <c r="O49" s="7"/>
      <c r="P49" s="7"/>
      <c r="S49" s="1"/>
    </row>
    <row r="50" spans="3:19" ht="15.75" customHeight="1" x14ac:dyDescent="0.25">
      <c r="C50" s="10">
        <v>37</v>
      </c>
      <c r="D50" s="11">
        <v>45093</v>
      </c>
      <c r="E50" s="10">
        <v>164</v>
      </c>
      <c r="F50" s="22" t="s">
        <v>71</v>
      </c>
      <c r="G50" s="7">
        <v>500</v>
      </c>
      <c r="H50" s="12">
        <v>180</v>
      </c>
      <c r="I50" s="7"/>
      <c r="J50" s="7"/>
      <c r="K50" s="7"/>
      <c r="L50" s="7"/>
      <c r="M50" s="7"/>
      <c r="N50" s="7"/>
      <c r="O50" s="7">
        <v>500</v>
      </c>
      <c r="P50" s="7"/>
      <c r="S50" s="1"/>
    </row>
    <row r="51" spans="3:19" ht="15.75" customHeight="1" x14ac:dyDescent="0.25">
      <c r="C51" s="10">
        <v>38</v>
      </c>
      <c r="D51" s="11">
        <v>45094</v>
      </c>
      <c r="E51" s="10" t="s">
        <v>198</v>
      </c>
      <c r="F51" s="22" t="s">
        <v>32</v>
      </c>
      <c r="G51" s="7">
        <v>500</v>
      </c>
      <c r="H51" s="12">
        <v>196</v>
      </c>
      <c r="I51" s="7"/>
      <c r="J51" s="7"/>
      <c r="K51" s="7"/>
      <c r="L51" s="7"/>
      <c r="M51" s="7"/>
      <c r="N51" s="7"/>
      <c r="O51" s="7">
        <v>500</v>
      </c>
      <c r="P51" s="7"/>
      <c r="S51" s="1"/>
    </row>
    <row r="52" spans="3:19" ht="15.75" customHeight="1" x14ac:dyDescent="0.25">
      <c r="C52" s="10">
        <v>39</v>
      </c>
      <c r="D52" s="11">
        <v>45094</v>
      </c>
      <c r="E52" s="10">
        <v>165</v>
      </c>
      <c r="F52" s="22" t="s">
        <v>175</v>
      </c>
      <c r="G52" s="7">
        <v>145</v>
      </c>
      <c r="H52" s="12" t="s">
        <v>176</v>
      </c>
      <c r="I52" s="7">
        <v>120</v>
      </c>
      <c r="J52" s="7"/>
      <c r="K52" s="7"/>
      <c r="L52" s="7">
        <v>25</v>
      </c>
      <c r="M52" s="7"/>
      <c r="N52" s="7"/>
      <c r="O52" s="7"/>
      <c r="P52" s="7"/>
      <c r="S52" s="1"/>
    </row>
    <row r="53" spans="3:19" ht="15.75" customHeight="1" x14ac:dyDescent="0.25">
      <c r="C53" s="10">
        <v>40</v>
      </c>
      <c r="D53" s="11">
        <v>45096</v>
      </c>
      <c r="E53" s="10">
        <v>166</v>
      </c>
      <c r="F53" s="22" t="s">
        <v>193</v>
      </c>
      <c r="G53" s="7">
        <v>500</v>
      </c>
      <c r="H53" s="31">
        <v>128</v>
      </c>
      <c r="I53" s="7">
        <v>500</v>
      </c>
      <c r="J53" s="7"/>
      <c r="K53" s="7"/>
      <c r="L53" s="7"/>
      <c r="M53" s="7"/>
      <c r="N53" s="7"/>
      <c r="O53" s="7"/>
      <c r="P53" s="7"/>
      <c r="S53" s="1"/>
    </row>
    <row r="54" spans="3:19" ht="15.75" customHeight="1" x14ac:dyDescent="0.25">
      <c r="C54" s="10">
        <v>41</v>
      </c>
      <c r="D54" s="11">
        <v>45097</v>
      </c>
      <c r="E54" s="10">
        <v>168</v>
      </c>
      <c r="F54" s="22" t="s">
        <v>199</v>
      </c>
      <c r="G54" s="7">
        <v>50</v>
      </c>
      <c r="H54" s="12">
        <v>189</v>
      </c>
      <c r="I54" s="7"/>
      <c r="J54" s="7"/>
      <c r="K54" s="7"/>
      <c r="L54" s="7"/>
      <c r="M54" s="7">
        <v>50</v>
      </c>
      <c r="N54" s="7"/>
      <c r="O54" s="7"/>
      <c r="P54" s="7"/>
      <c r="S54" s="1"/>
    </row>
    <row r="55" spans="3:19" ht="15.75" customHeight="1" x14ac:dyDescent="0.25">
      <c r="C55" s="10">
        <v>42</v>
      </c>
      <c r="D55" s="11">
        <v>45097</v>
      </c>
      <c r="E55" s="10">
        <v>169</v>
      </c>
      <c r="F55" s="22" t="s">
        <v>49</v>
      </c>
      <c r="G55" s="7">
        <v>2000</v>
      </c>
      <c r="H55" s="12">
        <v>178.5</v>
      </c>
      <c r="I55" s="7"/>
      <c r="J55" s="7"/>
      <c r="K55" s="7"/>
      <c r="L55" s="7"/>
      <c r="M55" s="7"/>
      <c r="N55" s="7">
        <v>2000</v>
      </c>
      <c r="O55" s="7"/>
      <c r="P55" s="7"/>
      <c r="S55" s="1"/>
    </row>
    <row r="56" spans="3:19" ht="15.75" customHeight="1" x14ac:dyDescent="0.25">
      <c r="C56" s="10">
        <v>43</v>
      </c>
      <c r="D56" s="11">
        <v>45097</v>
      </c>
      <c r="E56" s="10">
        <v>171</v>
      </c>
      <c r="F56" s="22" t="s">
        <v>139</v>
      </c>
      <c r="G56" s="7">
        <v>500</v>
      </c>
      <c r="H56" s="12">
        <v>135</v>
      </c>
      <c r="I56" s="7">
        <v>500</v>
      </c>
      <c r="J56" s="7"/>
      <c r="K56" s="7"/>
      <c r="L56" s="7"/>
      <c r="M56" s="7"/>
      <c r="N56" s="7"/>
      <c r="O56" s="7"/>
      <c r="P56" s="7"/>
      <c r="S56" s="1"/>
    </row>
    <row r="57" spans="3:19" ht="15.75" customHeight="1" x14ac:dyDescent="0.25">
      <c r="C57" s="10">
        <v>44</v>
      </c>
      <c r="D57" s="11">
        <v>45098</v>
      </c>
      <c r="E57" s="10">
        <v>172</v>
      </c>
      <c r="F57" s="22" t="s">
        <v>61</v>
      </c>
      <c r="G57" s="7">
        <v>600</v>
      </c>
      <c r="H57" s="12">
        <v>183</v>
      </c>
      <c r="I57" s="7"/>
      <c r="J57" s="7"/>
      <c r="K57" s="7"/>
      <c r="L57" s="7">
        <v>600</v>
      </c>
      <c r="M57" s="7"/>
      <c r="N57" s="7"/>
      <c r="O57" s="7"/>
      <c r="P57" s="7"/>
      <c r="S57" s="1"/>
    </row>
    <row r="58" spans="3:19" ht="15.75" customHeight="1" x14ac:dyDescent="0.25">
      <c r="C58" s="10">
        <v>45</v>
      </c>
      <c r="D58" s="11">
        <v>45098</v>
      </c>
      <c r="E58" s="10">
        <v>173</v>
      </c>
      <c r="F58" s="22" t="s">
        <v>80</v>
      </c>
      <c r="G58" s="7">
        <v>125</v>
      </c>
      <c r="H58" s="12">
        <v>168</v>
      </c>
      <c r="I58" s="7"/>
      <c r="J58" s="7">
        <v>125</v>
      </c>
      <c r="K58" s="7"/>
      <c r="L58" s="7"/>
      <c r="M58" s="7"/>
      <c r="N58" s="7"/>
      <c r="O58" s="7"/>
      <c r="P58" s="7"/>
      <c r="S58" s="1"/>
    </row>
    <row r="59" spans="3:19" ht="15.75" customHeight="1" x14ac:dyDescent="0.25">
      <c r="C59" s="10">
        <v>46</v>
      </c>
      <c r="D59" s="11">
        <v>45099</v>
      </c>
      <c r="E59" s="10">
        <v>174</v>
      </c>
      <c r="F59" s="22" t="s">
        <v>96</v>
      </c>
      <c r="G59" s="7">
        <v>5000</v>
      </c>
      <c r="H59" s="12">
        <v>135</v>
      </c>
      <c r="I59" s="7">
        <v>5000</v>
      </c>
      <c r="J59" s="7"/>
      <c r="K59" s="7"/>
      <c r="L59" s="7"/>
      <c r="M59" s="7"/>
      <c r="N59" s="7"/>
      <c r="O59" s="7"/>
      <c r="P59" s="7"/>
      <c r="S59" s="1"/>
    </row>
    <row r="60" spans="3:19" ht="15.75" customHeight="1" x14ac:dyDescent="0.25">
      <c r="C60" s="10">
        <v>47</v>
      </c>
      <c r="D60" s="11">
        <v>45099</v>
      </c>
      <c r="E60" s="10">
        <v>175</v>
      </c>
      <c r="F60" s="22" t="s">
        <v>96</v>
      </c>
      <c r="G60" s="7">
        <v>100</v>
      </c>
      <c r="H60" s="12">
        <v>120</v>
      </c>
      <c r="I60" s="7"/>
      <c r="J60" s="7"/>
      <c r="K60" s="7"/>
      <c r="L60" s="7"/>
      <c r="M60" s="7"/>
      <c r="N60" s="7"/>
      <c r="O60" s="7"/>
      <c r="P60" s="7"/>
      <c r="S60" s="1"/>
    </row>
    <row r="61" spans="3:19" ht="15.75" customHeight="1" x14ac:dyDescent="0.25">
      <c r="C61" s="10">
        <v>48</v>
      </c>
      <c r="D61" s="11">
        <v>45099</v>
      </c>
      <c r="E61" s="10">
        <v>176</v>
      </c>
      <c r="F61" s="22" t="s">
        <v>80</v>
      </c>
      <c r="G61" s="7">
        <v>1000</v>
      </c>
      <c r="H61" s="12">
        <v>164</v>
      </c>
      <c r="I61" s="7"/>
      <c r="J61" s="7">
        <v>1000</v>
      </c>
      <c r="K61" s="7"/>
      <c r="L61" s="7"/>
      <c r="M61" s="7"/>
      <c r="N61" s="7"/>
      <c r="O61" s="7"/>
      <c r="P61" s="7"/>
      <c r="S61" s="1"/>
    </row>
    <row r="62" spans="3:19" ht="15.75" customHeight="1" x14ac:dyDescent="0.25">
      <c r="C62" s="10">
        <v>49</v>
      </c>
      <c r="D62" s="11">
        <v>45100</v>
      </c>
      <c r="E62" s="10">
        <v>177</v>
      </c>
      <c r="F62" s="22" t="s">
        <v>90</v>
      </c>
      <c r="G62" s="7">
        <v>5000</v>
      </c>
      <c r="H62" s="12">
        <v>122</v>
      </c>
      <c r="I62" s="7">
        <v>5000</v>
      </c>
      <c r="J62" s="7"/>
      <c r="K62" s="7"/>
      <c r="L62" s="7"/>
      <c r="M62" s="7"/>
      <c r="N62" s="7"/>
      <c r="O62" s="7"/>
      <c r="P62" s="7"/>
      <c r="S62" s="1"/>
    </row>
    <row r="63" spans="3:19" ht="15.75" customHeight="1" x14ac:dyDescent="0.25">
      <c r="C63" s="10">
        <v>50</v>
      </c>
      <c r="D63" s="11">
        <v>45100</v>
      </c>
      <c r="E63" s="10">
        <v>178</v>
      </c>
      <c r="F63" s="22" t="s">
        <v>90</v>
      </c>
      <c r="G63" s="7">
        <v>2000</v>
      </c>
      <c r="H63" s="12">
        <v>180</v>
      </c>
      <c r="I63" s="7"/>
      <c r="J63" s="7">
        <v>300</v>
      </c>
      <c r="K63" s="7"/>
      <c r="L63" s="7">
        <v>500</v>
      </c>
      <c r="M63" s="7"/>
      <c r="N63" s="7">
        <v>700</v>
      </c>
      <c r="O63" s="7"/>
      <c r="P63" s="7">
        <v>500</v>
      </c>
      <c r="S63" s="1"/>
    </row>
    <row r="64" spans="3:19" ht="15.75" customHeight="1" x14ac:dyDescent="0.25">
      <c r="C64" s="10">
        <v>51</v>
      </c>
      <c r="D64" s="11">
        <v>45100</v>
      </c>
      <c r="E64" s="10">
        <v>179</v>
      </c>
      <c r="F64" s="22" t="s">
        <v>24</v>
      </c>
      <c r="G64" s="7">
        <v>500</v>
      </c>
      <c r="H64" s="12">
        <v>130</v>
      </c>
      <c r="I64" s="7">
        <v>500</v>
      </c>
      <c r="J64" s="7"/>
      <c r="K64" s="7"/>
      <c r="L64" s="7"/>
      <c r="M64" s="7"/>
      <c r="N64" s="7"/>
      <c r="O64" s="7"/>
      <c r="P64" s="7"/>
      <c r="S64" s="1"/>
    </row>
    <row r="65" spans="3:19" ht="15.75" customHeight="1" x14ac:dyDescent="0.25">
      <c r="C65" s="10">
        <v>52</v>
      </c>
      <c r="D65" s="11">
        <v>45101</v>
      </c>
      <c r="E65" s="10">
        <v>180</v>
      </c>
      <c r="F65" s="22" t="s">
        <v>163</v>
      </c>
      <c r="G65" s="7">
        <v>25</v>
      </c>
      <c r="H65" s="12">
        <v>182</v>
      </c>
      <c r="I65" s="7"/>
      <c r="J65" s="7"/>
      <c r="K65" s="7"/>
      <c r="L65" s="7"/>
      <c r="M65" s="7"/>
      <c r="N65" s="7">
        <v>25</v>
      </c>
      <c r="O65" s="7"/>
      <c r="P65" s="7"/>
      <c r="S65" s="1"/>
    </row>
    <row r="66" spans="3:19" ht="15.75" customHeight="1" x14ac:dyDescent="0.25">
      <c r="C66" s="10">
        <v>53</v>
      </c>
      <c r="D66" s="11">
        <v>45101</v>
      </c>
      <c r="E66" s="10" t="s">
        <v>27</v>
      </c>
      <c r="F66" s="22" t="s">
        <v>30</v>
      </c>
      <c r="G66" s="7">
        <v>100</v>
      </c>
      <c r="H66" s="12">
        <v>200</v>
      </c>
      <c r="I66" s="7"/>
      <c r="J66" s="7"/>
      <c r="K66" s="7"/>
      <c r="L66" s="7"/>
      <c r="M66" s="7"/>
      <c r="N66" s="7">
        <v>100</v>
      </c>
      <c r="O66" s="7"/>
      <c r="P66" s="7"/>
      <c r="S66" s="1"/>
    </row>
    <row r="67" spans="3:19" ht="15.75" customHeight="1" x14ac:dyDescent="0.25">
      <c r="C67" s="10">
        <v>54</v>
      </c>
      <c r="D67" s="11">
        <v>45103</v>
      </c>
      <c r="E67" s="10">
        <v>181</v>
      </c>
      <c r="F67" s="22" t="s">
        <v>96</v>
      </c>
      <c r="G67" s="7">
        <v>5000</v>
      </c>
      <c r="H67" s="12">
        <v>135</v>
      </c>
      <c r="I67" s="7">
        <v>5000</v>
      </c>
      <c r="J67" s="7"/>
      <c r="K67" s="7"/>
      <c r="L67" s="7"/>
      <c r="M67" s="7"/>
      <c r="N67" s="7"/>
      <c r="O67" s="7"/>
      <c r="P67" s="7"/>
      <c r="S67" s="1"/>
    </row>
    <row r="68" spans="3:19" ht="15.75" customHeight="1" x14ac:dyDescent="0.25">
      <c r="C68" s="10">
        <v>55</v>
      </c>
      <c r="D68" s="11">
        <v>45103</v>
      </c>
      <c r="E68" s="10">
        <v>182</v>
      </c>
      <c r="F68" s="22" t="s">
        <v>200</v>
      </c>
      <c r="G68" s="7">
        <v>1000</v>
      </c>
      <c r="H68" s="12">
        <v>189</v>
      </c>
      <c r="I68" s="7"/>
      <c r="J68" s="7"/>
      <c r="K68" s="7"/>
      <c r="L68" s="7"/>
      <c r="M68" s="7"/>
      <c r="N68" s="7"/>
      <c r="O68" s="7"/>
      <c r="P68" s="7">
        <v>1000</v>
      </c>
      <c r="S68" s="1"/>
    </row>
    <row r="69" spans="3:19" ht="15.75" customHeight="1" x14ac:dyDescent="0.25">
      <c r="C69" s="10">
        <v>56</v>
      </c>
      <c r="D69" s="11">
        <v>45103</v>
      </c>
      <c r="E69" s="10" t="s">
        <v>27</v>
      </c>
      <c r="F69" s="22" t="s">
        <v>28</v>
      </c>
      <c r="G69" s="7">
        <v>100</v>
      </c>
      <c r="H69" s="12">
        <v>195</v>
      </c>
      <c r="I69" s="7"/>
      <c r="J69" s="7"/>
      <c r="K69" s="7"/>
      <c r="L69" s="7">
        <v>100</v>
      </c>
      <c r="M69" s="7"/>
      <c r="N69" s="7"/>
      <c r="O69" s="7"/>
      <c r="P69" s="7"/>
      <c r="S69" s="1"/>
    </row>
    <row r="70" spans="3:19" ht="15.75" customHeight="1" x14ac:dyDescent="0.25">
      <c r="C70" s="10">
        <v>57</v>
      </c>
      <c r="D70" s="11">
        <v>45103</v>
      </c>
      <c r="E70" s="10">
        <v>183</v>
      </c>
      <c r="F70" s="22" t="s">
        <v>37</v>
      </c>
      <c r="G70" s="7">
        <v>500</v>
      </c>
      <c r="H70" s="12">
        <v>195</v>
      </c>
      <c r="I70" s="7"/>
      <c r="J70" s="7"/>
      <c r="K70" s="7"/>
      <c r="L70" s="7">
        <v>500</v>
      </c>
      <c r="M70" s="7"/>
      <c r="N70" s="7"/>
      <c r="O70" s="7"/>
      <c r="P70" s="7"/>
      <c r="S70" s="1"/>
    </row>
    <row r="71" spans="3:19" ht="15.75" customHeight="1" x14ac:dyDescent="0.25">
      <c r="C71" s="10">
        <v>58</v>
      </c>
      <c r="D71" s="11">
        <v>45104</v>
      </c>
      <c r="E71" s="10">
        <v>184</v>
      </c>
      <c r="F71" s="22" t="s">
        <v>44</v>
      </c>
      <c r="G71" s="7">
        <v>1000</v>
      </c>
      <c r="H71" s="12">
        <v>175</v>
      </c>
      <c r="I71" s="7"/>
      <c r="J71" s="7">
        <v>1000</v>
      </c>
      <c r="K71" s="7"/>
      <c r="L71" s="7"/>
      <c r="M71" s="7"/>
      <c r="N71" s="7"/>
      <c r="O71" s="7"/>
      <c r="P71" s="7"/>
      <c r="S71" s="1"/>
    </row>
    <row r="72" spans="3:19" ht="15.75" customHeight="1" x14ac:dyDescent="0.25">
      <c r="C72" s="10">
        <v>59</v>
      </c>
      <c r="D72" s="11">
        <v>45104</v>
      </c>
      <c r="E72" s="10">
        <v>185</v>
      </c>
      <c r="F72" s="22" t="s">
        <v>49</v>
      </c>
      <c r="G72" s="7">
        <v>7000</v>
      </c>
      <c r="H72" s="12" t="s">
        <v>201</v>
      </c>
      <c r="I72" s="7"/>
      <c r="J72" s="7">
        <v>5000</v>
      </c>
      <c r="K72" s="7"/>
      <c r="L72" s="7">
        <v>2000</v>
      </c>
      <c r="M72" s="7"/>
      <c r="N72" s="7"/>
      <c r="O72" s="7"/>
      <c r="P72" s="7"/>
      <c r="S72" s="1"/>
    </row>
    <row r="73" spans="3:19" ht="15.75" customHeight="1" x14ac:dyDescent="0.25">
      <c r="C73" s="10">
        <v>60</v>
      </c>
      <c r="D73" s="11">
        <v>45105</v>
      </c>
      <c r="E73" s="10">
        <v>186</v>
      </c>
      <c r="F73" s="22" t="s">
        <v>26</v>
      </c>
      <c r="G73" s="7">
        <v>125</v>
      </c>
      <c r="H73" s="12">
        <v>205</v>
      </c>
      <c r="I73" s="7"/>
      <c r="J73" s="7"/>
      <c r="K73" s="7"/>
      <c r="L73" s="7"/>
      <c r="M73" s="7"/>
      <c r="N73" s="7"/>
      <c r="O73" s="7"/>
      <c r="P73" s="7">
        <v>125</v>
      </c>
      <c r="S73" s="1"/>
    </row>
    <row r="74" spans="3:19" ht="15.75" customHeight="1" x14ac:dyDescent="0.25">
      <c r="C74" s="10">
        <v>61</v>
      </c>
      <c r="D74" s="11">
        <v>45105</v>
      </c>
      <c r="E74" s="10">
        <v>187</v>
      </c>
      <c r="F74" s="22" t="s">
        <v>24</v>
      </c>
      <c r="G74" s="7">
        <v>200</v>
      </c>
      <c r="H74" s="12">
        <v>185</v>
      </c>
      <c r="I74" s="7"/>
      <c r="J74" s="7"/>
      <c r="K74" s="7"/>
      <c r="L74" s="7"/>
      <c r="M74" s="7"/>
      <c r="N74" s="7"/>
      <c r="O74" s="7">
        <v>200</v>
      </c>
      <c r="P74" s="7"/>
      <c r="S74" s="1"/>
    </row>
    <row r="75" spans="3:19" ht="15.75" customHeight="1" x14ac:dyDescent="0.25">
      <c r="C75" s="10">
        <v>62</v>
      </c>
      <c r="D75" s="11">
        <v>45105</v>
      </c>
      <c r="E75" s="10">
        <v>188</v>
      </c>
      <c r="F75" s="22" t="s">
        <v>148</v>
      </c>
      <c r="G75" s="7">
        <v>1000</v>
      </c>
      <c r="H75" s="12">
        <v>184</v>
      </c>
      <c r="I75" s="7"/>
      <c r="J75" s="7"/>
      <c r="K75" s="7"/>
      <c r="L75" s="7"/>
      <c r="M75" s="7"/>
      <c r="N75" s="7"/>
      <c r="O75" s="7"/>
      <c r="P75" s="7">
        <v>1000</v>
      </c>
    </row>
    <row r="76" spans="3:19" ht="15.75" customHeight="1" x14ac:dyDescent="0.25">
      <c r="C76" s="10">
        <v>63</v>
      </c>
      <c r="D76" s="11">
        <v>44985</v>
      </c>
      <c r="E76" s="10">
        <v>189</v>
      </c>
      <c r="F76" s="22" t="s">
        <v>190</v>
      </c>
      <c r="G76" s="7">
        <v>2000</v>
      </c>
      <c r="H76" s="12">
        <v>125</v>
      </c>
      <c r="I76" s="7">
        <v>2000</v>
      </c>
      <c r="J76" s="7"/>
      <c r="K76" s="7"/>
      <c r="L76" s="7"/>
      <c r="M76" s="7"/>
      <c r="N76" s="7"/>
      <c r="O76" s="7"/>
      <c r="P76" s="7"/>
    </row>
    <row r="77" spans="3:19" ht="15.75" customHeight="1" x14ac:dyDescent="0.25">
      <c r="C77" s="10">
        <v>64</v>
      </c>
      <c r="D77" s="11">
        <v>45106</v>
      </c>
      <c r="E77" s="10">
        <v>190</v>
      </c>
      <c r="F77" s="22" t="s">
        <v>202</v>
      </c>
      <c r="G77" s="7">
        <v>2500</v>
      </c>
      <c r="H77" s="12">
        <v>179</v>
      </c>
      <c r="I77" s="7"/>
      <c r="J77" s="7"/>
      <c r="K77" s="7"/>
      <c r="L77" s="7">
        <v>2500</v>
      </c>
      <c r="M77" s="7"/>
      <c r="N77" s="7"/>
      <c r="O77" s="7"/>
      <c r="P77" s="7"/>
    </row>
    <row r="78" spans="3:19" ht="15.75" customHeight="1" x14ac:dyDescent="0.25">
      <c r="C78" s="10">
        <v>5</v>
      </c>
      <c r="D78" s="11"/>
      <c r="E78" s="10"/>
      <c r="F78" s="22"/>
      <c r="G78" s="7"/>
      <c r="H78" s="12"/>
      <c r="I78" s="7"/>
      <c r="J78" s="7"/>
      <c r="K78" s="7"/>
      <c r="L78" s="7"/>
      <c r="M78" s="7"/>
      <c r="N78" s="7"/>
      <c r="O78" s="7"/>
      <c r="P78" s="7"/>
    </row>
    <row r="79" spans="3:19" ht="15.75" customHeight="1" x14ac:dyDescent="0.25">
      <c r="C79" s="10">
        <v>66</v>
      </c>
      <c r="D79" s="11"/>
      <c r="E79" s="10"/>
      <c r="F79" s="22"/>
      <c r="G79" s="7"/>
      <c r="H79" s="12"/>
      <c r="I79" s="7"/>
      <c r="J79" s="7"/>
      <c r="K79" s="7"/>
      <c r="L79" s="7"/>
      <c r="M79" s="7"/>
      <c r="N79" s="7"/>
      <c r="O79" s="7"/>
      <c r="P79" s="7"/>
    </row>
    <row r="80" spans="3:19" ht="15.75" customHeight="1" x14ac:dyDescent="0.25">
      <c r="C80" s="10">
        <v>67</v>
      </c>
      <c r="D80" s="11"/>
      <c r="E80" s="10"/>
      <c r="F80" s="22"/>
      <c r="G80" s="7"/>
      <c r="H80" s="12"/>
      <c r="I80" s="7"/>
      <c r="J80" s="7"/>
      <c r="K80" s="7"/>
      <c r="L80" s="7"/>
      <c r="M80" s="7"/>
      <c r="N80" s="7"/>
      <c r="O80" s="7"/>
      <c r="P80" s="7"/>
    </row>
    <row r="81" spans="3:16" ht="15.75" customHeight="1" x14ac:dyDescent="0.25">
      <c r="C81" s="10">
        <v>68</v>
      </c>
      <c r="D81" s="11"/>
      <c r="E81" s="10"/>
      <c r="F81" s="22"/>
      <c r="G81" s="7"/>
      <c r="H81" s="12"/>
      <c r="I81" s="7"/>
      <c r="J81" s="7"/>
      <c r="K81" s="7"/>
      <c r="L81" s="7"/>
      <c r="M81" s="7"/>
      <c r="N81" s="7"/>
      <c r="O81" s="7"/>
      <c r="P81" s="7"/>
    </row>
    <row r="82" spans="3:16" ht="15.75" customHeight="1" x14ac:dyDescent="0.25">
      <c r="C82" s="10">
        <v>69</v>
      </c>
      <c r="D82" s="11"/>
      <c r="E82" s="10"/>
      <c r="F82" s="22"/>
      <c r="G82" s="7"/>
      <c r="H82" s="12"/>
      <c r="I82" s="7"/>
      <c r="J82" s="7"/>
      <c r="K82" s="7"/>
      <c r="L82" s="7"/>
      <c r="M82" s="7"/>
      <c r="N82" s="7"/>
      <c r="O82" s="7"/>
      <c r="P82" s="7"/>
    </row>
    <row r="83" spans="3:16" ht="15.75" customHeight="1" x14ac:dyDescent="0.25">
      <c r="C83" s="10">
        <v>70</v>
      </c>
      <c r="D83" s="11"/>
      <c r="E83" s="10"/>
      <c r="F83" s="22"/>
      <c r="G83" s="7"/>
      <c r="H83" s="12"/>
      <c r="I83" s="7"/>
      <c r="J83" s="7"/>
      <c r="K83" s="7"/>
      <c r="L83" s="7"/>
      <c r="M83" s="7"/>
      <c r="N83" s="7"/>
      <c r="O83" s="7"/>
      <c r="P83" s="7"/>
    </row>
    <row r="84" spans="3:16" ht="15.75" customHeight="1" x14ac:dyDescent="0.25">
      <c r="C84" s="13" t="s">
        <v>3</v>
      </c>
      <c r="D84" s="14"/>
      <c r="E84" s="13"/>
      <c r="F84" s="25"/>
      <c r="G84" s="14">
        <f>SUM(G14:G83)</f>
        <v>76095</v>
      </c>
      <c r="H84" s="14"/>
      <c r="I84" s="14">
        <f>SUM('June 2023'!$I$14:$I$83)</f>
        <v>37820</v>
      </c>
      <c r="J84" s="14">
        <f>SUM('June 2023'!$J$14:$J$83)</f>
        <v>12975</v>
      </c>
      <c r="K84" s="14">
        <f>SUM('June 2023'!$K$14:$K$83)</f>
        <v>0</v>
      </c>
      <c r="L84" s="14">
        <f>SUM('June 2023'!$L$14:$L$83)</f>
        <v>6875</v>
      </c>
      <c r="M84" s="14">
        <f>SUM('June 2023'!$M$14:$M$83)</f>
        <v>1050</v>
      </c>
      <c r="N84" s="14">
        <f>SUM('June 2023'!$N$14:$N$83)</f>
        <v>3025</v>
      </c>
      <c r="O84" s="14">
        <f>SUM('June 2023'!$O$14:$O$83)</f>
        <v>4400</v>
      </c>
      <c r="P84" s="14">
        <f>SUM('June 2023'!$P$14:$P$83)</f>
        <v>10350</v>
      </c>
    </row>
    <row r="85" spans="3:16" ht="15.75" customHeight="1" x14ac:dyDescent="0.25">
      <c r="C85" s="1"/>
      <c r="E85" s="1"/>
      <c r="F85" s="16"/>
    </row>
    <row r="86" spans="3:16" ht="15.75" customHeight="1" x14ac:dyDescent="0.25">
      <c r="C86" s="1"/>
      <c r="D86" s="1"/>
      <c r="E86" s="1"/>
      <c r="F86" s="16"/>
      <c r="I86" s="33">
        <f>SUM('June 2023'!$I$84:'June 2023'!$P$84)</f>
        <v>76495</v>
      </c>
    </row>
    <row r="87" spans="3:16" ht="15.75" customHeight="1" x14ac:dyDescent="0.25">
      <c r="E87" s="1"/>
      <c r="F87" s="16"/>
    </row>
    <row r="88" spans="3:16" ht="15.75" customHeight="1" x14ac:dyDescent="0.25"/>
    <row r="89" spans="3:16" ht="15.75" customHeight="1" x14ac:dyDescent="0.25"/>
    <row r="90" spans="3:16" ht="15.75" customHeight="1" x14ac:dyDescent="0.25"/>
    <row r="91" spans="3:16" ht="15.75" customHeight="1" x14ac:dyDescent="0.25"/>
    <row r="92" spans="3:16" ht="15.75" customHeight="1" x14ac:dyDescent="0.25"/>
    <row r="93" spans="3:16" ht="15.75" customHeight="1" x14ac:dyDescent="0.25"/>
    <row r="94" spans="3:16" ht="15.75" customHeight="1" x14ac:dyDescent="0.25"/>
    <row r="95" spans="3:16" ht="15.75" customHeight="1" x14ac:dyDescent="0.25"/>
    <row r="96" spans="3:1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S28:U28"/>
    <mergeCell ref="S29:U29"/>
    <mergeCell ref="S30:U30"/>
    <mergeCell ref="S13:V13"/>
    <mergeCell ref="S14:U14"/>
    <mergeCell ref="S25:U25"/>
    <mergeCell ref="S26:U26"/>
    <mergeCell ref="S27:U27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W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11.7109375" customWidth="1"/>
    <col min="5" max="7" width="8.7109375" customWidth="1"/>
    <col min="8" max="8" width="12" customWidth="1"/>
    <col min="9" max="18" width="8.7109375" customWidth="1"/>
    <col min="19" max="19" width="11.5703125" customWidth="1"/>
    <col min="20" max="20" width="10" customWidth="1"/>
    <col min="21" max="21" width="13.85546875" customWidth="1"/>
    <col min="22" max="22" width="21.140625" customWidth="1"/>
    <col min="23" max="23" width="9.5703125" customWidth="1"/>
    <col min="24" max="26" width="8.7109375" customWidth="1"/>
  </cols>
  <sheetData>
    <row r="3" spans="3:23" x14ac:dyDescent="0.25">
      <c r="R3" s="1"/>
    </row>
    <row r="4" spans="3:23" ht="17.25" x14ac:dyDescent="0.3">
      <c r="C4" s="1"/>
      <c r="D4" s="2" t="s">
        <v>203</v>
      </c>
      <c r="E4" s="17"/>
      <c r="F4" s="18"/>
      <c r="G4" s="2"/>
      <c r="H4" s="2"/>
      <c r="I4" s="2"/>
      <c r="J4" s="2"/>
      <c r="K4" s="2"/>
      <c r="L4" s="2"/>
      <c r="M4" s="3"/>
      <c r="N4" s="3"/>
      <c r="O4" s="19" t="s">
        <v>88</v>
      </c>
      <c r="P4" s="26" t="s">
        <v>2</v>
      </c>
      <c r="Q4" s="27" t="s">
        <v>117</v>
      </c>
      <c r="R4" s="1"/>
    </row>
    <row r="5" spans="3:23" x14ac:dyDescent="0.25">
      <c r="C5" s="1"/>
      <c r="D5" s="4" t="s">
        <v>1</v>
      </c>
      <c r="E5" s="9" t="s">
        <v>2</v>
      </c>
      <c r="F5" s="37">
        <v>1799</v>
      </c>
      <c r="G5" s="4">
        <v>2099</v>
      </c>
      <c r="H5" s="4">
        <v>2699</v>
      </c>
      <c r="I5" s="4">
        <v>588</v>
      </c>
      <c r="J5" s="4">
        <v>2088</v>
      </c>
      <c r="K5" s="4">
        <v>2488</v>
      </c>
      <c r="L5" s="4">
        <v>2688</v>
      </c>
      <c r="M5" s="5">
        <v>3099</v>
      </c>
      <c r="N5" s="5" t="s">
        <v>3</v>
      </c>
      <c r="R5" s="1"/>
    </row>
    <row r="6" spans="3:23" ht="17.25" x14ac:dyDescent="0.3">
      <c r="C6" s="1"/>
      <c r="D6" s="6" t="s">
        <v>4</v>
      </c>
      <c r="E6" s="10">
        <f>'July 2023'!$I$84</f>
        <v>22880</v>
      </c>
      <c r="F6" s="12">
        <f>'July 2023'!$J$84</f>
        <v>16775</v>
      </c>
      <c r="G6" s="7">
        <f>'July 2023'!$K$84</f>
        <v>0</v>
      </c>
      <c r="H6" s="7">
        <f>'July 2023'!$L$84</f>
        <v>12675</v>
      </c>
      <c r="I6" s="7">
        <f>'July 2023'!$M$84</f>
        <v>1125</v>
      </c>
      <c r="J6" s="7">
        <f>'July 2023'!$N$84</f>
        <v>18225</v>
      </c>
      <c r="K6" s="7">
        <f>'July 2023'!$O$84</f>
        <v>15925</v>
      </c>
      <c r="L6" s="7">
        <f>'July 2023'!$P$84</f>
        <v>8150</v>
      </c>
      <c r="M6" s="38">
        <f>'July 2023'!$Q$84</f>
        <v>1650</v>
      </c>
      <c r="N6" s="8">
        <f>SUM(E6:M6)</f>
        <v>97405</v>
      </c>
      <c r="O6" s="28">
        <f>SUM(F6:M6)</f>
        <v>74525</v>
      </c>
      <c r="P6" s="29">
        <f>E6</f>
        <v>22880</v>
      </c>
      <c r="Q6" s="30">
        <f>SUM(O6,P6)</f>
        <v>97405</v>
      </c>
      <c r="R6" s="1"/>
    </row>
    <row r="7" spans="3:23" x14ac:dyDescent="0.25">
      <c r="C7" s="1"/>
      <c r="D7" s="6" t="s">
        <v>5</v>
      </c>
      <c r="E7" s="10"/>
      <c r="F7" s="12"/>
      <c r="G7" s="7"/>
      <c r="H7" s="7"/>
      <c r="I7" s="7"/>
      <c r="J7" s="7"/>
      <c r="K7" s="7"/>
      <c r="L7" s="7"/>
      <c r="M7" s="7"/>
      <c r="N7" s="7"/>
      <c r="R7" s="1"/>
    </row>
    <row r="8" spans="3:23" x14ac:dyDescent="0.25">
      <c r="C8" s="1"/>
      <c r="D8" s="6" t="s">
        <v>6</v>
      </c>
      <c r="E8" s="10"/>
      <c r="F8" s="12"/>
      <c r="G8" s="7"/>
      <c r="H8" s="7"/>
      <c r="I8" s="7"/>
      <c r="J8" s="7"/>
      <c r="K8" s="7"/>
      <c r="L8" s="7"/>
      <c r="M8" s="7"/>
      <c r="N8" s="7"/>
      <c r="R8" s="1"/>
    </row>
    <row r="9" spans="3:23" x14ac:dyDescent="0.25">
      <c r="C9" s="1"/>
      <c r="D9" s="6" t="s">
        <v>7</v>
      </c>
      <c r="E9" s="10"/>
      <c r="F9" s="12"/>
      <c r="G9" s="7"/>
      <c r="H9" s="7"/>
      <c r="I9" s="7"/>
      <c r="J9" s="7"/>
      <c r="K9" s="7"/>
      <c r="L9" s="7"/>
      <c r="M9" s="7"/>
      <c r="N9" s="7"/>
      <c r="R9" s="1"/>
    </row>
    <row r="10" spans="3:23" x14ac:dyDescent="0.25">
      <c r="C10" s="1"/>
      <c r="E10" s="1"/>
      <c r="F10" s="16"/>
      <c r="R10" s="1"/>
    </row>
    <row r="11" spans="3:23" x14ac:dyDescent="0.25">
      <c r="C11" s="1"/>
      <c r="E11" s="1"/>
      <c r="F11" s="16"/>
      <c r="R11" s="1"/>
    </row>
    <row r="12" spans="3:23" x14ac:dyDescent="0.25">
      <c r="C12" s="1"/>
      <c r="E12" s="1"/>
      <c r="F12" s="16"/>
      <c r="R12" s="1"/>
    </row>
    <row r="13" spans="3:23" ht="15.75" x14ac:dyDescent="0.25">
      <c r="C13" s="9" t="s">
        <v>8</v>
      </c>
      <c r="D13" s="4" t="s">
        <v>9</v>
      </c>
      <c r="E13" s="9" t="s">
        <v>10</v>
      </c>
      <c r="F13" s="20" t="s">
        <v>11</v>
      </c>
      <c r="G13" s="4" t="s">
        <v>4</v>
      </c>
      <c r="H13" s="4" t="s">
        <v>12</v>
      </c>
      <c r="I13" s="4" t="s">
        <v>2</v>
      </c>
      <c r="J13" s="4" t="s">
        <v>13</v>
      </c>
      <c r="K13" s="4" t="s">
        <v>14</v>
      </c>
      <c r="L13" s="4" t="s">
        <v>15</v>
      </c>
      <c r="M13" s="4" t="s">
        <v>16</v>
      </c>
      <c r="N13" s="4" t="s">
        <v>17</v>
      </c>
      <c r="O13" s="4" t="s">
        <v>18</v>
      </c>
      <c r="P13" s="4" t="s">
        <v>19</v>
      </c>
      <c r="Q13" s="39" t="s">
        <v>204</v>
      </c>
      <c r="T13" s="101" t="s">
        <v>118</v>
      </c>
      <c r="U13" s="102"/>
      <c r="V13" s="102"/>
      <c r="W13" s="102"/>
    </row>
    <row r="14" spans="3:23" x14ac:dyDescent="0.25">
      <c r="C14" s="10">
        <v>1</v>
      </c>
      <c r="D14" s="11">
        <v>45108</v>
      </c>
      <c r="E14" s="10">
        <v>195</v>
      </c>
      <c r="F14" s="22" t="s">
        <v>71</v>
      </c>
      <c r="G14" s="7">
        <v>250</v>
      </c>
      <c r="H14" s="12">
        <v>169</v>
      </c>
      <c r="I14" s="7"/>
      <c r="J14" s="7" t="s">
        <v>84</v>
      </c>
      <c r="K14" s="7"/>
      <c r="L14" s="7" t="s">
        <v>84</v>
      </c>
      <c r="M14" s="7"/>
      <c r="N14" s="7"/>
      <c r="O14" s="7">
        <v>250</v>
      </c>
      <c r="P14" s="7" t="s">
        <v>84</v>
      </c>
      <c r="Q14" s="40"/>
      <c r="T14" s="97" t="s">
        <v>172</v>
      </c>
      <c r="U14" s="98"/>
      <c r="V14" s="98"/>
      <c r="W14" s="34"/>
    </row>
    <row r="15" spans="3:23" x14ac:dyDescent="0.25">
      <c r="C15" s="10">
        <v>2</v>
      </c>
      <c r="D15" s="11">
        <v>45108</v>
      </c>
      <c r="E15" s="10">
        <v>196</v>
      </c>
      <c r="F15" s="22" t="s">
        <v>205</v>
      </c>
      <c r="G15" s="7">
        <v>3000</v>
      </c>
      <c r="H15" s="12">
        <v>167</v>
      </c>
      <c r="I15" s="7"/>
      <c r="J15" s="7"/>
      <c r="K15" s="7"/>
      <c r="L15" s="7"/>
      <c r="M15" s="7"/>
      <c r="N15" s="7"/>
      <c r="O15" s="7">
        <v>3000</v>
      </c>
      <c r="P15" s="7"/>
      <c r="Q15" s="7"/>
      <c r="T15" s="10" t="s">
        <v>121</v>
      </c>
      <c r="U15" s="7" t="s">
        <v>9</v>
      </c>
      <c r="V15" s="7" t="s">
        <v>122</v>
      </c>
      <c r="W15" s="7" t="s">
        <v>4</v>
      </c>
    </row>
    <row r="16" spans="3:23" x14ac:dyDescent="0.25">
      <c r="C16" s="10">
        <v>3</v>
      </c>
      <c r="D16" s="11">
        <v>45108</v>
      </c>
      <c r="E16" s="10" t="s">
        <v>27</v>
      </c>
      <c r="F16" s="22" t="s">
        <v>206</v>
      </c>
      <c r="G16" s="7">
        <v>1000</v>
      </c>
      <c r="H16" s="12">
        <v>179</v>
      </c>
      <c r="I16" s="7"/>
      <c r="J16" s="7"/>
      <c r="K16" s="7"/>
      <c r="L16" s="7">
        <v>500</v>
      </c>
      <c r="M16" s="7"/>
      <c r="N16" s="7"/>
      <c r="O16" s="7"/>
      <c r="P16" s="7">
        <v>500</v>
      </c>
      <c r="Q16" s="7"/>
      <c r="T16" s="10">
        <v>1</v>
      </c>
      <c r="U16" s="41">
        <v>45122</v>
      </c>
      <c r="V16" s="7" t="s">
        <v>207</v>
      </c>
      <c r="W16" s="7">
        <v>17001</v>
      </c>
    </row>
    <row r="17" spans="3:23" x14ac:dyDescent="0.25">
      <c r="C17" s="10">
        <v>4</v>
      </c>
      <c r="D17" s="11">
        <v>45110</v>
      </c>
      <c r="E17" s="10">
        <v>197</v>
      </c>
      <c r="F17" s="22" t="s">
        <v>80</v>
      </c>
      <c r="G17" s="7">
        <v>1000</v>
      </c>
      <c r="H17" s="31">
        <v>151</v>
      </c>
      <c r="I17" s="7"/>
      <c r="J17" s="7">
        <v>1000</v>
      </c>
      <c r="K17" s="7"/>
      <c r="L17" s="7"/>
      <c r="M17" s="7"/>
      <c r="N17" s="7"/>
      <c r="O17" s="7"/>
      <c r="P17" s="7"/>
      <c r="Q17" s="7"/>
      <c r="T17" s="10">
        <v>2</v>
      </c>
      <c r="U17" s="41">
        <v>45135</v>
      </c>
      <c r="V17" s="7" t="s">
        <v>207</v>
      </c>
      <c r="W17" s="7">
        <v>18607</v>
      </c>
    </row>
    <row r="18" spans="3:23" x14ac:dyDescent="0.25">
      <c r="C18" s="10">
        <v>5</v>
      </c>
      <c r="D18" s="11">
        <v>45112</v>
      </c>
      <c r="E18" s="10">
        <v>200</v>
      </c>
      <c r="F18" s="22" t="s">
        <v>142</v>
      </c>
      <c r="G18" s="7">
        <v>650</v>
      </c>
      <c r="H18" s="12">
        <v>172</v>
      </c>
      <c r="I18" s="7"/>
      <c r="J18" s="7"/>
      <c r="K18" s="7"/>
      <c r="L18" s="7"/>
      <c r="M18" s="7"/>
      <c r="N18" s="7"/>
      <c r="O18" s="7">
        <v>650</v>
      </c>
      <c r="P18" s="7"/>
      <c r="Q18" s="7"/>
      <c r="T18" s="10">
        <v>3</v>
      </c>
      <c r="U18" s="11"/>
      <c r="V18" s="7"/>
      <c r="W18" s="7"/>
    </row>
    <row r="19" spans="3:23" x14ac:dyDescent="0.25">
      <c r="C19" s="10">
        <v>6</v>
      </c>
      <c r="D19" s="11">
        <v>45112</v>
      </c>
      <c r="E19" s="10" t="s">
        <v>27</v>
      </c>
      <c r="F19" s="22" t="s">
        <v>28</v>
      </c>
      <c r="G19" s="7">
        <v>200</v>
      </c>
      <c r="H19" s="12">
        <v>162</v>
      </c>
      <c r="I19" s="7"/>
      <c r="J19" s="7">
        <v>200</v>
      </c>
      <c r="K19" s="7"/>
      <c r="L19" s="7"/>
      <c r="M19" s="7"/>
      <c r="N19" s="7"/>
      <c r="O19" s="7"/>
      <c r="P19" s="7"/>
      <c r="Q19" s="7"/>
      <c r="T19" s="10">
        <v>4</v>
      </c>
      <c r="U19" s="11"/>
      <c r="V19" s="7"/>
      <c r="W19" s="32"/>
    </row>
    <row r="20" spans="3:23" x14ac:dyDescent="0.25">
      <c r="C20" s="10">
        <v>7</v>
      </c>
      <c r="D20" s="11">
        <v>45113</v>
      </c>
      <c r="E20" s="10">
        <v>202</v>
      </c>
      <c r="F20" s="22" t="s">
        <v>140</v>
      </c>
      <c r="G20" s="7">
        <v>1000</v>
      </c>
      <c r="H20" s="12">
        <v>168</v>
      </c>
      <c r="I20" s="7"/>
      <c r="J20" s="7"/>
      <c r="K20" s="7"/>
      <c r="L20" s="7"/>
      <c r="M20" s="7"/>
      <c r="N20" s="7">
        <v>1000</v>
      </c>
      <c r="O20" s="7"/>
      <c r="P20" s="7"/>
      <c r="Q20" s="7"/>
      <c r="T20" s="10">
        <v>5</v>
      </c>
      <c r="U20" s="11"/>
      <c r="V20" s="7"/>
      <c r="W20" s="7"/>
    </row>
    <row r="21" spans="3:23" ht="15.75" customHeight="1" x14ac:dyDescent="0.25">
      <c r="C21" s="10">
        <v>8</v>
      </c>
      <c r="D21" s="11">
        <v>45113</v>
      </c>
      <c r="E21" s="10">
        <v>203</v>
      </c>
      <c r="F21" s="22" t="s">
        <v>49</v>
      </c>
      <c r="G21" s="7">
        <v>3125</v>
      </c>
      <c r="H21" s="12" t="s">
        <v>208</v>
      </c>
      <c r="I21" s="7"/>
      <c r="J21" s="7"/>
      <c r="K21" s="7"/>
      <c r="L21" s="7"/>
      <c r="M21" s="7">
        <v>1125</v>
      </c>
      <c r="N21" s="7"/>
      <c r="O21" s="7">
        <v>2000</v>
      </c>
      <c r="P21" s="7"/>
      <c r="Q21" s="7"/>
      <c r="T21" s="10">
        <v>6</v>
      </c>
      <c r="U21" s="11"/>
      <c r="V21" s="7"/>
      <c r="W21" s="7"/>
    </row>
    <row r="22" spans="3:23" ht="15.75" customHeight="1" x14ac:dyDescent="0.25">
      <c r="C22" s="10">
        <v>9</v>
      </c>
      <c r="D22" s="11">
        <v>45113</v>
      </c>
      <c r="E22" s="10">
        <v>204</v>
      </c>
      <c r="F22" s="22" t="s">
        <v>175</v>
      </c>
      <c r="G22" s="7">
        <v>145</v>
      </c>
      <c r="H22" s="12" t="s">
        <v>209</v>
      </c>
      <c r="I22" s="7">
        <v>120</v>
      </c>
      <c r="J22" s="7"/>
      <c r="K22" s="7"/>
      <c r="L22" s="7">
        <v>25</v>
      </c>
      <c r="M22" s="7"/>
      <c r="N22" s="7"/>
      <c r="O22" s="7"/>
      <c r="P22" s="7"/>
      <c r="Q22" s="7"/>
      <c r="T22" s="10">
        <v>7</v>
      </c>
      <c r="U22" s="11"/>
      <c r="V22" s="7"/>
      <c r="W22" s="7"/>
    </row>
    <row r="23" spans="3:23" ht="15.75" customHeight="1" x14ac:dyDescent="0.25">
      <c r="C23" s="10">
        <v>10</v>
      </c>
      <c r="D23" s="11">
        <v>45113</v>
      </c>
      <c r="E23" s="10">
        <v>205</v>
      </c>
      <c r="F23" s="22" t="s">
        <v>48</v>
      </c>
      <c r="G23" s="7">
        <v>100</v>
      </c>
      <c r="H23" s="12">
        <v>128</v>
      </c>
      <c r="I23" s="7">
        <v>100</v>
      </c>
      <c r="J23" s="7"/>
      <c r="K23" s="7"/>
      <c r="L23" s="7"/>
      <c r="M23" s="7"/>
      <c r="N23" s="7"/>
      <c r="O23" s="7"/>
      <c r="P23" s="7"/>
      <c r="Q23" s="7"/>
      <c r="T23" s="10">
        <v>8</v>
      </c>
      <c r="U23" s="11"/>
      <c r="V23" s="7"/>
      <c r="W23" s="7"/>
    </row>
    <row r="24" spans="3:23" ht="15.75" customHeight="1" x14ac:dyDescent="0.25">
      <c r="C24" s="10">
        <v>11</v>
      </c>
      <c r="D24" s="11">
        <v>45114</v>
      </c>
      <c r="E24" s="10">
        <v>206</v>
      </c>
      <c r="F24" s="22" t="s">
        <v>163</v>
      </c>
      <c r="G24" s="7">
        <v>150</v>
      </c>
      <c r="H24" s="12">
        <v>172</v>
      </c>
      <c r="I24" s="7"/>
      <c r="J24" s="7"/>
      <c r="K24" s="7"/>
      <c r="L24" s="7"/>
      <c r="M24" s="7"/>
      <c r="N24" s="7"/>
      <c r="O24" s="7"/>
      <c r="P24" s="7">
        <v>150</v>
      </c>
      <c r="Q24" s="7"/>
      <c r="T24" s="10"/>
      <c r="U24" s="7"/>
      <c r="V24" s="7"/>
      <c r="W24" s="7"/>
    </row>
    <row r="25" spans="3:23" ht="15.75" customHeight="1" x14ac:dyDescent="0.25">
      <c r="C25" s="10">
        <v>12</v>
      </c>
      <c r="D25" s="11">
        <v>45114</v>
      </c>
      <c r="E25" s="10">
        <v>207</v>
      </c>
      <c r="F25" s="22" t="s">
        <v>140</v>
      </c>
      <c r="G25" s="7">
        <v>300</v>
      </c>
      <c r="H25" s="12">
        <v>130</v>
      </c>
      <c r="I25" s="7">
        <v>300</v>
      </c>
      <c r="J25" s="7"/>
      <c r="K25" s="7"/>
      <c r="L25" s="7"/>
      <c r="M25" s="7"/>
      <c r="N25" s="7"/>
      <c r="O25" s="7"/>
      <c r="P25" s="7"/>
      <c r="Q25" s="7"/>
      <c r="T25" s="97" t="s">
        <v>181</v>
      </c>
      <c r="U25" s="98"/>
      <c r="V25" s="99"/>
      <c r="W25" s="7">
        <f>SUM(W16:W23)</f>
        <v>35608</v>
      </c>
    </row>
    <row r="26" spans="3:23" ht="15.75" customHeight="1" x14ac:dyDescent="0.25">
      <c r="C26" s="10">
        <v>13</v>
      </c>
      <c r="D26" s="11">
        <v>45115</v>
      </c>
      <c r="E26" s="10">
        <v>208</v>
      </c>
      <c r="F26" s="22" t="s">
        <v>80</v>
      </c>
      <c r="G26" s="7">
        <v>20</v>
      </c>
      <c r="H26" s="12">
        <v>135</v>
      </c>
      <c r="I26" s="7">
        <v>20</v>
      </c>
      <c r="J26" s="7"/>
      <c r="K26" s="7"/>
      <c r="L26" s="7"/>
      <c r="M26" s="7"/>
      <c r="N26" s="7"/>
      <c r="O26" s="7"/>
      <c r="P26" s="7"/>
      <c r="Q26" s="7"/>
      <c r="T26" s="97" t="s">
        <v>183</v>
      </c>
      <c r="U26" s="98"/>
      <c r="V26" s="99"/>
      <c r="W26" s="7">
        <v>108793</v>
      </c>
    </row>
    <row r="27" spans="3:23" ht="15.75" customHeight="1" x14ac:dyDescent="0.25">
      <c r="C27" s="10">
        <v>14</v>
      </c>
      <c r="D27" s="11">
        <v>45115</v>
      </c>
      <c r="E27" s="10" t="s">
        <v>210</v>
      </c>
      <c r="F27" s="22" t="s">
        <v>32</v>
      </c>
      <c r="G27" s="7">
        <v>625</v>
      </c>
      <c r="H27" s="12">
        <v>170</v>
      </c>
      <c r="I27" s="7"/>
      <c r="J27" s="7"/>
      <c r="K27" s="7"/>
      <c r="L27" s="7"/>
      <c r="M27" s="7"/>
      <c r="N27" s="7"/>
      <c r="O27" s="7">
        <v>625</v>
      </c>
      <c r="P27" s="7"/>
      <c r="Q27" s="7"/>
      <c r="T27" s="97" t="s">
        <v>184</v>
      </c>
      <c r="U27" s="98"/>
      <c r="V27" s="99"/>
      <c r="W27" s="35">
        <f>SUM(W25,W26)</f>
        <v>144401</v>
      </c>
    </row>
    <row r="28" spans="3:23" ht="15.75" customHeight="1" x14ac:dyDescent="0.25">
      <c r="C28" s="10">
        <v>15</v>
      </c>
      <c r="D28" s="11">
        <v>45116</v>
      </c>
      <c r="E28" s="10">
        <v>209</v>
      </c>
      <c r="F28" s="22" t="s">
        <v>51</v>
      </c>
      <c r="G28" s="7">
        <v>5000</v>
      </c>
      <c r="H28" s="12">
        <v>192</v>
      </c>
      <c r="I28" s="7"/>
      <c r="J28" s="7"/>
      <c r="K28" s="7"/>
      <c r="L28" s="7"/>
      <c r="M28" s="7"/>
      <c r="N28" s="7">
        <v>5000</v>
      </c>
      <c r="O28" s="7"/>
      <c r="P28" s="7"/>
      <c r="Q28" s="7"/>
      <c r="T28" s="97" t="s">
        <v>186</v>
      </c>
      <c r="U28" s="98"/>
      <c r="V28" s="99"/>
      <c r="W28" s="7">
        <f>'July 2023'!$I$84</f>
        <v>22880</v>
      </c>
    </row>
    <row r="29" spans="3:23" ht="15.75" customHeight="1" x14ac:dyDescent="0.25">
      <c r="C29" s="10">
        <v>16</v>
      </c>
      <c r="D29" s="11">
        <v>45117</v>
      </c>
      <c r="E29" s="24">
        <v>210</v>
      </c>
      <c r="F29" s="22" t="s">
        <v>37</v>
      </c>
      <c r="G29" s="7">
        <v>500</v>
      </c>
      <c r="H29" s="12">
        <v>190</v>
      </c>
      <c r="I29" s="7"/>
      <c r="J29" s="7"/>
      <c r="K29" s="7"/>
      <c r="L29" s="7">
        <v>500</v>
      </c>
      <c r="M29" s="7"/>
      <c r="N29" s="7"/>
      <c r="O29" s="7"/>
      <c r="P29" s="7"/>
      <c r="Q29" s="7"/>
      <c r="T29" s="97"/>
      <c r="U29" s="98"/>
      <c r="V29" s="99"/>
      <c r="W29" s="7"/>
    </row>
    <row r="30" spans="3:23" ht="15.75" customHeight="1" x14ac:dyDescent="0.25">
      <c r="C30" s="10">
        <v>17</v>
      </c>
      <c r="D30" s="11">
        <v>45117</v>
      </c>
      <c r="E30" s="10">
        <v>211</v>
      </c>
      <c r="F30" s="22" t="s">
        <v>49</v>
      </c>
      <c r="G30" s="7">
        <v>5000</v>
      </c>
      <c r="H30" s="12">
        <v>148</v>
      </c>
      <c r="I30" s="7"/>
      <c r="J30" s="7">
        <v>5000</v>
      </c>
      <c r="K30" s="7"/>
      <c r="L30" s="7"/>
      <c r="M30" s="7"/>
      <c r="N30" s="7"/>
      <c r="O30" s="7"/>
      <c r="P30" s="7"/>
      <c r="Q30" s="7"/>
      <c r="T30" s="100" t="s">
        <v>188</v>
      </c>
      <c r="U30" s="98"/>
      <c r="V30" s="99"/>
      <c r="W30" s="36">
        <f>SUM(W27-W28)</f>
        <v>121521</v>
      </c>
    </row>
    <row r="31" spans="3:23" ht="15.75" customHeight="1" x14ac:dyDescent="0.25">
      <c r="C31" s="10">
        <v>18</v>
      </c>
      <c r="D31" s="11">
        <v>45118</v>
      </c>
      <c r="E31" s="10">
        <v>212</v>
      </c>
      <c r="F31" s="22" t="s">
        <v>111</v>
      </c>
      <c r="G31" s="7">
        <v>2000</v>
      </c>
      <c r="H31" s="12">
        <v>158</v>
      </c>
      <c r="I31" s="7"/>
      <c r="J31" s="7"/>
      <c r="K31" s="7"/>
      <c r="L31" s="7"/>
      <c r="M31" s="7"/>
      <c r="N31" s="7"/>
      <c r="O31" s="7">
        <v>2000</v>
      </c>
      <c r="P31" s="7"/>
      <c r="Q31" s="7"/>
    </row>
    <row r="32" spans="3:23" ht="15.75" customHeight="1" x14ac:dyDescent="0.25">
      <c r="C32" s="10">
        <v>19</v>
      </c>
      <c r="D32" s="11">
        <v>45118</v>
      </c>
      <c r="E32" s="10">
        <v>213</v>
      </c>
      <c r="F32" s="22" t="s">
        <v>104</v>
      </c>
      <c r="G32" s="7">
        <v>340</v>
      </c>
      <c r="H32" s="12" t="s">
        <v>211</v>
      </c>
      <c r="I32" s="7">
        <v>140</v>
      </c>
      <c r="J32" s="7"/>
      <c r="K32" s="7"/>
      <c r="L32" s="7">
        <v>150</v>
      </c>
      <c r="M32" s="7"/>
      <c r="N32" s="7"/>
      <c r="O32" s="7">
        <v>50</v>
      </c>
      <c r="P32" s="7"/>
      <c r="Q32" s="7"/>
    </row>
    <row r="33" spans="2:19" ht="15.75" customHeight="1" x14ac:dyDescent="0.25">
      <c r="C33" s="10">
        <v>20</v>
      </c>
      <c r="D33" s="11">
        <v>45119</v>
      </c>
      <c r="E33" s="10">
        <v>214</v>
      </c>
      <c r="F33" s="22" t="s">
        <v>212</v>
      </c>
      <c r="G33" s="7">
        <v>1000</v>
      </c>
      <c r="H33" s="12">
        <v>162</v>
      </c>
      <c r="I33" s="7"/>
      <c r="J33" s="7"/>
      <c r="K33" s="7"/>
      <c r="L33" s="7"/>
      <c r="M33" s="7"/>
      <c r="N33" s="7"/>
      <c r="O33" s="7"/>
      <c r="P33" s="7">
        <v>1000</v>
      </c>
      <c r="Q33" s="7"/>
    </row>
    <row r="34" spans="2:19" ht="15.75" customHeight="1" x14ac:dyDescent="0.25">
      <c r="C34" s="10">
        <v>21</v>
      </c>
      <c r="D34" s="11">
        <v>45120</v>
      </c>
      <c r="E34" s="10">
        <v>215</v>
      </c>
      <c r="F34" s="22" t="s">
        <v>139</v>
      </c>
      <c r="G34" s="7">
        <v>1025</v>
      </c>
      <c r="H34" s="12">
        <v>159</v>
      </c>
      <c r="I34" s="7"/>
      <c r="J34" s="7"/>
      <c r="K34" s="7"/>
      <c r="L34" s="7"/>
      <c r="M34" s="7"/>
      <c r="N34" s="7">
        <v>1025</v>
      </c>
      <c r="O34" s="7"/>
      <c r="P34" s="7"/>
      <c r="Q34" s="7"/>
    </row>
    <row r="35" spans="2:19" ht="15.75" customHeight="1" x14ac:dyDescent="0.25">
      <c r="C35" s="10">
        <v>22</v>
      </c>
      <c r="D35" s="11">
        <v>45122</v>
      </c>
      <c r="E35" s="10">
        <v>218</v>
      </c>
      <c r="F35" s="22" t="s">
        <v>44</v>
      </c>
      <c r="G35" s="7">
        <v>2000</v>
      </c>
      <c r="H35" s="12">
        <v>185</v>
      </c>
      <c r="I35" s="7"/>
      <c r="J35" s="7"/>
      <c r="K35" s="7"/>
      <c r="L35" s="7"/>
      <c r="M35" s="7"/>
      <c r="N35" s="7"/>
      <c r="O35" s="7"/>
      <c r="P35" s="7">
        <v>2000</v>
      </c>
      <c r="Q35" s="7"/>
    </row>
    <row r="36" spans="2:19" ht="15.75" customHeight="1" x14ac:dyDescent="0.25">
      <c r="C36" s="10">
        <v>23</v>
      </c>
      <c r="D36" s="11">
        <v>45124</v>
      </c>
      <c r="E36" s="10">
        <v>219</v>
      </c>
      <c r="F36" s="22" t="s">
        <v>213</v>
      </c>
      <c r="G36" s="7">
        <v>300</v>
      </c>
      <c r="H36" s="12">
        <v>154</v>
      </c>
      <c r="I36" s="7"/>
      <c r="J36" s="7"/>
      <c r="K36" s="7"/>
      <c r="L36" s="7"/>
      <c r="M36" s="7"/>
      <c r="N36" s="7"/>
      <c r="O36" s="7">
        <v>300</v>
      </c>
      <c r="P36" s="7"/>
      <c r="Q36" s="7"/>
    </row>
    <row r="37" spans="2:19" ht="15.75" customHeight="1" x14ac:dyDescent="0.25">
      <c r="C37" s="10">
        <v>24</v>
      </c>
      <c r="D37" s="11">
        <v>45124</v>
      </c>
      <c r="E37" s="10">
        <v>220</v>
      </c>
      <c r="F37" s="22" t="s">
        <v>80</v>
      </c>
      <c r="G37" s="7">
        <v>200</v>
      </c>
      <c r="H37" s="12">
        <v>122</v>
      </c>
      <c r="I37" s="7">
        <v>200</v>
      </c>
      <c r="J37" s="7"/>
      <c r="K37" s="7"/>
      <c r="L37" s="7"/>
      <c r="M37" s="7"/>
      <c r="N37" s="7"/>
      <c r="O37" s="7"/>
      <c r="P37" s="7"/>
      <c r="Q37" s="7"/>
    </row>
    <row r="38" spans="2:19" ht="15.75" customHeight="1" x14ac:dyDescent="0.25">
      <c r="C38" s="10">
        <v>25</v>
      </c>
      <c r="D38" s="11">
        <v>45125</v>
      </c>
      <c r="E38" s="10">
        <v>221</v>
      </c>
      <c r="F38" s="22" t="s">
        <v>96</v>
      </c>
      <c r="G38" s="7">
        <v>25</v>
      </c>
      <c r="H38" s="12">
        <v>150</v>
      </c>
      <c r="I38" s="7"/>
      <c r="J38" s="7">
        <v>25</v>
      </c>
      <c r="K38" s="7"/>
      <c r="L38" s="7"/>
      <c r="M38" s="7"/>
      <c r="N38" s="7"/>
      <c r="O38" s="7"/>
      <c r="P38" s="7"/>
      <c r="Q38" s="7"/>
    </row>
    <row r="39" spans="2:19" ht="15.75" customHeight="1" x14ac:dyDescent="0.25">
      <c r="C39" s="10">
        <v>26</v>
      </c>
      <c r="D39" s="11">
        <v>45125</v>
      </c>
      <c r="E39" s="10">
        <v>222</v>
      </c>
      <c r="F39" s="22" t="s">
        <v>190</v>
      </c>
      <c r="G39" s="7">
        <v>2500</v>
      </c>
      <c r="H39" s="12" t="s">
        <v>214</v>
      </c>
      <c r="I39" s="7">
        <v>2000</v>
      </c>
      <c r="J39" s="7"/>
      <c r="K39" s="7"/>
      <c r="L39" s="7"/>
      <c r="M39" s="7"/>
      <c r="N39" s="7"/>
      <c r="O39" s="7"/>
      <c r="P39" s="7">
        <v>500</v>
      </c>
      <c r="Q39" s="7"/>
    </row>
    <row r="40" spans="2:19" ht="15.75" customHeight="1" x14ac:dyDescent="0.25">
      <c r="C40" s="10">
        <v>27</v>
      </c>
      <c r="D40" s="11">
        <v>45125</v>
      </c>
      <c r="E40" s="10">
        <v>223</v>
      </c>
      <c r="F40" s="22" t="s">
        <v>80</v>
      </c>
      <c r="G40" s="7">
        <v>1000</v>
      </c>
      <c r="H40" s="12">
        <v>147.5</v>
      </c>
      <c r="I40" s="7"/>
      <c r="J40" s="7">
        <v>1000</v>
      </c>
      <c r="K40" s="7"/>
      <c r="L40" s="7"/>
      <c r="M40" s="7"/>
      <c r="N40" s="7"/>
      <c r="O40" s="7"/>
      <c r="P40" s="7"/>
      <c r="Q40" s="7"/>
    </row>
    <row r="41" spans="2:19" ht="15.75" customHeight="1" x14ac:dyDescent="0.25">
      <c r="C41" s="10">
        <v>28</v>
      </c>
      <c r="D41" s="11">
        <v>45125</v>
      </c>
      <c r="E41" s="10">
        <v>224</v>
      </c>
      <c r="F41" s="22" t="s">
        <v>49</v>
      </c>
      <c r="G41" s="7">
        <v>9000</v>
      </c>
      <c r="H41" s="12" t="s">
        <v>215</v>
      </c>
      <c r="I41" s="7"/>
      <c r="J41" s="7">
        <v>5000</v>
      </c>
      <c r="K41" s="7"/>
      <c r="L41" s="7"/>
      <c r="M41" s="7"/>
      <c r="N41" s="7">
        <v>2000</v>
      </c>
      <c r="O41" s="7">
        <v>2000</v>
      </c>
      <c r="P41" s="7"/>
      <c r="Q41" s="7"/>
    </row>
    <row r="42" spans="2:19" ht="15.75" customHeight="1" x14ac:dyDescent="0.25">
      <c r="B42" s="42"/>
      <c r="C42" s="10">
        <v>29</v>
      </c>
      <c r="D42" s="11">
        <v>45128</v>
      </c>
      <c r="E42" s="10">
        <v>227</v>
      </c>
      <c r="F42" s="22" t="s">
        <v>140</v>
      </c>
      <c r="G42" s="7">
        <v>500</v>
      </c>
      <c r="H42" s="12">
        <v>158</v>
      </c>
      <c r="I42" s="7"/>
      <c r="J42" s="7"/>
      <c r="K42" s="7"/>
      <c r="L42" s="7"/>
      <c r="M42" s="7"/>
      <c r="N42" s="7">
        <v>500</v>
      </c>
      <c r="O42" s="7"/>
      <c r="P42" s="7"/>
      <c r="Q42" s="7"/>
      <c r="S42" s="1"/>
    </row>
    <row r="43" spans="2:19" ht="15.75" customHeight="1" x14ac:dyDescent="0.25">
      <c r="B43" s="42"/>
      <c r="C43" s="10">
        <v>30</v>
      </c>
      <c r="D43" s="11">
        <v>45128</v>
      </c>
      <c r="E43" s="10">
        <v>228</v>
      </c>
      <c r="F43" s="22" t="s">
        <v>200</v>
      </c>
      <c r="G43" s="7">
        <v>1000</v>
      </c>
      <c r="H43" s="12">
        <v>175</v>
      </c>
      <c r="I43" s="7"/>
      <c r="J43" s="7"/>
      <c r="K43" s="7"/>
      <c r="L43" s="7"/>
      <c r="M43" s="7"/>
      <c r="N43" s="7"/>
      <c r="O43" s="7"/>
      <c r="P43" s="7">
        <v>1000</v>
      </c>
      <c r="Q43" s="7"/>
      <c r="S43" s="1"/>
    </row>
    <row r="44" spans="2:19" ht="15.75" customHeight="1" x14ac:dyDescent="0.25">
      <c r="B44" s="42"/>
      <c r="C44" s="10">
        <v>31</v>
      </c>
      <c r="D44" s="11">
        <v>45128</v>
      </c>
      <c r="E44" s="10">
        <v>229</v>
      </c>
      <c r="F44" s="22" t="s">
        <v>49</v>
      </c>
      <c r="G44" s="7">
        <v>3000</v>
      </c>
      <c r="H44" s="12">
        <v>154</v>
      </c>
      <c r="I44" s="7"/>
      <c r="J44" s="7"/>
      <c r="K44" s="7"/>
      <c r="L44" s="7">
        <v>3000</v>
      </c>
      <c r="M44" s="7"/>
      <c r="N44" s="7"/>
      <c r="O44" s="7"/>
      <c r="P44" s="7"/>
      <c r="Q44" s="7"/>
      <c r="S44" s="1"/>
    </row>
    <row r="45" spans="2:19" ht="15.75" customHeight="1" x14ac:dyDescent="0.25">
      <c r="B45" s="42"/>
      <c r="C45" s="10">
        <v>32</v>
      </c>
      <c r="D45" s="11">
        <v>45128</v>
      </c>
      <c r="E45" s="10">
        <v>230</v>
      </c>
      <c r="F45" s="22" t="s">
        <v>96</v>
      </c>
      <c r="G45" s="7">
        <v>10000</v>
      </c>
      <c r="H45" s="12">
        <v>119</v>
      </c>
      <c r="I45" s="7">
        <v>10000</v>
      </c>
      <c r="J45" s="7"/>
      <c r="K45" s="7"/>
      <c r="L45" s="7"/>
      <c r="M45" s="7"/>
      <c r="N45" s="7"/>
      <c r="O45" s="7"/>
      <c r="P45" s="7"/>
      <c r="Q45" s="7"/>
      <c r="S45" s="1"/>
    </row>
    <row r="46" spans="2:19" ht="15.75" customHeight="1" x14ac:dyDescent="0.25">
      <c r="B46" s="42"/>
      <c r="C46" s="10">
        <v>33</v>
      </c>
      <c r="D46" s="11">
        <v>45128</v>
      </c>
      <c r="E46" s="10">
        <v>231</v>
      </c>
      <c r="F46" s="22" t="s">
        <v>192</v>
      </c>
      <c r="G46" s="7">
        <v>500</v>
      </c>
      <c r="H46" s="12">
        <v>150</v>
      </c>
      <c r="I46" s="7"/>
      <c r="J46" s="7"/>
      <c r="K46" s="7"/>
      <c r="L46" s="7"/>
      <c r="M46" s="7"/>
      <c r="N46" s="7">
        <v>500</v>
      </c>
      <c r="O46" s="7"/>
      <c r="P46" s="7"/>
      <c r="Q46" s="7"/>
      <c r="S46" s="1"/>
    </row>
    <row r="47" spans="2:19" ht="15.75" customHeight="1" x14ac:dyDescent="0.25">
      <c r="B47" s="42"/>
      <c r="C47" s="10">
        <v>34</v>
      </c>
      <c r="D47" s="11">
        <v>45128</v>
      </c>
      <c r="E47" s="10" t="s">
        <v>27</v>
      </c>
      <c r="F47" s="22" t="s">
        <v>28</v>
      </c>
      <c r="G47" s="7">
        <v>250</v>
      </c>
      <c r="H47" s="12">
        <v>154</v>
      </c>
      <c r="I47" s="7"/>
      <c r="J47" s="7">
        <v>250</v>
      </c>
      <c r="K47" s="7"/>
      <c r="L47" s="7"/>
      <c r="M47" s="7"/>
      <c r="N47" s="7"/>
      <c r="O47" s="7"/>
      <c r="P47" s="7"/>
      <c r="Q47" s="7"/>
      <c r="S47" s="1"/>
    </row>
    <row r="48" spans="2:19" ht="15.75" customHeight="1" x14ac:dyDescent="0.25">
      <c r="B48" s="42"/>
      <c r="C48" s="10">
        <v>35</v>
      </c>
      <c r="D48" s="11">
        <v>45131</v>
      </c>
      <c r="E48" s="10">
        <v>234</v>
      </c>
      <c r="F48" s="22" t="s">
        <v>89</v>
      </c>
      <c r="G48" s="7">
        <v>2700</v>
      </c>
      <c r="H48" s="12">
        <v>151</v>
      </c>
      <c r="I48" s="7"/>
      <c r="J48" s="7"/>
      <c r="K48" s="7"/>
      <c r="L48" s="7"/>
      <c r="M48" s="7"/>
      <c r="N48" s="7">
        <v>2700</v>
      </c>
      <c r="O48" s="7"/>
      <c r="P48" s="7"/>
      <c r="Q48" s="7"/>
      <c r="S48" s="1"/>
    </row>
    <row r="49" spans="3:19" ht="15.75" customHeight="1" x14ac:dyDescent="0.25">
      <c r="C49" s="10">
        <v>36</v>
      </c>
      <c r="D49" s="11">
        <v>45131</v>
      </c>
      <c r="E49" s="10">
        <v>235</v>
      </c>
      <c r="F49" s="22" t="s">
        <v>142</v>
      </c>
      <c r="G49" s="7">
        <v>350</v>
      </c>
      <c r="H49" s="12">
        <v>155</v>
      </c>
      <c r="I49" s="7"/>
      <c r="J49" s="7"/>
      <c r="K49" s="7"/>
      <c r="L49" s="7"/>
      <c r="M49" s="7"/>
      <c r="N49" s="7"/>
      <c r="O49" s="7">
        <v>350</v>
      </c>
      <c r="P49" s="7"/>
      <c r="Q49" s="7"/>
      <c r="S49" s="1"/>
    </row>
    <row r="50" spans="3:19" ht="15.75" customHeight="1" x14ac:dyDescent="0.25">
      <c r="C50" s="10">
        <v>37</v>
      </c>
      <c r="D50" s="11">
        <v>45131</v>
      </c>
      <c r="E50" s="10">
        <v>237</v>
      </c>
      <c r="F50" s="22" t="s">
        <v>216</v>
      </c>
      <c r="G50" s="7">
        <v>1500</v>
      </c>
      <c r="H50" s="12">
        <v>155</v>
      </c>
      <c r="I50" s="7"/>
      <c r="J50" s="7"/>
      <c r="K50" s="7"/>
      <c r="L50" s="7">
        <v>1500</v>
      </c>
      <c r="M50" s="7"/>
      <c r="N50" s="7"/>
      <c r="O50" s="7"/>
      <c r="P50" s="7"/>
      <c r="Q50" s="7"/>
      <c r="S50" s="1"/>
    </row>
    <row r="51" spans="3:19" ht="15.75" customHeight="1" x14ac:dyDescent="0.25">
      <c r="C51" s="10">
        <v>38</v>
      </c>
      <c r="D51" s="11">
        <v>45131</v>
      </c>
      <c r="E51" s="10">
        <v>238</v>
      </c>
      <c r="F51" s="22" t="s">
        <v>48</v>
      </c>
      <c r="G51" s="7">
        <v>1000</v>
      </c>
      <c r="H51" s="12">
        <v>157</v>
      </c>
      <c r="I51" s="7"/>
      <c r="J51" s="7"/>
      <c r="K51" s="7"/>
      <c r="L51" s="7"/>
      <c r="M51" s="7"/>
      <c r="N51" s="7"/>
      <c r="O51" s="7">
        <v>1000</v>
      </c>
      <c r="P51" s="7"/>
      <c r="Q51" s="7"/>
      <c r="S51" s="1"/>
    </row>
    <row r="52" spans="3:19" ht="15.75" customHeight="1" x14ac:dyDescent="0.25">
      <c r="C52" s="10">
        <v>39</v>
      </c>
      <c r="D52" s="11">
        <v>45131</v>
      </c>
      <c r="E52" s="10">
        <v>239</v>
      </c>
      <c r="F52" s="22" t="s">
        <v>96</v>
      </c>
      <c r="G52" s="7">
        <v>500</v>
      </c>
      <c r="H52" s="12">
        <v>154</v>
      </c>
      <c r="I52" s="7"/>
      <c r="J52" s="7"/>
      <c r="K52" s="7"/>
      <c r="L52" s="7"/>
      <c r="M52" s="7"/>
      <c r="N52" s="7"/>
      <c r="O52" s="7">
        <v>500</v>
      </c>
      <c r="P52" s="7"/>
      <c r="Q52" s="7"/>
      <c r="S52" s="1"/>
    </row>
    <row r="53" spans="3:19" ht="15.75" customHeight="1" x14ac:dyDescent="0.25">
      <c r="C53" s="10">
        <v>40</v>
      </c>
      <c r="D53" s="11">
        <v>45132</v>
      </c>
      <c r="E53" s="10">
        <v>240</v>
      </c>
      <c r="F53" s="22" t="s">
        <v>71</v>
      </c>
      <c r="G53" s="7">
        <v>500</v>
      </c>
      <c r="H53" s="31">
        <v>156</v>
      </c>
      <c r="I53" s="7"/>
      <c r="J53" s="7"/>
      <c r="K53" s="7"/>
      <c r="L53" s="7"/>
      <c r="M53" s="7"/>
      <c r="N53" s="7">
        <v>500</v>
      </c>
      <c r="O53" s="7"/>
      <c r="P53" s="7"/>
      <c r="Q53" s="7"/>
      <c r="S53" s="1"/>
    </row>
    <row r="54" spans="3:19" ht="15.75" customHeight="1" x14ac:dyDescent="0.25">
      <c r="C54" s="10">
        <v>41</v>
      </c>
      <c r="D54" s="11">
        <v>45132</v>
      </c>
      <c r="E54" s="10" t="s">
        <v>27</v>
      </c>
      <c r="F54" s="22" t="s">
        <v>206</v>
      </c>
      <c r="G54" s="7">
        <v>1000</v>
      </c>
      <c r="H54" s="12">
        <v>159</v>
      </c>
      <c r="I54" s="7"/>
      <c r="J54" s="7"/>
      <c r="K54" s="7"/>
      <c r="L54" s="7">
        <v>1000</v>
      </c>
      <c r="M54" s="7"/>
      <c r="N54" s="7"/>
      <c r="O54" s="7"/>
      <c r="P54" s="7"/>
      <c r="Q54" s="7"/>
      <c r="S54" s="1"/>
    </row>
    <row r="55" spans="3:19" ht="15.75" customHeight="1" x14ac:dyDescent="0.25">
      <c r="C55" s="10">
        <v>42</v>
      </c>
      <c r="D55" s="11">
        <v>45132</v>
      </c>
      <c r="E55" s="10">
        <v>241</v>
      </c>
      <c r="F55" s="22" t="s">
        <v>80</v>
      </c>
      <c r="G55" s="7">
        <v>300</v>
      </c>
      <c r="H55" s="12">
        <v>152</v>
      </c>
      <c r="I55" s="7"/>
      <c r="J55" s="7"/>
      <c r="K55" s="7"/>
      <c r="L55" s="7"/>
      <c r="M55" s="7"/>
      <c r="N55" s="7"/>
      <c r="O55" s="7">
        <v>300</v>
      </c>
      <c r="P55" s="7"/>
      <c r="Q55" s="7"/>
      <c r="S55" s="1"/>
    </row>
    <row r="56" spans="3:19" ht="15.75" customHeight="1" x14ac:dyDescent="0.25">
      <c r="C56" s="10">
        <v>43</v>
      </c>
      <c r="D56" s="11">
        <v>45134</v>
      </c>
      <c r="E56" s="10">
        <v>243</v>
      </c>
      <c r="F56" s="22" t="s">
        <v>139</v>
      </c>
      <c r="G56" s="7">
        <v>1000</v>
      </c>
      <c r="H56" s="12" t="s">
        <v>217</v>
      </c>
      <c r="I56" s="7">
        <v>500</v>
      </c>
      <c r="J56" s="7"/>
      <c r="K56" s="7"/>
      <c r="L56" s="7"/>
      <c r="M56" s="7"/>
      <c r="N56" s="7">
        <v>500</v>
      </c>
      <c r="O56" s="7"/>
      <c r="P56" s="7"/>
      <c r="Q56" s="7"/>
      <c r="S56" s="1"/>
    </row>
    <row r="57" spans="3:19" ht="15.75" customHeight="1" x14ac:dyDescent="0.25">
      <c r="C57" s="10">
        <v>44</v>
      </c>
      <c r="D57" s="11">
        <v>45134</v>
      </c>
      <c r="E57" s="10">
        <v>244</v>
      </c>
      <c r="F57" s="22" t="s">
        <v>37</v>
      </c>
      <c r="G57" s="7">
        <v>500</v>
      </c>
      <c r="H57" s="12">
        <v>165</v>
      </c>
      <c r="I57" s="7"/>
      <c r="J57" s="7"/>
      <c r="K57" s="7"/>
      <c r="L57" s="7"/>
      <c r="M57" s="7"/>
      <c r="N57" s="7"/>
      <c r="O57" s="7"/>
      <c r="P57" s="7">
        <v>500</v>
      </c>
      <c r="Q57" s="7"/>
      <c r="S57" s="1"/>
    </row>
    <row r="58" spans="3:19" ht="15.75" customHeight="1" x14ac:dyDescent="0.25">
      <c r="C58" s="10">
        <v>45</v>
      </c>
      <c r="D58" s="11">
        <v>45134</v>
      </c>
      <c r="E58" s="10">
        <v>246</v>
      </c>
      <c r="F58" s="22" t="s">
        <v>218</v>
      </c>
      <c r="G58" s="7">
        <v>1000</v>
      </c>
      <c r="H58" s="12">
        <v>146</v>
      </c>
      <c r="I58" s="7"/>
      <c r="J58" s="7">
        <v>1000</v>
      </c>
      <c r="K58" s="7"/>
      <c r="L58" s="7"/>
      <c r="M58" s="7"/>
      <c r="N58" s="7"/>
      <c r="O58" s="7"/>
      <c r="P58" s="7"/>
      <c r="Q58" s="7"/>
      <c r="S58" s="1"/>
    </row>
    <row r="59" spans="3:19" ht="15.75" customHeight="1" x14ac:dyDescent="0.25">
      <c r="C59" s="10">
        <v>46</v>
      </c>
      <c r="D59" s="11">
        <v>45134</v>
      </c>
      <c r="E59" s="10">
        <v>247</v>
      </c>
      <c r="F59" s="22" t="s">
        <v>111</v>
      </c>
      <c r="G59" s="7">
        <v>1000</v>
      </c>
      <c r="H59" s="12">
        <v>147</v>
      </c>
      <c r="I59" s="7"/>
      <c r="J59" s="7">
        <v>1000</v>
      </c>
      <c r="K59" s="7"/>
      <c r="L59" s="7"/>
      <c r="M59" s="7"/>
      <c r="N59" s="7"/>
      <c r="O59" s="7"/>
      <c r="P59" s="7"/>
      <c r="Q59" s="7"/>
      <c r="S59" s="1"/>
    </row>
    <row r="60" spans="3:19" ht="15.75" customHeight="1" x14ac:dyDescent="0.25">
      <c r="C60" s="10">
        <v>47</v>
      </c>
      <c r="D60" s="11">
        <v>45134</v>
      </c>
      <c r="E60" s="10">
        <v>249</v>
      </c>
      <c r="F60" s="22" t="s">
        <v>24</v>
      </c>
      <c r="G60" s="7">
        <v>500</v>
      </c>
      <c r="H60" s="12">
        <v>124</v>
      </c>
      <c r="I60" s="7">
        <v>500</v>
      </c>
      <c r="J60" s="7"/>
      <c r="K60" s="7"/>
      <c r="L60" s="7"/>
      <c r="M60" s="7"/>
      <c r="N60" s="7"/>
      <c r="O60" s="7"/>
      <c r="P60" s="7"/>
      <c r="Q60" s="7"/>
      <c r="S60" s="1"/>
    </row>
    <row r="61" spans="3:19" ht="15.75" customHeight="1" x14ac:dyDescent="0.25">
      <c r="C61" s="10">
        <v>48</v>
      </c>
      <c r="D61" s="11">
        <v>45134</v>
      </c>
      <c r="E61" s="10">
        <v>250</v>
      </c>
      <c r="F61" s="22" t="s">
        <v>120</v>
      </c>
      <c r="G61" s="7">
        <v>800</v>
      </c>
      <c r="H61" s="12" t="s">
        <v>219</v>
      </c>
      <c r="I61" s="7"/>
      <c r="J61" s="7">
        <v>300</v>
      </c>
      <c r="K61" s="7"/>
      <c r="L61" s="7"/>
      <c r="M61" s="7"/>
      <c r="N61" s="7"/>
      <c r="O61" s="7"/>
      <c r="P61" s="7">
        <v>500</v>
      </c>
      <c r="Q61" s="7"/>
      <c r="S61" s="1"/>
    </row>
    <row r="62" spans="3:19" ht="15.75" customHeight="1" x14ac:dyDescent="0.25">
      <c r="C62" s="10">
        <v>49</v>
      </c>
      <c r="D62" s="11">
        <v>45134</v>
      </c>
      <c r="E62" s="10" t="s">
        <v>27</v>
      </c>
      <c r="F62" s="22" t="s">
        <v>30</v>
      </c>
      <c r="G62" s="7">
        <v>200</v>
      </c>
      <c r="H62" s="12">
        <v>190</v>
      </c>
      <c r="I62" s="7"/>
      <c r="J62" s="7"/>
      <c r="K62" s="7"/>
      <c r="L62" s="7"/>
      <c r="M62" s="7"/>
      <c r="N62" s="7"/>
      <c r="O62" s="7">
        <v>200</v>
      </c>
      <c r="P62" s="7"/>
      <c r="Q62" s="7"/>
      <c r="S62" s="1"/>
    </row>
    <row r="63" spans="3:19" ht="15.75" customHeight="1" x14ac:dyDescent="0.25">
      <c r="C63" s="10">
        <v>50</v>
      </c>
      <c r="D63" s="11">
        <v>45135</v>
      </c>
      <c r="E63" s="10">
        <v>253</v>
      </c>
      <c r="F63" s="22" t="s">
        <v>220</v>
      </c>
      <c r="G63" s="7">
        <v>2500</v>
      </c>
      <c r="H63" s="12">
        <v>154</v>
      </c>
      <c r="I63" s="7"/>
      <c r="J63" s="7"/>
      <c r="K63" s="7"/>
      <c r="L63" s="7"/>
      <c r="M63" s="7"/>
      <c r="N63" s="7">
        <v>2500</v>
      </c>
      <c r="O63" s="7"/>
      <c r="P63" s="7"/>
      <c r="Q63" s="7"/>
      <c r="S63" s="1"/>
    </row>
    <row r="64" spans="3:19" ht="15.75" customHeight="1" x14ac:dyDescent="0.25">
      <c r="C64" s="10">
        <v>51</v>
      </c>
      <c r="D64" s="11">
        <v>45135</v>
      </c>
      <c r="E64" s="10">
        <v>254</v>
      </c>
      <c r="F64" s="22" t="s">
        <v>202</v>
      </c>
      <c r="G64" s="7">
        <v>2500</v>
      </c>
      <c r="H64" s="31" t="s">
        <v>221</v>
      </c>
      <c r="I64" s="7"/>
      <c r="J64" s="7"/>
      <c r="K64" s="7"/>
      <c r="L64" s="7"/>
      <c r="M64" s="7"/>
      <c r="N64" s="7"/>
      <c r="O64" s="7">
        <v>1000</v>
      </c>
      <c r="P64" s="7">
        <v>1000</v>
      </c>
      <c r="Q64" s="7">
        <v>500</v>
      </c>
      <c r="S64" s="1"/>
    </row>
    <row r="65" spans="3:19" ht="15.75" customHeight="1" x14ac:dyDescent="0.25">
      <c r="C65" s="10">
        <v>52</v>
      </c>
      <c r="D65" s="11">
        <v>45135</v>
      </c>
      <c r="E65" s="10" t="s">
        <v>222</v>
      </c>
      <c r="F65" s="22" t="s">
        <v>49</v>
      </c>
      <c r="G65" s="7">
        <v>2000</v>
      </c>
      <c r="H65" s="12">
        <v>154</v>
      </c>
      <c r="I65" s="7"/>
      <c r="J65" s="7"/>
      <c r="K65" s="7"/>
      <c r="L65" s="7"/>
      <c r="M65" s="7"/>
      <c r="N65" s="7">
        <v>2000</v>
      </c>
      <c r="O65" s="7"/>
      <c r="P65" s="7"/>
      <c r="Q65" s="7"/>
      <c r="S65" s="1"/>
    </row>
    <row r="66" spans="3:19" ht="15.75" customHeight="1" x14ac:dyDescent="0.25">
      <c r="C66" s="10">
        <v>53</v>
      </c>
      <c r="D66" s="11">
        <v>45135</v>
      </c>
      <c r="E66" s="10">
        <v>255</v>
      </c>
      <c r="F66" s="22" t="s">
        <v>190</v>
      </c>
      <c r="G66" s="7">
        <v>500</v>
      </c>
      <c r="H66" s="12">
        <v>170</v>
      </c>
      <c r="I66" s="7"/>
      <c r="J66" s="7"/>
      <c r="K66" s="7"/>
      <c r="L66" s="7"/>
      <c r="M66" s="7"/>
      <c r="N66" s="7"/>
      <c r="O66" s="7"/>
      <c r="P66" s="7"/>
      <c r="Q66" s="7">
        <v>500</v>
      </c>
      <c r="S66" s="1"/>
    </row>
    <row r="67" spans="3:19" ht="15.75" customHeight="1" x14ac:dyDescent="0.25">
      <c r="C67" s="10">
        <v>54</v>
      </c>
      <c r="D67" s="11">
        <v>45135</v>
      </c>
      <c r="E67" s="10">
        <v>256</v>
      </c>
      <c r="F67" s="22" t="s">
        <v>80</v>
      </c>
      <c r="G67" s="7">
        <v>1150</v>
      </c>
      <c r="H67" s="12" t="s">
        <v>223</v>
      </c>
      <c r="I67" s="7">
        <v>100</v>
      </c>
      <c r="J67" s="7">
        <v>1000</v>
      </c>
      <c r="K67" s="7"/>
      <c r="L67" s="7"/>
      <c r="M67" s="7"/>
      <c r="N67" s="7"/>
      <c r="O67" s="7">
        <v>50</v>
      </c>
      <c r="P67" s="7"/>
      <c r="Q67" s="7"/>
      <c r="S67" s="1"/>
    </row>
    <row r="68" spans="3:19" ht="15.75" customHeight="1" x14ac:dyDescent="0.25">
      <c r="C68" s="10">
        <v>55</v>
      </c>
      <c r="D68" s="11">
        <v>45136</v>
      </c>
      <c r="E68" s="10">
        <v>257</v>
      </c>
      <c r="F68" s="22" t="s">
        <v>224</v>
      </c>
      <c r="G68" s="7">
        <v>1000</v>
      </c>
      <c r="H68" s="12">
        <v>115</v>
      </c>
      <c r="I68" s="7">
        <v>1000</v>
      </c>
      <c r="J68" s="7"/>
      <c r="K68" s="7"/>
      <c r="L68" s="7"/>
      <c r="M68" s="7"/>
      <c r="N68" s="7"/>
      <c r="O68" s="7"/>
      <c r="P68" s="7"/>
      <c r="Q68" s="7"/>
      <c r="S68" s="1"/>
    </row>
    <row r="69" spans="3:19" ht="15.75" customHeight="1" x14ac:dyDescent="0.25">
      <c r="C69" s="10">
        <v>56</v>
      </c>
      <c r="D69" s="11">
        <v>45136</v>
      </c>
      <c r="E69" s="10">
        <v>258</v>
      </c>
      <c r="F69" s="22" t="s">
        <v>120</v>
      </c>
      <c r="G69" s="7">
        <v>500</v>
      </c>
      <c r="H69" s="12"/>
      <c r="I69" s="7"/>
      <c r="J69" s="7"/>
      <c r="K69" s="7"/>
      <c r="L69" s="7"/>
      <c r="M69" s="7"/>
      <c r="N69" s="7"/>
      <c r="O69" s="7">
        <v>500</v>
      </c>
      <c r="P69" s="7"/>
      <c r="Q69" s="7"/>
      <c r="S69" s="1"/>
    </row>
    <row r="70" spans="3:19" ht="15.75" customHeight="1" x14ac:dyDescent="0.25">
      <c r="C70" s="10">
        <v>57</v>
      </c>
      <c r="D70" s="11">
        <v>45136</v>
      </c>
      <c r="E70" s="10">
        <v>259</v>
      </c>
      <c r="F70" s="22" t="s">
        <v>80</v>
      </c>
      <c r="G70" s="7">
        <v>1600</v>
      </c>
      <c r="H70" s="12">
        <v>120</v>
      </c>
      <c r="I70" s="7">
        <v>1600</v>
      </c>
      <c r="J70" s="7"/>
      <c r="K70" s="7"/>
      <c r="L70" s="7"/>
      <c r="M70" s="7"/>
      <c r="N70" s="7"/>
      <c r="O70" s="7"/>
      <c r="P70" s="7"/>
      <c r="Q70" s="7"/>
      <c r="S70" s="1"/>
    </row>
    <row r="71" spans="3:19" ht="15.75" customHeight="1" x14ac:dyDescent="0.25">
      <c r="C71" s="10">
        <v>58</v>
      </c>
      <c r="D71" s="11">
        <v>45136</v>
      </c>
      <c r="E71" s="10">
        <v>260</v>
      </c>
      <c r="F71" s="22" t="s">
        <v>205</v>
      </c>
      <c r="G71" s="7">
        <v>6000</v>
      </c>
      <c r="H71" s="12">
        <v>155</v>
      </c>
      <c r="I71" s="7"/>
      <c r="J71" s="7"/>
      <c r="K71" s="7"/>
      <c r="L71" s="7">
        <v>6000</v>
      </c>
      <c r="M71" s="7"/>
      <c r="N71" s="7"/>
      <c r="O71" s="7"/>
      <c r="P71" s="7"/>
      <c r="Q71" s="7"/>
      <c r="S71" s="1"/>
    </row>
    <row r="72" spans="3:19" ht="15.75" customHeight="1" x14ac:dyDescent="0.25">
      <c r="C72" s="10">
        <v>59</v>
      </c>
      <c r="D72" s="11">
        <v>45138</v>
      </c>
      <c r="E72" s="10">
        <v>262</v>
      </c>
      <c r="F72" s="22" t="s">
        <v>224</v>
      </c>
      <c r="G72" s="7">
        <v>1500</v>
      </c>
      <c r="H72" s="12" t="s">
        <v>225</v>
      </c>
      <c r="I72" s="7"/>
      <c r="J72" s="7">
        <v>1000</v>
      </c>
      <c r="K72" s="7"/>
      <c r="L72" s="7"/>
      <c r="M72" s="7"/>
      <c r="N72" s="7"/>
      <c r="O72" s="7"/>
      <c r="P72" s="7"/>
      <c r="Q72" s="7">
        <v>500</v>
      </c>
      <c r="S72" s="1"/>
    </row>
    <row r="73" spans="3:19" ht="15.75" customHeight="1" x14ac:dyDescent="0.25">
      <c r="C73" s="10">
        <v>60</v>
      </c>
      <c r="D73" s="11">
        <v>45138</v>
      </c>
      <c r="E73" s="10">
        <v>263</v>
      </c>
      <c r="F73" s="22" t="s">
        <v>111</v>
      </c>
      <c r="G73" s="7">
        <v>300</v>
      </c>
      <c r="H73" s="12" t="s">
        <v>226</v>
      </c>
      <c r="I73" s="7"/>
      <c r="J73" s="7"/>
      <c r="K73" s="7"/>
      <c r="L73" s="7"/>
      <c r="M73" s="7"/>
      <c r="N73" s="7"/>
      <c r="O73" s="7">
        <v>150</v>
      </c>
      <c r="P73" s="7"/>
      <c r="Q73" s="7">
        <v>150</v>
      </c>
      <c r="S73" s="1"/>
    </row>
    <row r="74" spans="3:19" ht="15.75" customHeight="1" x14ac:dyDescent="0.25">
      <c r="C74" s="10">
        <v>61</v>
      </c>
      <c r="D74" s="11">
        <v>45138</v>
      </c>
      <c r="E74" s="10">
        <v>264</v>
      </c>
      <c r="F74" s="22" t="s">
        <v>80</v>
      </c>
      <c r="G74" s="7">
        <v>300</v>
      </c>
      <c r="H74" s="12">
        <v>120</v>
      </c>
      <c r="I74" s="7">
        <v>300</v>
      </c>
      <c r="J74" s="7"/>
      <c r="K74" s="7"/>
      <c r="L74" s="7"/>
      <c r="M74" s="7"/>
      <c r="N74" s="7"/>
      <c r="O74" s="7"/>
      <c r="P74" s="7"/>
      <c r="Q74" s="7"/>
      <c r="S74" s="1"/>
    </row>
    <row r="75" spans="3:19" ht="15.75" customHeight="1" x14ac:dyDescent="0.25">
      <c r="C75" s="10">
        <v>62</v>
      </c>
      <c r="D75" s="11">
        <v>45138</v>
      </c>
      <c r="E75" s="10">
        <v>265</v>
      </c>
      <c r="F75" s="22" t="s">
        <v>96</v>
      </c>
      <c r="G75" s="7">
        <v>6000</v>
      </c>
      <c r="H75" s="12">
        <v>119</v>
      </c>
      <c r="I75" s="7">
        <v>6000</v>
      </c>
      <c r="J75" s="7"/>
      <c r="K75" s="7"/>
      <c r="L75" s="7"/>
      <c r="M75" s="7"/>
      <c r="N75" s="7"/>
      <c r="O75" s="7"/>
      <c r="P75" s="7"/>
      <c r="Q75" s="7"/>
    </row>
    <row r="76" spans="3:19" ht="15.75" customHeight="1" x14ac:dyDescent="0.25">
      <c r="C76" s="10">
        <v>63</v>
      </c>
      <c r="D76" s="11">
        <v>45138</v>
      </c>
      <c r="E76" s="10">
        <v>266</v>
      </c>
      <c r="F76" s="22" t="s">
        <v>89</v>
      </c>
      <c r="G76" s="7">
        <v>1000</v>
      </c>
      <c r="H76" s="12">
        <v>157</v>
      </c>
      <c r="I76" s="7"/>
      <c r="J76" s="7"/>
      <c r="K76" s="7"/>
      <c r="L76" s="7"/>
      <c r="M76" s="7"/>
      <c r="N76" s="7"/>
      <c r="O76" s="7">
        <v>1000</v>
      </c>
      <c r="P76" s="7"/>
      <c r="Q76" s="7"/>
    </row>
    <row r="77" spans="3:19" ht="15.75" customHeight="1" x14ac:dyDescent="0.25">
      <c r="C77" s="10">
        <v>64</v>
      </c>
      <c r="D77" s="11">
        <v>45138</v>
      </c>
      <c r="E77" s="10">
        <v>268</v>
      </c>
      <c r="F77" s="22" t="s">
        <v>227</v>
      </c>
      <c r="G77" s="7">
        <v>1000</v>
      </c>
      <c r="H77" s="12">
        <v>156</v>
      </c>
      <c r="I77" s="7"/>
      <c r="J77" s="7"/>
      <c r="K77" s="7"/>
      <c r="L77" s="7"/>
      <c r="M77" s="7"/>
      <c r="N77" s="7"/>
      <c r="O77" s="7"/>
      <c r="P77" s="7">
        <v>1000</v>
      </c>
      <c r="Q77" s="7"/>
    </row>
    <row r="78" spans="3:19" ht="15.75" customHeight="1" x14ac:dyDescent="0.25">
      <c r="C78" s="10">
        <v>65</v>
      </c>
      <c r="D78" s="11"/>
      <c r="E78" s="10"/>
      <c r="F78" s="22"/>
      <c r="G78" s="7"/>
      <c r="H78" s="12"/>
      <c r="I78" s="7"/>
      <c r="J78" s="7"/>
      <c r="K78" s="7"/>
      <c r="L78" s="7"/>
      <c r="M78" s="7"/>
      <c r="N78" s="7"/>
      <c r="O78" s="7"/>
      <c r="P78" s="7"/>
      <c r="Q78" s="7"/>
    </row>
    <row r="79" spans="3:19" ht="15.75" customHeight="1" x14ac:dyDescent="0.25">
      <c r="C79" s="10">
        <v>66</v>
      </c>
      <c r="D79" s="11"/>
      <c r="E79" s="10"/>
      <c r="F79" s="22"/>
      <c r="G79" s="7"/>
      <c r="H79" s="12"/>
      <c r="I79" s="7"/>
      <c r="J79" s="7"/>
      <c r="K79" s="7"/>
      <c r="L79" s="7"/>
      <c r="M79" s="7"/>
      <c r="N79" s="7"/>
      <c r="O79" s="7"/>
      <c r="P79" s="7"/>
      <c r="Q79" s="7"/>
    </row>
    <row r="80" spans="3:19" ht="15.75" customHeight="1" x14ac:dyDescent="0.25">
      <c r="C80" s="10">
        <v>67</v>
      </c>
      <c r="D80" s="11"/>
      <c r="E80" s="10"/>
      <c r="F80" s="22"/>
      <c r="G80" s="7"/>
      <c r="H80" s="12"/>
      <c r="I80" s="7"/>
      <c r="J80" s="7"/>
      <c r="K80" s="7"/>
      <c r="L80" s="7"/>
      <c r="M80" s="7"/>
      <c r="N80" s="7"/>
      <c r="O80" s="7"/>
      <c r="P80" s="7"/>
      <c r="Q80" s="7"/>
    </row>
    <row r="81" spans="3:17" ht="15.75" customHeight="1" x14ac:dyDescent="0.25">
      <c r="C81" s="10">
        <v>68</v>
      </c>
      <c r="D81" s="11"/>
      <c r="E81" s="10"/>
      <c r="F81" s="22"/>
      <c r="G81" s="7"/>
      <c r="H81" s="12"/>
      <c r="I81" s="7"/>
      <c r="J81" s="7"/>
      <c r="K81" s="7"/>
      <c r="L81" s="7"/>
      <c r="M81" s="7"/>
      <c r="N81" s="7"/>
      <c r="O81" s="7"/>
      <c r="P81" s="7"/>
      <c r="Q81" s="7"/>
    </row>
    <row r="82" spans="3:17" ht="15.75" customHeight="1" x14ac:dyDescent="0.25">
      <c r="C82" s="10">
        <v>69</v>
      </c>
      <c r="D82" s="11"/>
      <c r="E82" s="10"/>
      <c r="F82" s="22"/>
      <c r="G82" s="7"/>
      <c r="H82" s="12"/>
      <c r="I82" s="7"/>
      <c r="J82" s="7"/>
      <c r="K82" s="7"/>
      <c r="L82" s="7"/>
      <c r="M82" s="7"/>
      <c r="N82" s="7"/>
      <c r="O82" s="7"/>
      <c r="P82" s="7"/>
      <c r="Q82" s="7"/>
    </row>
    <row r="83" spans="3:17" ht="15.75" customHeight="1" x14ac:dyDescent="0.25">
      <c r="C83" s="10">
        <v>70</v>
      </c>
      <c r="D83" s="11"/>
      <c r="E83" s="10"/>
      <c r="F83" s="22"/>
      <c r="G83" s="7"/>
      <c r="H83" s="12"/>
      <c r="I83" s="7"/>
      <c r="J83" s="7"/>
      <c r="K83" s="7"/>
      <c r="L83" s="7"/>
      <c r="M83" s="7"/>
      <c r="N83" s="7"/>
      <c r="O83" s="7"/>
      <c r="P83" s="7"/>
      <c r="Q83" s="14"/>
    </row>
    <row r="84" spans="3:17" ht="15.75" customHeight="1" x14ac:dyDescent="0.25">
      <c r="C84" s="13" t="s">
        <v>3</v>
      </c>
      <c r="D84" s="14"/>
      <c r="E84" s="13"/>
      <c r="F84" s="25"/>
      <c r="G84" s="14">
        <f>SUM(G14:G83)</f>
        <v>97405</v>
      </c>
      <c r="H84" s="14"/>
      <c r="I84" s="14">
        <f>SUM('July 2023'!$I$14:$I$83)</f>
        <v>22880</v>
      </c>
      <c r="J84" s="14">
        <f>SUM('July 2023'!$J$14:$J$83)</f>
        <v>16775</v>
      </c>
      <c r="K84" s="14">
        <f>SUM('July 2023'!$K$14:$K$83)</f>
        <v>0</v>
      </c>
      <c r="L84" s="14">
        <f>SUM('July 2023'!$L$14:$L$83)</f>
        <v>12675</v>
      </c>
      <c r="M84" s="14">
        <f>SUM('July 2023'!$M$14:$M$83)</f>
        <v>1125</v>
      </c>
      <c r="N84" s="14">
        <f>SUM('July 2023'!$N$14:$N$83)</f>
        <v>18225</v>
      </c>
      <c r="O84" s="14">
        <f>SUM('July 2023'!$O$14:$O$83)</f>
        <v>15925</v>
      </c>
      <c r="P84" s="14">
        <f>SUM('July 2023'!$P$14:$P$83)</f>
        <v>8150</v>
      </c>
      <c r="Q84" s="14">
        <f>SUM('July 2023'!$Q$14:$Q$83)</f>
        <v>1650</v>
      </c>
    </row>
    <row r="85" spans="3:17" ht="15.75" customHeight="1" x14ac:dyDescent="0.25">
      <c r="C85" s="1"/>
      <c r="E85" s="1"/>
      <c r="F85" s="16"/>
    </row>
    <row r="86" spans="3:17" ht="15.75" customHeight="1" x14ac:dyDescent="0.25">
      <c r="C86" s="1"/>
      <c r="D86" s="1"/>
      <c r="E86" s="1"/>
      <c r="F86" s="16"/>
      <c r="I86" s="33">
        <f>SUM('July 2023'!$I$84:'July 2023'!$P$84)</f>
        <v>95755</v>
      </c>
    </row>
    <row r="87" spans="3:17" ht="15.75" customHeight="1" x14ac:dyDescent="0.25">
      <c r="E87" s="1"/>
      <c r="F87" s="16"/>
    </row>
    <row r="88" spans="3:17" ht="15.75" customHeight="1" x14ac:dyDescent="0.25"/>
    <row r="89" spans="3:17" ht="15.75" customHeight="1" x14ac:dyDescent="0.25"/>
    <row r="90" spans="3:17" ht="15.75" customHeight="1" x14ac:dyDescent="0.25"/>
    <row r="91" spans="3:17" ht="15.75" customHeight="1" x14ac:dyDescent="0.25"/>
    <row r="92" spans="3:17" ht="15.75" customHeight="1" x14ac:dyDescent="0.25"/>
    <row r="93" spans="3:17" ht="15.75" customHeight="1" x14ac:dyDescent="0.25"/>
    <row r="94" spans="3:17" ht="15.75" customHeight="1" x14ac:dyDescent="0.25"/>
    <row r="95" spans="3:17" ht="15.75" customHeight="1" x14ac:dyDescent="0.25"/>
    <row r="96" spans="3:1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T28:V28"/>
    <mergeCell ref="T29:V29"/>
    <mergeCell ref="T30:V30"/>
    <mergeCell ref="T13:W13"/>
    <mergeCell ref="T14:V14"/>
    <mergeCell ref="T25:V25"/>
    <mergeCell ref="T26:V26"/>
    <mergeCell ref="T27:V27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5:W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10.42578125" customWidth="1"/>
    <col min="5" max="5" width="8.7109375" customWidth="1"/>
    <col min="6" max="6" width="10.28515625" customWidth="1"/>
    <col min="7" max="7" width="8.7109375" customWidth="1"/>
    <col min="8" max="8" width="12.140625" customWidth="1"/>
    <col min="9" max="19" width="8.7109375" customWidth="1"/>
    <col min="20" max="20" width="12.28515625" customWidth="1"/>
    <col min="21" max="21" width="11.85546875" customWidth="1"/>
    <col min="22" max="22" width="20" customWidth="1"/>
    <col min="23" max="26" width="8.7109375" customWidth="1"/>
  </cols>
  <sheetData>
    <row r="5" spans="3:23" x14ac:dyDescent="0.25">
      <c r="R5" s="1"/>
    </row>
    <row r="6" spans="3:23" ht="17.25" x14ac:dyDescent="0.3">
      <c r="C6" s="1"/>
      <c r="D6" s="2" t="s">
        <v>228</v>
      </c>
      <c r="E6" s="17"/>
      <c r="F6" s="18"/>
      <c r="G6" s="2"/>
      <c r="H6" s="2"/>
      <c r="I6" s="2"/>
      <c r="J6" s="2"/>
      <c r="K6" s="2"/>
      <c r="L6" s="2"/>
      <c r="M6" s="3"/>
      <c r="N6" s="3"/>
      <c r="O6" s="19" t="s">
        <v>88</v>
      </c>
      <c r="P6" s="26" t="s">
        <v>2</v>
      </c>
      <c r="Q6" s="27" t="s">
        <v>117</v>
      </c>
      <c r="R6" s="1"/>
    </row>
    <row r="7" spans="3:23" x14ac:dyDescent="0.25">
      <c r="C7" s="1"/>
      <c r="D7" s="4" t="s">
        <v>1</v>
      </c>
      <c r="E7" s="9" t="s">
        <v>2</v>
      </c>
      <c r="F7" s="37">
        <v>1799</v>
      </c>
      <c r="G7" s="4">
        <v>2099</v>
      </c>
      <c r="H7" s="4">
        <v>2699</v>
      </c>
      <c r="I7" s="4">
        <v>588</v>
      </c>
      <c r="J7" s="4">
        <v>2088</v>
      </c>
      <c r="K7" s="4">
        <v>2488</v>
      </c>
      <c r="L7" s="4">
        <v>2688</v>
      </c>
      <c r="M7" s="5">
        <v>3099</v>
      </c>
      <c r="N7" s="5" t="s">
        <v>3</v>
      </c>
      <c r="R7" s="1"/>
    </row>
    <row r="8" spans="3:23" ht="17.25" x14ac:dyDescent="0.3">
      <c r="C8" s="1"/>
      <c r="D8" s="6" t="s">
        <v>4</v>
      </c>
      <c r="E8" s="10">
        <f>'Aug 2023'!$I$87</f>
        <v>16920</v>
      </c>
      <c r="F8" s="12">
        <f>'Aug 2023'!$J$87</f>
        <v>20325</v>
      </c>
      <c r="G8" s="7">
        <f>'Aug 2023'!$K$87</f>
        <v>0</v>
      </c>
      <c r="H8" s="7">
        <f>'Aug 2023'!$L$87</f>
        <v>14400</v>
      </c>
      <c r="I8" s="7">
        <f>'Aug 2023'!$M$87</f>
        <v>500</v>
      </c>
      <c r="J8" s="7">
        <f>'Aug 2023'!$N$87</f>
        <v>8525</v>
      </c>
      <c r="K8" s="7">
        <f>'Aug 2023'!$O$87</f>
        <v>10650</v>
      </c>
      <c r="L8" s="7">
        <f>'Aug 2023'!$P$87</f>
        <v>11075</v>
      </c>
      <c r="M8" s="38">
        <f>'Aug 2023'!$Q$87</f>
        <v>3375</v>
      </c>
      <c r="N8" s="8">
        <f>SUM(E8:M8)</f>
        <v>85770</v>
      </c>
      <c r="O8" s="28">
        <f>SUM(F8:M8)</f>
        <v>68850</v>
      </c>
      <c r="P8" s="29">
        <f>E8</f>
        <v>16920</v>
      </c>
      <c r="Q8" s="30">
        <f>SUM(O8,P8)</f>
        <v>85770</v>
      </c>
      <c r="R8" s="1"/>
    </row>
    <row r="9" spans="3:23" x14ac:dyDescent="0.25">
      <c r="C9" s="1"/>
      <c r="D9" s="6" t="s">
        <v>5</v>
      </c>
      <c r="E9" s="10"/>
      <c r="F9" s="12"/>
      <c r="G9" s="7"/>
      <c r="H9" s="7"/>
      <c r="I9" s="7"/>
      <c r="J9" s="7"/>
      <c r="K9" s="7"/>
      <c r="L9" s="7"/>
      <c r="M9" s="7"/>
      <c r="N9" s="7"/>
      <c r="R9" s="1"/>
    </row>
    <row r="10" spans="3:23" x14ac:dyDescent="0.25">
      <c r="C10" s="1"/>
      <c r="D10" s="6" t="s">
        <v>6</v>
      </c>
      <c r="E10" s="10"/>
      <c r="F10" s="12"/>
      <c r="G10" s="7"/>
      <c r="H10" s="7"/>
      <c r="I10" s="7"/>
      <c r="J10" s="7"/>
      <c r="K10" s="7"/>
      <c r="L10" s="7"/>
      <c r="M10" s="7"/>
      <c r="N10" s="7"/>
      <c r="R10" s="1"/>
    </row>
    <row r="11" spans="3:23" x14ac:dyDescent="0.25">
      <c r="C11" s="1"/>
      <c r="D11" s="6" t="s">
        <v>7</v>
      </c>
      <c r="E11" s="10"/>
      <c r="F11" s="12"/>
      <c r="G11" s="7"/>
      <c r="H11" s="7"/>
      <c r="I11" s="7"/>
      <c r="J11" s="7"/>
      <c r="K11" s="7"/>
      <c r="L11" s="7"/>
      <c r="M11" s="7"/>
      <c r="N11" s="7"/>
      <c r="R11" s="1"/>
    </row>
    <row r="12" spans="3:23" x14ac:dyDescent="0.25">
      <c r="C12" s="1"/>
      <c r="E12" s="1"/>
      <c r="F12" s="16"/>
      <c r="R12" s="1"/>
    </row>
    <row r="13" spans="3:23" x14ac:dyDescent="0.25">
      <c r="C13" s="1"/>
      <c r="E13" s="1"/>
      <c r="F13" s="16"/>
      <c r="R13" s="1"/>
    </row>
    <row r="14" spans="3:23" x14ac:dyDescent="0.25">
      <c r="C14" s="1"/>
      <c r="E14" s="1"/>
      <c r="F14" s="16"/>
      <c r="R14" s="1"/>
    </row>
    <row r="15" spans="3:23" ht="15.75" x14ac:dyDescent="0.25">
      <c r="C15" s="9" t="s">
        <v>8</v>
      </c>
      <c r="D15" s="4" t="s">
        <v>9</v>
      </c>
      <c r="E15" s="9" t="s">
        <v>10</v>
      </c>
      <c r="F15" s="20" t="s">
        <v>11</v>
      </c>
      <c r="G15" s="4" t="s">
        <v>4</v>
      </c>
      <c r="H15" s="4" t="s">
        <v>12</v>
      </c>
      <c r="I15" s="4" t="s">
        <v>2</v>
      </c>
      <c r="J15" s="4" t="s">
        <v>13</v>
      </c>
      <c r="K15" s="4" t="s">
        <v>14</v>
      </c>
      <c r="L15" s="4" t="s">
        <v>15</v>
      </c>
      <c r="M15" s="4" t="s">
        <v>16</v>
      </c>
      <c r="N15" s="4" t="s">
        <v>17</v>
      </c>
      <c r="O15" s="4" t="s">
        <v>18</v>
      </c>
      <c r="P15" s="4" t="s">
        <v>19</v>
      </c>
      <c r="Q15" s="39" t="s">
        <v>204</v>
      </c>
      <c r="T15" s="101" t="s">
        <v>118</v>
      </c>
      <c r="U15" s="102"/>
      <c r="V15" s="102"/>
      <c r="W15" s="102"/>
    </row>
    <row r="16" spans="3:23" x14ac:dyDescent="0.25">
      <c r="C16" s="10">
        <v>1</v>
      </c>
      <c r="D16" s="11">
        <v>45139</v>
      </c>
      <c r="E16" s="10">
        <v>269</v>
      </c>
      <c r="F16" s="22" t="s">
        <v>150</v>
      </c>
      <c r="G16" s="7">
        <v>1000</v>
      </c>
      <c r="H16" s="12">
        <v>154</v>
      </c>
      <c r="I16" s="7"/>
      <c r="J16" s="7" t="s">
        <v>84</v>
      </c>
      <c r="K16" s="7"/>
      <c r="L16" s="7" t="s">
        <v>84</v>
      </c>
      <c r="M16" s="7"/>
      <c r="N16" s="7">
        <v>1000</v>
      </c>
      <c r="O16" s="7"/>
      <c r="P16" s="7" t="s">
        <v>84</v>
      </c>
      <c r="Q16" s="40"/>
      <c r="T16" s="97" t="s">
        <v>172</v>
      </c>
      <c r="U16" s="98"/>
      <c r="V16" s="98"/>
      <c r="W16" s="34"/>
    </row>
    <row r="17" spans="3:23" x14ac:dyDescent="0.25">
      <c r="C17" s="10">
        <v>2</v>
      </c>
      <c r="D17" s="11">
        <v>45139</v>
      </c>
      <c r="E17" s="10">
        <v>270</v>
      </c>
      <c r="F17" s="22" t="s">
        <v>229</v>
      </c>
      <c r="G17" s="7">
        <v>500</v>
      </c>
      <c r="H17" s="12">
        <v>153</v>
      </c>
      <c r="I17" s="7"/>
      <c r="J17" s="7"/>
      <c r="K17" s="7"/>
      <c r="L17" s="7"/>
      <c r="M17" s="7"/>
      <c r="N17" s="7"/>
      <c r="O17" s="7">
        <v>500</v>
      </c>
      <c r="P17" s="7"/>
      <c r="Q17" s="7"/>
      <c r="T17" s="10" t="s">
        <v>121</v>
      </c>
      <c r="U17" s="7" t="s">
        <v>9</v>
      </c>
      <c r="V17" s="7" t="s">
        <v>122</v>
      </c>
      <c r="W17" s="7" t="s">
        <v>4</v>
      </c>
    </row>
    <row r="18" spans="3:23" x14ac:dyDescent="0.25">
      <c r="C18" s="10">
        <v>3</v>
      </c>
      <c r="D18" s="11">
        <v>45139</v>
      </c>
      <c r="E18" s="10">
        <v>271</v>
      </c>
      <c r="F18" s="22" t="s">
        <v>216</v>
      </c>
      <c r="G18" s="7">
        <v>1500</v>
      </c>
      <c r="H18" s="12">
        <v>156</v>
      </c>
      <c r="I18" s="7"/>
      <c r="J18" s="7"/>
      <c r="K18" s="7"/>
      <c r="L18" s="7">
        <v>1500</v>
      </c>
      <c r="M18" s="7"/>
      <c r="N18" s="7"/>
      <c r="O18" s="7"/>
      <c r="P18" s="7" t="s">
        <v>84</v>
      </c>
      <c r="Q18" s="7"/>
      <c r="T18" s="10">
        <v>1</v>
      </c>
      <c r="U18" s="41">
        <v>45149</v>
      </c>
      <c r="V18" s="7" t="s">
        <v>230</v>
      </c>
      <c r="W18" s="7">
        <v>20444</v>
      </c>
    </row>
    <row r="19" spans="3:23" x14ac:dyDescent="0.25">
      <c r="C19" s="10">
        <v>4</v>
      </c>
      <c r="D19" s="11">
        <v>45139</v>
      </c>
      <c r="E19" s="10">
        <v>272</v>
      </c>
      <c r="F19" s="22" t="s">
        <v>163</v>
      </c>
      <c r="G19" s="7">
        <v>1000</v>
      </c>
      <c r="H19" s="31">
        <v>159</v>
      </c>
      <c r="I19" s="7"/>
      <c r="J19" s="7" t="s">
        <v>84</v>
      </c>
      <c r="K19" s="7"/>
      <c r="L19" s="7"/>
      <c r="M19" s="7"/>
      <c r="N19" s="7"/>
      <c r="O19" s="7"/>
      <c r="P19" s="7">
        <v>1000</v>
      </c>
      <c r="Q19" s="7"/>
      <c r="T19" s="10">
        <v>2</v>
      </c>
      <c r="U19" s="41"/>
      <c r="V19" s="7"/>
      <c r="W19" s="7"/>
    </row>
    <row r="20" spans="3:23" x14ac:dyDescent="0.25">
      <c r="C20" s="10">
        <v>5</v>
      </c>
      <c r="D20" s="11">
        <v>45139</v>
      </c>
      <c r="E20" s="10">
        <v>273</v>
      </c>
      <c r="F20" s="22" t="s">
        <v>71</v>
      </c>
      <c r="G20" s="7">
        <v>200</v>
      </c>
      <c r="H20" s="12">
        <v>156</v>
      </c>
      <c r="I20" s="7"/>
      <c r="J20" s="7"/>
      <c r="K20" s="7"/>
      <c r="L20" s="7"/>
      <c r="M20" s="7"/>
      <c r="N20" s="7"/>
      <c r="O20" s="7">
        <v>200</v>
      </c>
      <c r="P20" s="7"/>
      <c r="Q20" s="7"/>
      <c r="T20" s="10">
        <v>3</v>
      </c>
      <c r="U20" s="11"/>
      <c r="V20" s="7"/>
      <c r="W20" s="7"/>
    </row>
    <row r="21" spans="3:23" ht="15.75" customHeight="1" x14ac:dyDescent="0.25">
      <c r="C21" s="10">
        <v>6</v>
      </c>
      <c r="D21" s="11">
        <v>45140</v>
      </c>
      <c r="E21" s="10">
        <v>276</v>
      </c>
      <c r="F21" s="22" t="s">
        <v>163</v>
      </c>
      <c r="G21" s="7">
        <v>3000</v>
      </c>
      <c r="H21" s="12">
        <v>157</v>
      </c>
      <c r="I21" s="7"/>
      <c r="J21" s="7" t="s">
        <v>84</v>
      </c>
      <c r="K21" s="7"/>
      <c r="L21" s="7">
        <v>3000</v>
      </c>
      <c r="M21" s="7"/>
      <c r="N21" s="7"/>
      <c r="O21" s="7"/>
      <c r="P21" s="7"/>
      <c r="Q21" s="7"/>
      <c r="T21" s="10">
        <v>4</v>
      </c>
      <c r="U21" s="11"/>
      <c r="V21" s="7"/>
      <c r="W21" s="32"/>
    </row>
    <row r="22" spans="3:23" ht="15.75" customHeight="1" x14ac:dyDescent="0.25">
      <c r="C22" s="10">
        <v>7</v>
      </c>
      <c r="D22" s="11">
        <v>45140</v>
      </c>
      <c r="E22" s="10">
        <v>277</v>
      </c>
      <c r="F22" s="22" t="s">
        <v>89</v>
      </c>
      <c r="G22" s="7">
        <v>500</v>
      </c>
      <c r="H22" s="12">
        <v>157</v>
      </c>
      <c r="I22" s="7"/>
      <c r="J22" s="7"/>
      <c r="K22" s="7"/>
      <c r="L22" s="7"/>
      <c r="M22" s="7"/>
      <c r="N22" s="7"/>
      <c r="O22" s="7">
        <v>500</v>
      </c>
      <c r="P22" s="7"/>
      <c r="Q22" s="7"/>
      <c r="T22" s="10">
        <v>5</v>
      </c>
      <c r="U22" s="11"/>
      <c r="V22" s="7"/>
      <c r="W22" s="7"/>
    </row>
    <row r="23" spans="3:23" ht="15.75" customHeight="1" x14ac:dyDescent="0.25">
      <c r="C23" s="10">
        <v>8</v>
      </c>
      <c r="D23" s="11">
        <v>45141</v>
      </c>
      <c r="E23" s="10">
        <v>278</v>
      </c>
      <c r="F23" s="22" t="s">
        <v>231</v>
      </c>
      <c r="G23" s="7">
        <v>2000</v>
      </c>
      <c r="H23" s="12">
        <v>145</v>
      </c>
      <c r="I23" s="7"/>
      <c r="J23" s="7">
        <v>2000</v>
      </c>
      <c r="K23" s="7"/>
      <c r="L23" s="7"/>
      <c r="M23" s="7"/>
      <c r="N23" s="7"/>
      <c r="O23" s="7"/>
      <c r="P23" s="7"/>
      <c r="Q23" s="7"/>
      <c r="T23" s="10">
        <v>6</v>
      </c>
      <c r="U23" s="11"/>
      <c r="V23" s="7"/>
      <c r="W23" s="7"/>
    </row>
    <row r="24" spans="3:23" ht="15.75" customHeight="1" x14ac:dyDescent="0.25">
      <c r="C24" s="10">
        <v>9</v>
      </c>
      <c r="D24" s="11">
        <v>45141</v>
      </c>
      <c r="E24" s="10">
        <v>279</v>
      </c>
      <c r="F24" s="22" t="s">
        <v>232</v>
      </c>
      <c r="G24" s="7">
        <v>500</v>
      </c>
      <c r="H24" s="12">
        <v>155</v>
      </c>
      <c r="I24" s="7"/>
      <c r="J24" s="7"/>
      <c r="K24" s="7"/>
      <c r="L24" s="7"/>
      <c r="M24" s="7"/>
      <c r="N24" s="7"/>
      <c r="O24" s="7">
        <v>500</v>
      </c>
      <c r="P24" s="7"/>
      <c r="Q24" s="7"/>
      <c r="T24" s="10">
        <v>7</v>
      </c>
      <c r="U24" s="11"/>
      <c r="V24" s="7"/>
      <c r="W24" s="7"/>
    </row>
    <row r="25" spans="3:23" ht="15.75" customHeight="1" x14ac:dyDescent="0.25">
      <c r="C25" s="10">
        <v>10</v>
      </c>
      <c r="D25" s="11">
        <v>45141</v>
      </c>
      <c r="E25" s="10">
        <v>280</v>
      </c>
      <c r="F25" s="22" t="s">
        <v>140</v>
      </c>
      <c r="G25" s="7">
        <v>300</v>
      </c>
      <c r="H25" s="12">
        <v>125</v>
      </c>
      <c r="I25" s="7">
        <v>300</v>
      </c>
      <c r="J25" s="7"/>
      <c r="K25" s="7"/>
      <c r="L25" s="7"/>
      <c r="M25" s="7"/>
      <c r="N25" s="7"/>
      <c r="O25" s="7"/>
      <c r="P25" s="7"/>
      <c r="Q25" s="7"/>
      <c r="T25" s="10">
        <v>8</v>
      </c>
      <c r="U25" s="11"/>
      <c r="V25" s="7"/>
      <c r="W25" s="7"/>
    </row>
    <row r="26" spans="3:23" ht="15.75" customHeight="1" x14ac:dyDescent="0.25">
      <c r="C26" s="10">
        <v>11</v>
      </c>
      <c r="D26" s="11">
        <v>45142</v>
      </c>
      <c r="E26" s="10">
        <v>283</v>
      </c>
      <c r="F26" s="22" t="s">
        <v>90</v>
      </c>
      <c r="G26" s="7">
        <v>1000</v>
      </c>
      <c r="H26" s="12" t="s">
        <v>233</v>
      </c>
      <c r="I26" s="7"/>
      <c r="J26" s="7">
        <v>300</v>
      </c>
      <c r="K26" s="7"/>
      <c r="L26" s="7"/>
      <c r="M26" s="7"/>
      <c r="N26" s="7">
        <v>500</v>
      </c>
      <c r="O26" s="7">
        <v>200</v>
      </c>
      <c r="P26" s="7"/>
      <c r="Q26" s="7"/>
      <c r="T26" s="10"/>
      <c r="U26" s="7"/>
      <c r="V26" s="7"/>
      <c r="W26" s="7"/>
    </row>
    <row r="27" spans="3:23" ht="15.75" customHeight="1" x14ac:dyDescent="0.25">
      <c r="C27" s="10">
        <v>12</v>
      </c>
      <c r="D27" s="11">
        <v>45142</v>
      </c>
      <c r="E27" s="10">
        <v>284</v>
      </c>
      <c r="F27" s="22" t="s">
        <v>80</v>
      </c>
      <c r="G27" s="7">
        <v>1000</v>
      </c>
      <c r="H27" s="12">
        <v>147</v>
      </c>
      <c r="I27" s="7"/>
      <c r="J27" s="7">
        <v>1000</v>
      </c>
      <c r="K27" s="7"/>
      <c r="L27" s="7"/>
      <c r="M27" s="7"/>
      <c r="N27" s="7"/>
      <c r="O27" s="7"/>
      <c r="P27" s="7"/>
      <c r="Q27" s="7"/>
      <c r="T27" s="97" t="s">
        <v>181</v>
      </c>
      <c r="U27" s="98"/>
      <c r="V27" s="99"/>
      <c r="W27" s="7">
        <f>SUM(W18:W25)</f>
        <v>20444</v>
      </c>
    </row>
    <row r="28" spans="3:23" ht="15.75" customHeight="1" x14ac:dyDescent="0.25">
      <c r="C28" s="10">
        <v>13</v>
      </c>
      <c r="D28" s="11">
        <v>45143</v>
      </c>
      <c r="E28" s="10">
        <v>285</v>
      </c>
      <c r="F28" s="22" t="s">
        <v>216</v>
      </c>
      <c r="G28" s="7">
        <v>2400</v>
      </c>
      <c r="H28" s="12">
        <v>158</v>
      </c>
      <c r="I28" s="7"/>
      <c r="J28" s="7"/>
      <c r="K28" s="7"/>
      <c r="L28" s="7">
        <v>2400</v>
      </c>
      <c r="M28" s="7"/>
      <c r="N28" s="7"/>
      <c r="O28" s="7"/>
      <c r="P28" s="7"/>
      <c r="Q28" s="7"/>
      <c r="T28" s="97" t="s">
        <v>183</v>
      </c>
      <c r="U28" s="98"/>
      <c r="V28" s="99"/>
      <c r="W28" s="7">
        <v>121521</v>
      </c>
    </row>
    <row r="29" spans="3:23" ht="15.75" customHeight="1" x14ac:dyDescent="0.25">
      <c r="C29" s="10">
        <v>14</v>
      </c>
      <c r="D29" s="11">
        <v>45143</v>
      </c>
      <c r="E29" s="10">
        <v>286</v>
      </c>
      <c r="F29" s="22" t="s">
        <v>234</v>
      </c>
      <c r="G29" s="7">
        <v>500</v>
      </c>
      <c r="H29" s="12">
        <v>160</v>
      </c>
      <c r="I29" s="7"/>
      <c r="J29" s="7"/>
      <c r="K29" s="7"/>
      <c r="L29" s="7"/>
      <c r="M29" s="7"/>
      <c r="N29" s="7">
        <v>500</v>
      </c>
      <c r="O29" s="7"/>
      <c r="P29" s="7"/>
      <c r="Q29" s="7"/>
      <c r="T29" s="97" t="s">
        <v>184</v>
      </c>
      <c r="U29" s="98"/>
      <c r="V29" s="99"/>
      <c r="W29" s="35">
        <f>SUM(W27,W28)</f>
        <v>141965</v>
      </c>
    </row>
    <row r="30" spans="3:23" ht="15.75" customHeight="1" x14ac:dyDescent="0.25">
      <c r="C30" s="10">
        <v>15</v>
      </c>
      <c r="D30" s="11">
        <v>45143</v>
      </c>
      <c r="E30" s="10">
        <v>287</v>
      </c>
      <c r="F30" s="22" t="s">
        <v>37</v>
      </c>
      <c r="G30" s="7">
        <v>500</v>
      </c>
      <c r="H30" s="12">
        <v>170</v>
      </c>
      <c r="I30" s="7"/>
      <c r="J30" s="7"/>
      <c r="K30" s="7"/>
      <c r="L30" s="7"/>
      <c r="M30" s="7"/>
      <c r="N30" s="7"/>
      <c r="O30" s="7"/>
      <c r="P30" s="7">
        <v>500</v>
      </c>
      <c r="Q30" s="7"/>
      <c r="T30" s="97" t="s">
        <v>186</v>
      </c>
      <c r="U30" s="98"/>
      <c r="V30" s="99"/>
      <c r="W30" s="7">
        <f>'Aug 2023'!$I$87</f>
        <v>16920</v>
      </c>
    </row>
    <row r="31" spans="3:23" ht="15.75" customHeight="1" x14ac:dyDescent="0.25">
      <c r="C31" s="10">
        <v>16</v>
      </c>
      <c r="D31" s="11">
        <v>45143</v>
      </c>
      <c r="E31" s="24">
        <v>288</v>
      </c>
      <c r="F31" s="22" t="s">
        <v>56</v>
      </c>
      <c r="G31" s="7">
        <v>100</v>
      </c>
      <c r="H31" s="12">
        <v>130</v>
      </c>
      <c r="I31" s="7">
        <v>100</v>
      </c>
      <c r="J31" s="7"/>
      <c r="K31" s="7"/>
      <c r="L31" s="7"/>
      <c r="M31" s="7"/>
      <c r="N31" s="7"/>
      <c r="O31" s="7"/>
      <c r="P31" s="7"/>
      <c r="Q31" s="7"/>
      <c r="T31" s="97"/>
      <c r="U31" s="98"/>
      <c r="V31" s="99"/>
      <c r="W31" s="7"/>
    </row>
    <row r="32" spans="3:23" ht="15.75" customHeight="1" x14ac:dyDescent="0.25">
      <c r="C32" s="10">
        <v>17</v>
      </c>
      <c r="D32" s="11">
        <v>45145</v>
      </c>
      <c r="E32" s="10">
        <v>289</v>
      </c>
      <c r="F32" s="22" t="s">
        <v>48</v>
      </c>
      <c r="G32" s="7">
        <v>250</v>
      </c>
      <c r="H32" s="12" t="s">
        <v>235</v>
      </c>
      <c r="I32" s="7">
        <v>200</v>
      </c>
      <c r="J32" s="7"/>
      <c r="K32" s="7"/>
      <c r="L32" s="7"/>
      <c r="M32" s="7"/>
      <c r="N32" s="7"/>
      <c r="O32" s="7"/>
      <c r="P32" s="7">
        <v>50</v>
      </c>
      <c r="Q32" s="7"/>
      <c r="T32" s="100" t="s">
        <v>188</v>
      </c>
      <c r="U32" s="98"/>
      <c r="V32" s="99"/>
      <c r="W32" s="36">
        <f>SUM(W29-W30)</f>
        <v>125045</v>
      </c>
    </row>
    <row r="33" spans="2:19" ht="15.75" customHeight="1" x14ac:dyDescent="0.25">
      <c r="C33" s="10">
        <v>18</v>
      </c>
      <c r="D33" s="11">
        <v>45148</v>
      </c>
      <c r="E33" s="10">
        <v>293</v>
      </c>
      <c r="F33" s="22" t="s">
        <v>157</v>
      </c>
      <c r="G33" s="7">
        <v>300</v>
      </c>
      <c r="H33" s="12" t="s">
        <v>236</v>
      </c>
      <c r="I33" s="7"/>
      <c r="J33" s="7"/>
      <c r="K33" s="7"/>
      <c r="L33" s="7"/>
      <c r="M33" s="7"/>
      <c r="N33" s="7"/>
      <c r="O33" s="7"/>
      <c r="P33" s="7">
        <v>275</v>
      </c>
      <c r="Q33" s="7">
        <v>75</v>
      </c>
    </row>
    <row r="34" spans="2:19" ht="15.75" customHeight="1" x14ac:dyDescent="0.25">
      <c r="C34" s="10">
        <v>19</v>
      </c>
      <c r="D34" s="11">
        <v>45148</v>
      </c>
      <c r="E34" s="10">
        <v>294</v>
      </c>
      <c r="F34" s="22" t="s">
        <v>80</v>
      </c>
      <c r="G34" s="7">
        <v>100</v>
      </c>
      <c r="H34" s="12">
        <v>172</v>
      </c>
      <c r="I34" s="7"/>
      <c r="J34" s="7"/>
      <c r="K34" s="7"/>
      <c r="L34" s="7"/>
      <c r="M34" s="7"/>
      <c r="N34" s="7"/>
      <c r="O34" s="7"/>
      <c r="P34" s="7">
        <v>100</v>
      </c>
      <c r="Q34" s="7"/>
    </row>
    <row r="35" spans="2:19" ht="15.75" customHeight="1" x14ac:dyDescent="0.25">
      <c r="C35" s="10">
        <v>20</v>
      </c>
      <c r="D35" s="11">
        <v>45148</v>
      </c>
      <c r="E35" s="10">
        <v>295</v>
      </c>
      <c r="F35" s="22" t="s">
        <v>192</v>
      </c>
      <c r="G35" s="7">
        <v>2000</v>
      </c>
      <c r="H35" s="12">
        <v>153</v>
      </c>
      <c r="I35" s="7"/>
      <c r="J35" s="7"/>
      <c r="K35" s="7"/>
      <c r="L35" s="7"/>
      <c r="M35" s="7"/>
      <c r="N35" s="7">
        <v>2000</v>
      </c>
      <c r="O35" s="7"/>
      <c r="P35" s="7"/>
      <c r="Q35" s="7"/>
    </row>
    <row r="36" spans="2:19" ht="15.75" customHeight="1" x14ac:dyDescent="0.25">
      <c r="C36" s="10">
        <v>21</v>
      </c>
      <c r="D36" s="11">
        <v>45149</v>
      </c>
      <c r="E36" s="10" t="s">
        <v>237</v>
      </c>
      <c r="F36" s="22" t="s">
        <v>49</v>
      </c>
      <c r="G36" s="7">
        <v>5000</v>
      </c>
      <c r="H36" s="12">
        <v>148.5</v>
      </c>
      <c r="I36" s="7"/>
      <c r="J36" s="7">
        <v>5000</v>
      </c>
      <c r="K36" s="7"/>
      <c r="L36" s="7"/>
      <c r="M36" s="7"/>
      <c r="N36" s="7"/>
      <c r="O36" s="7"/>
      <c r="P36" s="7"/>
      <c r="Q36" s="7"/>
    </row>
    <row r="37" spans="2:19" ht="15.75" customHeight="1" x14ac:dyDescent="0.25">
      <c r="C37" s="10">
        <v>22</v>
      </c>
      <c r="D37" s="11">
        <v>45152</v>
      </c>
      <c r="E37" s="10">
        <v>297</v>
      </c>
      <c r="F37" s="22" t="s">
        <v>37</v>
      </c>
      <c r="G37" s="7">
        <v>500</v>
      </c>
      <c r="H37" s="12">
        <v>170</v>
      </c>
      <c r="I37" s="7"/>
      <c r="J37" s="7"/>
      <c r="K37" s="7"/>
      <c r="L37" s="7"/>
      <c r="M37" s="7"/>
      <c r="N37" s="7"/>
      <c r="O37" s="7"/>
      <c r="P37" s="7">
        <v>500</v>
      </c>
      <c r="Q37" s="7"/>
    </row>
    <row r="38" spans="2:19" ht="15.75" customHeight="1" x14ac:dyDescent="0.25">
      <c r="C38" s="10">
        <v>23</v>
      </c>
      <c r="D38" s="11">
        <v>45152</v>
      </c>
      <c r="E38" s="10">
        <v>298</v>
      </c>
      <c r="F38" s="22" t="s">
        <v>26</v>
      </c>
      <c r="G38" s="7">
        <v>150</v>
      </c>
      <c r="H38" s="12">
        <v>185</v>
      </c>
      <c r="I38" s="7"/>
      <c r="J38" s="7"/>
      <c r="K38" s="7"/>
      <c r="L38" s="7"/>
      <c r="M38" s="7"/>
      <c r="N38" s="7"/>
      <c r="O38" s="7"/>
      <c r="P38" s="7">
        <v>150</v>
      </c>
      <c r="Q38" s="7"/>
    </row>
    <row r="39" spans="2:19" ht="15.75" customHeight="1" x14ac:dyDescent="0.25">
      <c r="C39" s="10">
        <v>24</v>
      </c>
      <c r="D39" s="11">
        <v>45152</v>
      </c>
      <c r="E39" s="10" t="s">
        <v>27</v>
      </c>
      <c r="F39" s="22" t="s">
        <v>30</v>
      </c>
      <c r="G39" s="7">
        <v>200</v>
      </c>
      <c r="H39" s="12">
        <v>190</v>
      </c>
      <c r="I39" s="7"/>
      <c r="J39" s="7"/>
      <c r="K39" s="7"/>
      <c r="L39" s="7"/>
      <c r="M39" s="7"/>
      <c r="N39" s="7"/>
      <c r="O39" s="7">
        <v>200</v>
      </c>
      <c r="P39" s="7"/>
      <c r="Q39" s="7"/>
    </row>
    <row r="40" spans="2:19" ht="15.75" customHeight="1" x14ac:dyDescent="0.25">
      <c r="C40" s="10">
        <v>25</v>
      </c>
      <c r="D40" s="11">
        <v>45155</v>
      </c>
      <c r="E40" s="10" t="s">
        <v>238</v>
      </c>
      <c r="F40" s="22" t="s">
        <v>32</v>
      </c>
      <c r="G40" s="7">
        <v>500</v>
      </c>
      <c r="H40" s="12">
        <v>170</v>
      </c>
      <c r="I40" s="7"/>
      <c r="J40" s="7"/>
      <c r="K40" s="7"/>
      <c r="L40" s="7"/>
      <c r="M40" s="7"/>
      <c r="N40" s="7"/>
      <c r="O40" s="7">
        <v>500</v>
      </c>
      <c r="P40" s="7"/>
      <c r="Q40" s="7"/>
    </row>
    <row r="41" spans="2:19" ht="15.75" customHeight="1" x14ac:dyDescent="0.25">
      <c r="C41" s="10">
        <v>26</v>
      </c>
      <c r="D41" s="11">
        <v>45156</v>
      </c>
      <c r="E41" s="10">
        <v>300</v>
      </c>
      <c r="F41" s="22" t="s">
        <v>80</v>
      </c>
      <c r="G41" s="7">
        <v>100</v>
      </c>
      <c r="H41" s="12">
        <v>152</v>
      </c>
      <c r="I41" s="7"/>
      <c r="J41" s="7">
        <v>100</v>
      </c>
      <c r="K41" s="7"/>
      <c r="L41" s="7"/>
      <c r="M41" s="7"/>
      <c r="N41" s="7"/>
      <c r="O41" s="7"/>
      <c r="P41" s="7"/>
      <c r="Q41" s="7"/>
    </row>
    <row r="42" spans="2:19" ht="15.75" customHeight="1" x14ac:dyDescent="0.25">
      <c r="C42" s="10">
        <v>27</v>
      </c>
      <c r="D42" s="11">
        <v>45156</v>
      </c>
      <c r="E42" s="10">
        <v>301</v>
      </c>
      <c r="F42" s="22" t="s">
        <v>190</v>
      </c>
      <c r="G42" s="7">
        <v>1000</v>
      </c>
      <c r="H42" s="12">
        <v>169</v>
      </c>
      <c r="I42" s="7"/>
      <c r="J42" s="7"/>
      <c r="K42" s="7"/>
      <c r="L42" s="7"/>
      <c r="M42" s="7"/>
      <c r="N42" s="7"/>
      <c r="O42" s="7"/>
      <c r="P42" s="7"/>
      <c r="Q42" s="7">
        <v>1000</v>
      </c>
    </row>
    <row r="43" spans="2:19" ht="15.75" customHeight="1" x14ac:dyDescent="0.25">
      <c r="C43" s="10">
        <v>28</v>
      </c>
      <c r="D43" s="11">
        <v>45156</v>
      </c>
      <c r="E43" s="10">
        <v>302</v>
      </c>
      <c r="F43" s="22" t="s">
        <v>21</v>
      </c>
      <c r="G43" s="7">
        <v>1000</v>
      </c>
      <c r="H43" s="12">
        <v>124</v>
      </c>
      <c r="I43" s="7">
        <v>1000</v>
      </c>
      <c r="J43" s="7"/>
      <c r="K43" s="7"/>
      <c r="L43" s="7"/>
      <c r="M43" s="7"/>
      <c r="N43" s="7"/>
      <c r="O43" s="7"/>
      <c r="P43" s="7"/>
      <c r="Q43" s="7"/>
    </row>
    <row r="44" spans="2:19" ht="15.75" customHeight="1" x14ac:dyDescent="0.25">
      <c r="C44" s="10">
        <v>29</v>
      </c>
      <c r="D44" s="11">
        <v>45156</v>
      </c>
      <c r="E44" s="10">
        <v>307</v>
      </c>
      <c r="F44" s="22" t="s">
        <v>44</v>
      </c>
      <c r="G44" s="7">
        <v>4250</v>
      </c>
      <c r="H44" s="12">
        <v>185</v>
      </c>
      <c r="I44" s="7"/>
      <c r="J44" s="7"/>
      <c r="K44" s="7"/>
      <c r="L44" s="7"/>
      <c r="M44" s="7"/>
      <c r="N44" s="7"/>
      <c r="O44" s="7"/>
      <c r="P44" s="7">
        <v>4250</v>
      </c>
      <c r="Q44" s="7"/>
      <c r="S44" s="1"/>
    </row>
    <row r="45" spans="2:19" ht="15.75" customHeight="1" x14ac:dyDescent="0.25">
      <c r="B45" s="42"/>
      <c r="C45" s="10">
        <v>30</v>
      </c>
      <c r="D45" s="11">
        <v>45156</v>
      </c>
      <c r="E45" s="10">
        <v>308</v>
      </c>
      <c r="F45" s="22" t="s">
        <v>24</v>
      </c>
      <c r="G45" s="7">
        <v>200</v>
      </c>
      <c r="H45" s="12">
        <v>164</v>
      </c>
      <c r="I45" s="7"/>
      <c r="J45" s="7"/>
      <c r="K45" s="7"/>
      <c r="L45" s="7"/>
      <c r="M45" s="7"/>
      <c r="N45" s="7">
        <v>200</v>
      </c>
      <c r="O45" s="7"/>
      <c r="P45" s="7"/>
      <c r="Q45" s="7"/>
      <c r="S45" s="1"/>
    </row>
    <row r="46" spans="2:19" ht="15.75" customHeight="1" x14ac:dyDescent="0.25">
      <c r="B46" s="42"/>
      <c r="C46" s="10">
        <v>31</v>
      </c>
      <c r="D46" s="11">
        <v>45157</v>
      </c>
      <c r="E46" s="10">
        <v>312</v>
      </c>
      <c r="F46" s="22" t="s">
        <v>101</v>
      </c>
      <c r="G46" s="7">
        <v>4500</v>
      </c>
      <c r="H46" s="12">
        <v>150</v>
      </c>
      <c r="I46" s="7"/>
      <c r="J46" s="7">
        <v>4500</v>
      </c>
      <c r="K46" s="7"/>
      <c r="L46" s="7"/>
      <c r="M46" s="7"/>
      <c r="N46" s="7"/>
      <c r="O46" s="7"/>
      <c r="P46" s="7"/>
      <c r="Q46" s="7"/>
      <c r="S46" s="1"/>
    </row>
    <row r="47" spans="2:19" ht="15.75" customHeight="1" x14ac:dyDescent="0.25">
      <c r="B47" s="42"/>
      <c r="C47" s="10">
        <v>32</v>
      </c>
      <c r="D47" s="11">
        <v>45160</v>
      </c>
      <c r="E47" s="10">
        <v>315</v>
      </c>
      <c r="F47" s="22" t="s">
        <v>71</v>
      </c>
      <c r="G47" s="7">
        <v>500</v>
      </c>
      <c r="H47" s="12">
        <v>158</v>
      </c>
      <c r="I47" s="7"/>
      <c r="J47" s="7"/>
      <c r="K47" s="7"/>
      <c r="L47" s="7"/>
      <c r="M47" s="7"/>
      <c r="N47" s="7">
        <v>500</v>
      </c>
      <c r="O47" s="7"/>
      <c r="P47" s="7"/>
      <c r="Q47" s="7"/>
      <c r="S47" s="1"/>
    </row>
    <row r="48" spans="2:19" ht="15.75" customHeight="1" x14ac:dyDescent="0.25">
      <c r="B48" s="42"/>
      <c r="C48" s="10">
        <v>33</v>
      </c>
      <c r="D48" s="11">
        <v>45160</v>
      </c>
      <c r="E48" s="10">
        <v>316</v>
      </c>
      <c r="F48" s="22" t="s">
        <v>20</v>
      </c>
      <c r="G48" s="7">
        <v>220</v>
      </c>
      <c r="H48" s="12">
        <v>125</v>
      </c>
      <c r="I48" s="7">
        <v>220</v>
      </c>
      <c r="J48" s="7"/>
      <c r="K48" s="7"/>
      <c r="L48" s="7"/>
      <c r="M48" s="7"/>
      <c r="N48" s="7"/>
      <c r="O48" s="7"/>
      <c r="P48" s="7"/>
      <c r="Q48" s="7"/>
      <c r="S48" s="1"/>
    </row>
    <row r="49" spans="2:19" ht="15.75" customHeight="1" x14ac:dyDescent="0.25">
      <c r="B49" s="42"/>
      <c r="C49" s="10">
        <v>34</v>
      </c>
      <c r="D49" s="11">
        <v>45160</v>
      </c>
      <c r="E49" s="10">
        <v>318</v>
      </c>
      <c r="F49" s="22" t="s">
        <v>224</v>
      </c>
      <c r="G49" s="7">
        <v>2500</v>
      </c>
      <c r="H49" s="12" t="s">
        <v>239</v>
      </c>
      <c r="I49" s="7"/>
      <c r="J49" s="7">
        <v>1500</v>
      </c>
      <c r="K49" s="7"/>
      <c r="L49" s="7"/>
      <c r="M49" s="7"/>
      <c r="N49" s="7"/>
      <c r="O49" s="7"/>
      <c r="P49" s="7"/>
      <c r="Q49" s="7">
        <v>1000</v>
      </c>
      <c r="S49" s="1"/>
    </row>
    <row r="50" spans="2:19" ht="15.75" customHeight="1" x14ac:dyDescent="0.25">
      <c r="B50" s="42"/>
      <c r="C50" s="10">
        <v>35</v>
      </c>
      <c r="D50" s="11">
        <v>45161</v>
      </c>
      <c r="E50" s="10">
        <v>319</v>
      </c>
      <c r="F50" s="22" t="s">
        <v>37</v>
      </c>
      <c r="G50" s="7">
        <v>500</v>
      </c>
      <c r="H50" s="12" t="s">
        <v>240</v>
      </c>
      <c r="I50" s="7"/>
      <c r="J50" s="7"/>
      <c r="K50" s="7"/>
      <c r="L50" s="7"/>
      <c r="M50" s="7"/>
      <c r="N50" s="7"/>
      <c r="O50" s="7">
        <v>450</v>
      </c>
      <c r="P50" s="7">
        <v>50</v>
      </c>
      <c r="Q50" s="7"/>
      <c r="S50" s="1"/>
    </row>
    <row r="51" spans="2:19" ht="15.75" customHeight="1" x14ac:dyDescent="0.25">
      <c r="B51" s="42"/>
      <c r="C51" s="10">
        <v>35</v>
      </c>
      <c r="D51" s="11">
        <v>45161</v>
      </c>
      <c r="E51" s="10">
        <v>320</v>
      </c>
      <c r="F51" s="22" t="s">
        <v>90</v>
      </c>
      <c r="G51" s="7">
        <v>1000</v>
      </c>
      <c r="H51" s="12" t="s">
        <v>241</v>
      </c>
      <c r="I51" s="7"/>
      <c r="J51" s="7">
        <v>200</v>
      </c>
      <c r="K51" s="7"/>
      <c r="L51" s="7"/>
      <c r="M51" s="7"/>
      <c r="N51" s="7">
        <v>600</v>
      </c>
      <c r="O51" s="7">
        <v>200</v>
      </c>
      <c r="P51" s="7"/>
      <c r="Q51" s="7"/>
      <c r="S51" s="1"/>
    </row>
    <row r="52" spans="2:19" ht="15.75" customHeight="1" x14ac:dyDescent="0.25">
      <c r="C52" s="10">
        <v>36</v>
      </c>
      <c r="D52" s="11">
        <v>45162</v>
      </c>
      <c r="E52" s="10">
        <v>321</v>
      </c>
      <c r="F52" s="22" t="s">
        <v>49</v>
      </c>
      <c r="G52" s="7">
        <v>100</v>
      </c>
      <c r="H52" s="12">
        <v>325</v>
      </c>
      <c r="I52" s="7">
        <v>100</v>
      </c>
      <c r="J52" s="7"/>
      <c r="K52" s="7"/>
      <c r="L52" s="7"/>
      <c r="M52" s="7"/>
      <c r="N52" s="7"/>
      <c r="O52" s="7"/>
      <c r="P52" s="7"/>
      <c r="Q52" s="7"/>
      <c r="S52" s="1"/>
    </row>
    <row r="53" spans="2:19" ht="15.75" customHeight="1" x14ac:dyDescent="0.25">
      <c r="C53" s="10">
        <v>37</v>
      </c>
      <c r="D53" s="11">
        <v>45162</v>
      </c>
      <c r="E53" s="10">
        <v>322</v>
      </c>
      <c r="F53" s="22" t="s">
        <v>48</v>
      </c>
      <c r="G53" s="7">
        <v>1000</v>
      </c>
      <c r="H53" s="12">
        <v>159</v>
      </c>
      <c r="I53" s="7"/>
      <c r="J53" s="7"/>
      <c r="K53" s="7"/>
      <c r="L53" s="7"/>
      <c r="M53" s="7"/>
      <c r="N53" s="7"/>
      <c r="O53" s="7">
        <v>1000</v>
      </c>
      <c r="P53" s="7"/>
      <c r="Q53" s="7"/>
      <c r="S53" s="1"/>
    </row>
    <row r="54" spans="2:19" ht="15.75" customHeight="1" x14ac:dyDescent="0.25">
      <c r="C54" s="10">
        <v>38</v>
      </c>
      <c r="D54" s="11">
        <v>45162</v>
      </c>
      <c r="E54" s="10" t="s">
        <v>242</v>
      </c>
      <c r="F54" s="22" t="s">
        <v>205</v>
      </c>
      <c r="G54" s="7">
        <v>5000</v>
      </c>
      <c r="H54" s="12">
        <v>160</v>
      </c>
      <c r="I54" s="7"/>
      <c r="J54" s="7"/>
      <c r="K54" s="7"/>
      <c r="L54" s="7"/>
      <c r="M54" s="7"/>
      <c r="N54" s="7"/>
      <c r="O54" s="7">
        <v>5000</v>
      </c>
      <c r="P54" s="7"/>
      <c r="Q54" s="7"/>
      <c r="S54" s="1"/>
    </row>
    <row r="55" spans="2:19" ht="15.75" customHeight="1" x14ac:dyDescent="0.25">
      <c r="C55" s="10">
        <v>39</v>
      </c>
      <c r="D55" s="11">
        <v>45163</v>
      </c>
      <c r="E55" s="10">
        <v>323</v>
      </c>
      <c r="F55" s="22" t="s">
        <v>243</v>
      </c>
      <c r="G55" s="7">
        <v>5000</v>
      </c>
      <c r="H55" s="12">
        <v>150.5</v>
      </c>
      <c r="I55" s="7"/>
      <c r="J55" s="7">
        <v>5000</v>
      </c>
      <c r="K55" s="7"/>
      <c r="L55" s="7"/>
      <c r="M55" s="7"/>
      <c r="N55" s="7"/>
      <c r="O55" s="7"/>
      <c r="P55" s="7"/>
      <c r="Q55" s="7"/>
      <c r="S55" s="1"/>
    </row>
    <row r="56" spans="2:19" ht="15.75" customHeight="1" x14ac:dyDescent="0.25">
      <c r="C56" s="10">
        <v>40</v>
      </c>
      <c r="D56" s="11">
        <v>45163</v>
      </c>
      <c r="E56" s="10">
        <v>324</v>
      </c>
      <c r="F56" s="22" t="s">
        <v>24</v>
      </c>
      <c r="G56" s="7">
        <v>500</v>
      </c>
      <c r="H56" s="31">
        <v>125</v>
      </c>
      <c r="I56" s="7">
        <v>500</v>
      </c>
      <c r="J56" s="7"/>
      <c r="K56" s="7"/>
      <c r="L56" s="7"/>
      <c r="M56" s="7"/>
      <c r="N56" s="7"/>
      <c r="O56" s="7"/>
      <c r="P56" s="7"/>
      <c r="Q56" s="7"/>
      <c r="S56" s="1"/>
    </row>
    <row r="57" spans="2:19" ht="15.75" customHeight="1" x14ac:dyDescent="0.25">
      <c r="C57" s="10">
        <v>41</v>
      </c>
      <c r="D57" s="11">
        <v>45164</v>
      </c>
      <c r="E57" s="10">
        <v>325</v>
      </c>
      <c r="F57" s="22" t="s">
        <v>80</v>
      </c>
      <c r="G57" s="7">
        <v>250</v>
      </c>
      <c r="H57" s="12">
        <v>151</v>
      </c>
      <c r="I57" s="7"/>
      <c r="J57" s="7">
        <v>250</v>
      </c>
      <c r="K57" s="7"/>
      <c r="L57" s="7"/>
      <c r="M57" s="7"/>
      <c r="N57" s="7"/>
      <c r="O57" s="7"/>
      <c r="P57" s="7"/>
      <c r="Q57" s="7"/>
      <c r="S57" s="1"/>
    </row>
    <row r="58" spans="2:19" ht="15.75" customHeight="1" x14ac:dyDescent="0.25">
      <c r="C58" s="10">
        <v>42</v>
      </c>
      <c r="D58" s="11">
        <v>45164</v>
      </c>
      <c r="E58" s="10">
        <v>313</v>
      </c>
      <c r="F58" s="22" t="s">
        <v>244</v>
      </c>
      <c r="G58" s="7">
        <v>50</v>
      </c>
      <c r="H58" s="12" t="s">
        <v>245</v>
      </c>
      <c r="I58" s="7"/>
      <c r="J58" s="7">
        <v>25</v>
      </c>
      <c r="K58" s="7"/>
      <c r="L58" s="7"/>
      <c r="M58" s="7"/>
      <c r="N58" s="7">
        <v>25</v>
      </c>
      <c r="O58" s="7"/>
      <c r="P58" s="7"/>
      <c r="Q58" s="7"/>
      <c r="S58" s="1"/>
    </row>
    <row r="59" spans="2:19" ht="15.75" customHeight="1" x14ac:dyDescent="0.25">
      <c r="C59" s="10">
        <v>43</v>
      </c>
      <c r="D59" s="11">
        <v>45165</v>
      </c>
      <c r="E59" s="10">
        <v>326</v>
      </c>
      <c r="F59" s="22" t="s">
        <v>96</v>
      </c>
      <c r="G59" s="7">
        <v>5000</v>
      </c>
      <c r="H59" s="12">
        <v>117</v>
      </c>
      <c r="I59" s="7">
        <v>5000</v>
      </c>
      <c r="J59" s="7"/>
      <c r="K59" s="7"/>
      <c r="L59" s="7"/>
      <c r="M59" s="7"/>
      <c r="N59" s="7"/>
      <c r="O59" s="7"/>
      <c r="P59" s="7"/>
      <c r="Q59" s="7"/>
      <c r="S59" s="1"/>
    </row>
    <row r="60" spans="2:19" ht="15.75" customHeight="1" x14ac:dyDescent="0.25">
      <c r="C60" s="10">
        <v>44</v>
      </c>
      <c r="D60" s="11">
        <v>45166</v>
      </c>
      <c r="E60" s="10">
        <v>327</v>
      </c>
      <c r="F60" s="22" t="s">
        <v>139</v>
      </c>
      <c r="G60" s="7">
        <v>4000</v>
      </c>
      <c r="H60" s="12" t="s">
        <v>246</v>
      </c>
      <c r="I60" s="7">
        <v>1000</v>
      </c>
      <c r="J60" s="7"/>
      <c r="K60" s="7"/>
      <c r="L60" s="7"/>
      <c r="M60" s="7"/>
      <c r="N60" s="7">
        <v>3000</v>
      </c>
      <c r="O60" s="7"/>
      <c r="P60" s="7"/>
      <c r="Q60" s="7"/>
      <c r="S60" s="1"/>
    </row>
    <row r="61" spans="2:19" ht="15.75" customHeight="1" x14ac:dyDescent="0.25">
      <c r="C61" s="10">
        <v>45</v>
      </c>
      <c r="D61" s="11">
        <v>45166</v>
      </c>
      <c r="E61" s="10">
        <v>328</v>
      </c>
      <c r="F61" s="22" t="s">
        <v>52</v>
      </c>
      <c r="G61" s="7">
        <v>4000</v>
      </c>
      <c r="H61" s="12" t="s">
        <v>247</v>
      </c>
      <c r="I61" s="7">
        <v>3200</v>
      </c>
      <c r="J61" s="7"/>
      <c r="K61" s="7"/>
      <c r="L61" s="7"/>
      <c r="M61" s="7"/>
      <c r="N61" s="7"/>
      <c r="O61" s="7"/>
      <c r="P61" s="7"/>
      <c r="Q61" s="7">
        <v>800</v>
      </c>
      <c r="S61" s="1"/>
    </row>
    <row r="62" spans="2:19" ht="15.75" customHeight="1" x14ac:dyDescent="0.25">
      <c r="C62" s="10">
        <v>46</v>
      </c>
      <c r="D62" s="11">
        <v>45167</v>
      </c>
      <c r="E62" s="10">
        <v>329</v>
      </c>
      <c r="F62" s="22" t="s">
        <v>248</v>
      </c>
      <c r="G62" s="7">
        <v>1250</v>
      </c>
      <c r="H62" s="12" t="s">
        <v>249</v>
      </c>
      <c r="I62" s="7"/>
      <c r="J62" s="7">
        <v>250</v>
      </c>
      <c r="K62" s="7"/>
      <c r="L62" s="7"/>
      <c r="M62" s="7"/>
      <c r="N62" s="7"/>
      <c r="O62" s="7">
        <v>500</v>
      </c>
      <c r="P62" s="7"/>
      <c r="Q62" s="7">
        <v>500</v>
      </c>
      <c r="S62" s="1"/>
    </row>
    <row r="63" spans="2:19" ht="15.75" customHeight="1" x14ac:dyDescent="0.25">
      <c r="C63" s="10">
        <v>47</v>
      </c>
      <c r="D63" s="11">
        <v>45168</v>
      </c>
      <c r="E63" s="10">
        <v>330</v>
      </c>
      <c r="F63" s="22" t="s">
        <v>120</v>
      </c>
      <c r="G63" s="7">
        <v>1000</v>
      </c>
      <c r="H63" s="12">
        <v>120</v>
      </c>
      <c r="I63" s="7">
        <v>1000</v>
      </c>
      <c r="J63" s="7"/>
      <c r="K63" s="7"/>
      <c r="L63" s="7"/>
      <c r="M63" s="7"/>
      <c r="N63" s="7"/>
      <c r="O63" s="7"/>
      <c r="P63" s="7"/>
      <c r="Q63" s="7"/>
      <c r="S63" s="1"/>
    </row>
    <row r="64" spans="2:19" ht="15.75" customHeight="1" x14ac:dyDescent="0.25">
      <c r="C64" s="10">
        <v>48</v>
      </c>
      <c r="D64" s="11">
        <v>45169</v>
      </c>
      <c r="E64" s="10" t="s">
        <v>250</v>
      </c>
      <c r="F64" s="22" t="s">
        <v>112</v>
      </c>
      <c r="G64" s="7">
        <v>9500</v>
      </c>
      <c r="H64" s="12" t="s">
        <v>251</v>
      </c>
      <c r="I64" s="7"/>
      <c r="J64" s="7"/>
      <c r="K64" s="7"/>
      <c r="L64" s="7">
        <v>7500</v>
      </c>
      <c r="M64" s="7"/>
      <c r="N64" s="7"/>
      <c r="O64" s="7"/>
      <c r="P64" s="7">
        <v>2500</v>
      </c>
      <c r="Q64" s="7"/>
      <c r="S64" s="1"/>
    </row>
    <row r="65" spans="2:19" ht="15.75" customHeight="1" x14ac:dyDescent="0.25">
      <c r="B65" s="33" t="s">
        <v>252</v>
      </c>
      <c r="C65" s="10">
        <v>49</v>
      </c>
      <c r="D65" s="11">
        <v>45169</v>
      </c>
      <c r="E65" s="10">
        <v>340</v>
      </c>
      <c r="F65" s="22" t="s">
        <v>112</v>
      </c>
      <c r="G65" s="7">
        <v>3800</v>
      </c>
      <c r="H65" s="12">
        <v>110</v>
      </c>
      <c r="I65" s="7">
        <v>3800</v>
      </c>
      <c r="J65" s="7"/>
      <c r="K65" s="7"/>
      <c r="L65" s="7"/>
      <c r="M65" s="7"/>
      <c r="N65" s="7"/>
      <c r="O65" s="7"/>
      <c r="P65" s="7"/>
      <c r="Q65" s="7"/>
      <c r="S65" s="1"/>
    </row>
    <row r="66" spans="2:19" ht="15.75" customHeight="1" x14ac:dyDescent="0.25">
      <c r="B66" s="33" t="s">
        <v>253</v>
      </c>
      <c r="C66" s="10">
        <v>50</v>
      </c>
      <c r="D66" s="11">
        <v>45169</v>
      </c>
      <c r="E66" s="10">
        <v>339</v>
      </c>
      <c r="F66" s="22" t="s">
        <v>202</v>
      </c>
      <c r="G66" s="7">
        <v>2000</v>
      </c>
      <c r="H66" s="12" t="s">
        <v>254</v>
      </c>
      <c r="I66" s="7"/>
      <c r="J66" s="7"/>
      <c r="K66" s="7"/>
      <c r="L66" s="7"/>
      <c r="M66" s="7"/>
      <c r="N66" s="7"/>
      <c r="O66" s="7">
        <v>900</v>
      </c>
      <c r="P66" s="7">
        <v>1100</v>
      </c>
      <c r="Q66" s="7"/>
      <c r="S66" s="1"/>
    </row>
    <row r="67" spans="2:19" ht="15.75" customHeight="1" x14ac:dyDescent="0.25">
      <c r="C67" s="10">
        <v>51</v>
      </c>
      <c r="D67" s="11">
        <v>45169</v>
      </c>
      <c r="E67" s="10">
        <v>337</v>
      </c>
      <c r="F67" s="22" t="s">
        <v>224</v>
      </c>
      <c r="G67" s="7">
        <v>500</v>
      </c>
      <c r="H67" s="31">
        <v>163</v>
      </c>
      <c r="I67" s="7"/>
      <c r="J67" s="7"/>
      <c r="K67" s="7"/>
      <c r="L67" s="7"/>
      <c r="M67" s="7">
        <v>500</v>
      </c>
      <c r="N67" s="7"/>
      <c r="O67" s="7"/>
      <c r="P67" s="7"/>
      <c r="Q67" s="7"/>
      <c r="S67" s="1"/>
    </row>
    <row r="68" spans="2:19" ht="15.75" customHeight="1" x14ac:dyDescent="0.25">
      <c r="C68" s="10">
        <v>52</v>
      </c>
      <c r="D68" s="11">
        <v>45169</v>
      </c>
      <c r="E68" s="10" t="s">
        <v>27</v>
      </c>
      <c r="F68" s="22" t="s">
        <v>255</v>
      </c>
      <c r="G68" s="7">
        <v>400</v>
      </c>
      <c r="H68" s="12" t="s">
        <v>256</v>
      </c>
      <c r="I68" s="7">
        <v>200</v>
      </c>
      <c r="J68" s="7">
        <v>200</v>
      </c>
      <c r="K68" s="7"/>
      <c r="L68" s="7"/>
      <c r="M68" s="7"/>
      <c r="N68" s="7"/>
      <c r="O68" s="7"/>
      <c r="P68" s="7"/>
      <c r="Q68" s="7"/>
      <c r="S68" s="1"/>
    </row>
    <row r="69" spans="2:19" ht="15.75" customHeight="1" x14ac:dyDescent="0.25">
      <c r="C69" s="10">
        <v>53</v>
      </c>
      <c r="D69" s="11">
        <v>45169</v>
      </c>
      <c r="E69" s="10">
        <v>338</v>
      </c>
      <c r="F69" s="22" t="s">
        <v>90</v>
      </c>
      <c r="G69" s="7">
        <v>800</v>
      </c>
      <c r="H69" s="12" t="s">
        <v>257</v>
      </c>
      <c r="I69" s="7"/>
      <c r="J69" s="7"/>
      <c r="K69" s="7"/>
      <c r="L69" s="7"/>
      <c r="M69" s="7"/>
      <c r="N69" s="7">
        <v>200</v>
      </c>
      <c r="O69" s="7"/>
      <c r="P69" s="7">
        <v>600</v>
      </c>
      <c r="Q69" s="7"/>
      <c r="S69" s="1"/>
    </row>
    <row r="70" spans="2:19" ht="15.75" customHeight="1" x14ac:dyDescent="0.25">
      <c r="C70" s="10">
        <v>54</v>
      </c>
      <c r="D70" s="11">
        <v>45169</v>
      </c>
      <c r="E70" s="10">
        <v>341</v>
      </c>
      <c r="F70" s="22" t="s">
        <v>140</v>
      </c>
      <c r="G70" s="7">
        <v>300</v>
      </c>
      <c r="H70" s="12">
        <v>125</v>
      </c>
      <c r="I70" s="7">
        <v>300</v>
      </c>
      <c r="J70" s="7"/>
      <c r="K70" s="7"/>
      <c r="L70" s="7"/>
      <c r="M70" s="7"/>
      <c r="N70" s="7"/>
      <c r="O70" s="7"/>
      <c r="P70" s="7"/>
      <c r="Q70" s="7"/>
      <c r="S70" s="1"/>
    </row>
    <row r="71" spans="2:19" ht="15.75" customHeight="1" x14ac:dyDescent="0.25">
      <c r="C71" s="10">
        <v>55</v>
      </c>
      <c r="D71" s="11"/>
      <c r="E71" s="10"/>
      <c r="F71" s="22" t="s">
        <v>224</v>
      </c>
      <c r="G71" s="7"/>
      <c r="H71" s="12"/>
      <c r="I71" s="7"/>
      <c r="J71" s="7"/>
      <c r="K71" s="7"/>
      <c r="L71" s="7"/>
      <c r="M71" s="7"/>
      <c r="N71" s="7"/>
      <c r="O71" s="7"/>
      <c r="P71" s="7"/>
      <c r="Q71" s="7"/>
      <c r="S71" s="1"/>
    </row>
    <row r="72" spans="2:19" ht="15.75" customHeight="1" x14ac:dyDescent="0.25">
      <c r="C72" s="10">
        <v>56</v>
      </c>
      <c r="D72" s="11"/>
      <c r="E72" s="10"/>
      <c r="F72" s="22" t="s">
        <v>120</v>
      </c>
      <c r="G72" s="7"/>
      <c r="H72" s="12"/>
      <c r="I72" s="7"/>
      <c r="J72" s="7"/>
      <c r="K72" s="7"/>
      <c r="L72" s="7"/>
      <c r="M72" s="7"/>
      <c r="N72" s="7"/>
      <c r="O72" s="7"/>
      <c r="P72" s="7"/>
      <c r="Q72" s="7"/>
      <c r="S72" s="1"/>
    </row>
    <row r="73" spans="2:19" ht="15.75" customHeight="1" x14ac:dyDescent="0.25">
      <c r="C73" s="10">
        <v>57</v>
      </c>
      <c r="D73" s="11"/>
      <c r="E73" s="10"/>
      <c r="F73" s="22" t="s">
        <v>80</v>
      </c>
      <c r="G73" s="7"/>
      <c r="H73" s="12"/>
      <c r="I73" s="7"/>
      <c r="J73" s="7"/>
      <c r="K73" s="7"/>
      <c r="L73" s="7"/>
      <c r="M73" s="7"/>
      <c r="N73" s="7"/>
      <c r="O73" s="7"/>
      <c r="P73" s="7"/>
      <c r="Q73" s="7"/>
      <c r="S73" s="1"/>
    </row>
    <row r="74" spans="2:19" ht="15.75" customHeight="1" x14ac:dyDescent="0.25">
      <c r="C74" s="10">
        <v>58</v>
      </c>
      <c r="D74" s="11"/>
      <c r="E74" s="10"/>
      <c r="F74" s="22" t="s">
        <v>205</v>
      </c>
      <c r="G74" s="7"/>
      <c r="H74" s="12"/>
      <c r="I74" s="7"/>
      <c r="J74" s="7"/>
      <c r="K74" s="7"/>
      <c r="L74" s="7"/>
      <c r="M74" s="7"/>
      <c r="N74" s="7"/>
      <c r="O74" s="7"/>
      <c r="P74" s="7"/>
      <c r="Q74" s="7"/>
      <c r="S74" s="1"/>
    </row>
    <row r="75" spans="2:19" ht="15.75" customHeight="1" x14ac:dyDescent="0.25">
      <c r="C75" s="10">
        <v>59</v>
      </c>
      <c r="D75" s="11"/>
      <c r="E75" s="10"/>
      <c r="F75" s="22" t="s">
        <v>224</v>
      </c>
      <c r="G75" s="7"/>
      <c r="H75" s="12"/>
      <c r="I75" s="7"/>
      <c r="J75" s="7"/>
      <c r="K75" s="7"/>
      <c r="L75" s="7"/>
      <c r="M75" s="7"/>
      <c r="N75" s="7"/>
      <c r="O75" s="7"/>
      <c r="P75" s="7"/>
      <c r="Q75" s="7"/>
      <c r="S75" s="1"/>
    </row>
    <row r="76" spans="2:19" ht="15.75" customHeight="1" x14ac:dyDescent="0.25">
      <c r="C76" s="10">
        <v>60</v>
      </c>
      <c r="D76" s="11"/>
      <c r="E76" s="10"/>
      <c r="F76" s="22" t="s">
        <v>111</v>
      </c>
      <c r="G76" s="7"/>
      <c r="H76" s="12"/>
      <c r="I76" s="7"/>
      <c r="J76" s="7"/>
      <c r="K76" s="7"/>
      <c r="L76" s="7"/>
      <c r="M76" s="7"/>
      <c r="N76" s="7"/>
      <c r="O76" s="7"/>
      <c r="P76" s="7"/>
      <c r="Q76" s="7"/>
      <c r="S76" s="1"/>
    </row>
    <row r="77" spans="2:19" ht="15.75" customHeight="1" x14ac:dyDescent="0.25">
      <c r="C77" s="10">
        <v>61</v>
      </c>
      <c r="D77" s="11"/>
      <c r="E77" s="10"/>
      <c r="F77" s="22" t="s">
        <v>80</v>
      </c>
      <c r="G77" s="7"/>
      <c r="H77" s="12"/>
      <c r="I77" s="7"/>
      <c r="J77" s="7"/>
      <c r="K77" s="7"/>
      <c r="L77" s="7"/>
      <c r="M77" s="7"/>
      <c r="N77" s="7"/>
      <c r="O77" s="7"/>
      <c r="P77" s="7"/>
      <c r="Q77" s="7"/>
      <c r="S77" s="1"/>
    </row>
    <row r="78" spans="2:19" ht="15.75" customHeight="1" x14ac:dyDescent="0.25">
      <c r="C78" s="10">
        <v>62</v>
      </c>
      <c r="D78" s="11"/>
      <c r="E78" s="10"/>
      <c r="F78" s="22" t="s">
        <v>96</v>
      </c>
      <c r="G78" s="7"/>
      <c r="H78" s="12"/>
      <c r="I78" s="7"/>
      <c r="J78" s="7"/>
      <c r="K78" s="7"/>
      <c r="L78" s="7"/>
      <c r="M78" s="7"/>
      <c r="N78" s="7"/>
      <c r="O78" s="7"/>
      <c r="P78" s="7"/>
      <c r="Q78" s="7"/>
    </row>
    <row r="79" spans="2:19" ht="15.75" customHeight="1" x14ac:dyDescent="0.25">
      <c r="C79" s="10">
        <v>63</v>
      </c>
      <c r="D79" s="11"/>
      <c r="E79" s="10"/>
      <c r="F79" s="22" t="s">
        <v>89</v>
      </c>
      <c r="G79" s="7"/>
      <c r="H79" s="12"/>
      <c r="I79" s="7"/>
      <c r="J79" s="7"/>
      <c r="K79" s="7"/>
      <c r="L79" s="7"/>
      <c r="M79" s="7"/>
      <c r="N79" s="7"/>
      <c r="O79" s="7"/>
      <c r="P79" s="7"/>
      <c r="Q79" s="7"/>
    </row>
    <row r="80" spans="2:19" ht="15.75" customHeight="1" x14ac:dyDescent="0.25">
      <c r="C80" s="10">
        <v>64</v>
      </c>
      <c r="D80" s="11"/>
      <c r="E80" s="10"/>
      <c r="F80" s="22" t="s">
        <v>227</v>
      </c>
      <c r="G80" s="7"/>
      <c r="H80" s="12"/>
      <c r="I80" s="7"/>
      <c r="J80" s="7"/>
      <c r="K80" s="7"/>
      <c r="L80" s="7"/>
      <c r="M80" s="7"/>
      <c r="N80" s="7"/>
      <c r="O80" s="7"/>
      <c r="P80" s="7"/>
      <c r="Q80" s="7"/>
    </row>
    <row r="81" spans="3:17" ht="15.75" customHeight="1" x14ac:dyDescent="0.25">
      <c r="C81" s="10">
        <v>65</v>
      </c>
      <c r="D81" s="11"/>
      <c r="E81" s="10"/>
      <c r="F81" s="22"/>
      <c r="G81" s="7"/>
      <c r="H81" s="12"/>
      <c r="I81" s="7"/>
      <c r="J81" s="7"/>
      <c r="K81" s="7"/>
      <c r="L81" s="7"/>
      <c r="M81" s="7"/>
      <c r="N81" s="7"/>
      <c r="O81" s="7"/>
      <c r="P81" s="7"/>
      <c r="Q81" s="7"/>
    </row>
    <row r="82" spans="3:17" ht="15.75" customHeight="1" x14ac:dyDescent="0.25">
      <c r="C82" s="10">
        <v>66</v>
      </c>
      <c r="D82" s="11"/>
      <c r="E82" s="10"/>
      <c r="F82" s="22"/>
      <c r="G82" s="7"/>
      <c r="H82" s="12"/>
      <c r="I82" s="7"/>
      <c r="J82" s="7"/>
      <c r="K82" s="7"/>
      <c r="L82" s="7"/>
      <c r="M82" s="7"/>
      <c r="N82" s="7"/>
      <c r="O82" s="7"/>
      <c r="P82" s="7"/>
      <c r="Q82" s="7"/>
    </row>
    <row r="83" spans="3:17" ht="15.75" customHeight="1" x14ac:dyDescent="0.25">
      <c r="C83" s="10">
        <v>67</v>
      </c>
      <c r="D83" s="11"/>
      <c r="E83" s="10"/>
      <c r="F83" s="22"/>
      <c r="G83" s="7"/>
      <c r="H83" s="12"/>
      <c r="I83" s="7"/>
      <c r="J83" s="7"/>
      <c r="K83" s="7"/>
      <c r="L83" s="7"/>
      <c r="M83" s="7"/>
      <c r="N83" s="7"/>
      <c r="O83" s="7"/>
      <c r="P83" s="7"/>
      <c r="Q83" s="7"/>
    </row>
    <row r="84" spans="3:17" ht="15.75" customHeight="1" x14ac:dyDescent="0.25">
      <c r="C84" s="10">
        <v>68</v>
      </c>
      <c r="D84" s="11"/>
      <c r="E84" s="10"/>
      <c r="F84" s="22"/>
      <c r="G84" s="7"/>
      <c r="H84" s="12"/>
      <c r="I84" s="7"/>
      <c r="J84" s="7"/>
      <c r="K84" s="7"/>
      <c r="L84" s="7"/>
      <c r="M84" s="7"/>
      <c r="N84" s="7"/>
      <c r="O84" s="7"/>
      <c r="P84" s="7"/>
      <c r="Q84" s="7"/>
    </row>
    <row r="85" spans="3:17" ht="15.75" customHeight="1" x14ac:dyDescent="0.25">
      <c r="C85" s="10">
        <v>69</v>
      </c>
      <c r="D85" s="11"/>
      <c r="E85" s="10"/>
      <c r="F85" s="22"/>
      <c r="G85" s="7"/>
      <c r="H85" s="12"/>
      <c r="I85" s="7"/>
      <c r="J85" s="7"/>
      <c r="K85" s="7"/>
      <c r="L85" s="7"/>
      <c r="M85" s="7"/>
      <c r="N85" s="7"/>
      <c r="O85" s="7"/>
      <c r="P85" s="7"/>
      <c r="Q85" s="7"/>
    </row>
    <row r="86" spans="3:17" ht="15.75" customHeight="1" x14ac:dyDescent="0.25">
      <c r="C86" s="10">
        <v>70</v>
      </c>
      <c r="D86" s="11"/>
      <c r="E86" s="10"/>
      <c r="F86" s="22"/>
      <c r="G86" s="7"/>
      <c r="H86" s="12"/>
      <c r="I86" s="7"/>
      <c r="J86" s="7"/>
      <c r="K86" s="7"/>
      <c r="L86" s="7"/>
      <c r="M86" s="7"/>
      <c r="N86" s="7"/>
      <c r="O86" s="7"/>
      <c r="P86" s="7"/>
      <c r="Q86" s="14"/>
    </row>
    <row r="87" spans="3:17" ht="15.75" customHeight="1" x14ac:dyDescent="0.25">
      <c r="C87" s="13" t="s">
        <v>3</v>
      </c>
      <c r="D87" s="14"/>
      <c r="E87" s="13"/>
      <c r="F87" s="25"/>
      <c r="G87" s="14">
        <f>SUM(G16:G86)</f>
        <v>85220</v>
      </c>
      <c r="H87" s="14"/>
      <c r="I87" s="14">
        <f t="shared" ref="I87:Q87" si="0">SUM(I16:I86)</f>
        <v>16920</v>
      </c>
      <c r="J87" s="14">
        <f t="shared" si="0"/>
        <v>20325</v>
      </c>
      <c r="K87" s="14">
        <f t="shared" si="0"/>
        <v>0</v>
      </c>
      <c r="L87" s="14">
        <f t="shared" si="0"/>
        <v>14400</v>
      </c>
      <c r="M87" s="14">
        <f t="shared" si="0"/>
        <v>500</v>
      </c>
      <c r="N87" s="14">
        <f t="shared" si="0"/>
        <v>8525</v>
      </c>
      <c r="O87" s="14">
        <f t="shared" si="0"/>
        <v>10650</v>
      </c>
      <c r="P87" s="14">
        <f t="shared" si="0"/>
        <v>11075</v>
      </c>
      <c r="Q87" s="14">
        <f t="shared" si="0"/>
        <v>3375</v>
      </c>
    </row>
    <row r="88" spans="3:17" ht="15.75" customHeight="1" x14ac:dyDescent="0.25">
      <c r="C88" s="1"/>
      <c r="E88" s="1"/>
      <c r="F88" s="16"/>
    </row>
    <row r="89" spans="3:17" ht="15.75" customHeight="1" x14ac:dyDescent="0.25">
      <c r="C89" s="1"/>
      <c r="D89" s="1"/>
      <c r="E89" s="1"/>
      <c r="F89" s="16"/>
      <c r="I89" s="33">
        <f>SUM('Aug 2023'!$I$87:'Aug 2023'!$P$87)</f>
        <v>82395</v>
      </c>
    </row>
    <row r="90" spans="3:17" ht="15.75" customHeight="1" x14ac:dyDescent="0.25">
      <c r="E90" s="1"/>
      <c r="F90" s="16"/>
    </row>
    <row r="91" spans="3:17" ht="15.75" customHeight="1" x14ac:dyDescent="0.25"/>
    <row r="92" spans="3:17" ht="15.75" customHeight="1" x14ac:dyDescent="0.25"/>
    <row r="93" spans="3:17" ht="15.75" customHeight="1" x14ac:dyDescent="0.25"/>
    <row r="94" spans="3:17" ht="15.75" customHeight="1" x14ac:dyDescent="0.25"/>
    <row r="95" spans="3:17" ht="15.75" customHeight="1" x14ac:dyDescent="0.25"/>
    <row r="96" spans="3:1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T30:V30"/>
    <mergeCell ref="T31:V31"/>
    <mergeCell ref="T32:V32"/>
    <mergeCell ref="T15:W15"/>
    <mergeCell ref="T16:V16"/>
    <mergeCell ref="T27:V27"/>
    <mergeCell ref="T28:V28"/>
    <mergeCell ref="T29:V29"/>
  </mergeCells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C4:W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13.42578125" customWidth="1"/>
    <col min="5" max="5" width="10.7109375" customWidth="1"/>
    <col min="6" max="16" width="8.7109375" customWidth="1"/>
    <col min="17" max="17" width="10.42578125" customWidth="1"/>
    <col min="18" max="20" width="8.7109375" customWidth="1"/>
    <col min="21" max="21" width="10.7109375" customWidth="1"/>
    <col min="22" max="26" width="8.7109375" customWidth="1"/>
  </cols>
  <sheetData>
    <row r="4" spans="3:23" x14ac:dyDescent="0.25">
      <c r="S4" s="43"/>
    </row>
    <row r="6" spans="3:23" x14ac:dyDescent="0.25">
      <c r="R6" s="1"/>
    </row>
    <row r="7" spans="3:23" ht="17.25" x14ac:dyDescent="0.3">
      <c r="C7" s="1"/>
      <c r="D7" s="2" t="s">
        <v>258</v>
      </c>
      <c r="E7" s="17"/>
      <c r="F7" s="18"/>
      <c r="G7" s="2"/>
      <c r="H7" s="2"/>
      <c r="I7" s="2"/>
      <c r="J7" s="2"/>
      <c r="K7" s="2"/>
      <c r="L7" s="2"/>
      <c r="M7" s="3"/>
      <c r="N7" s="3"/>
      <c r="O7" s="19" t="s">
        <v>88</v>
      </c>
      <c r="P7" s="26" t="s">
        <v>2</v>
      </c>
      <c r="Q7" s="27" t="s">
        <v>117</v>
      </c>
      <c r="R7" s="1"/>
    </row>
    <row r="8" spans="3:23" ht="15.75" x14ac:dyDescent="0.25">
      <c r="C8" s="1"/>
      <c r="D8" s="4" t="s">
        <v>1</v>
      </c>
      <c r="E8" s="44" t="s">
        <v>2</v>
      </c>
      <c r="F8" s="45">
        <v>1799</v>
      </c>
      <c r="G8" s="46">
        <v>2099</v>
      </c>
      <c r="H8" s="46">
        <v>2699</v>
      </c>
      <c r="I8" s="46">
        <v>588</v>
      </c>
      <c r="J8" s="46">
        <v>2088</v>
      </c>
      <c r="K8" s="46">
        <v>2488</v>
      </c>
      <c r="L8" s="46">
        <v>2688</v>
      </c>
      <c r="M8" s="45">
        <v>3099</v>
      </c>
      <c r="N8" s="5" t="s">
        <v>3</v>
      </c>
      <c r="O8" s="47"/>
      <c r="P8" s="42"/>
      <c r="Q8" s="42"/>
      <c r="R8" s="1"/>
    </row>
    <row r="9" spans="3:23" ht="18.75" x14ac:dyDescent="0.3">
      <c r="C9" s="1"/>
      <c r="D9" s="6" t="s">
        <v>4</v>
      </c>
      <c r="E9" s="48">
        <f>'Sept 2023'!$I$88</f>
        <v>42020</v>
      </c>
      <c r="F9" s="48">
        <f>'Sept 2023'!$J$88</f>
        <v>10100</v>
      </c>
      <c r="G9" s="49">
        <f>'Sept 2023'!$K$88</f>
        <v>0</v>
      </c>
      <c r="H9" s="49">
        <f>'Sept 2023'!$L$88</f>
        <v>500</v>
      </c>
      <c r="I9" s="49">
        <f>'Sept 2023'!$M$88</f>
        <v>8500</v>
      </c>
      <c r="J9" s="49">
        <f>'Sept 2023'!$N$88</f>
        <v>25100</v>
      </c>
      <c r="K9" s="49">
        <f>'Sept 2023'!$O$88</f>
        <v>13875</v>
      </c>
      <c r="L9" s="49">
        <f>'Sept 2023'!$P$88</f>
        <v>4525</v>
      </c>
      <c r="M9" s="49">
        <f>'Sept 2023'!$Q$88</f>
        <v>5000</v>
      </c>
      <c r="N9" s="50">
        <f t="shared" ref="N9:N12" si="0">SUM(E9:M9)</f>
        <v>109620</v>
      </c>
      <c r="O9" s="51">
        <f t="shared" ref="O9:O12" si="1">SUM(F9:M9)</f>
        <v>67600</v>
      </c>
      <c r="P9" s="52">
        <f t="shared" ref="P9:P12" si="2">E9</f>
        <v>42020</v>
      </c>
      <c r="Q9" s="53">
        <f t="shared" ref="Q9:Q12" si="3">SUM(O9,P9)</f>
        <v>109620</v>
      </c>
      <c r="R9" s="1"/>
    </row>
    <row r="10" spans="3:23" ht="17.25" x14ac:dyDescent="0.3">
      <c r="C10" s="1"/>
      <c r="D10" s="6" t="s">
        <v>259</v>
      </c>
      <c r="E10" s="12">
        <v>125045</v>
      </c>
      <c r="F10" s="12">
        <v>17475</v>
      </c>
      <c r="G10" s="12">
        <v>0</v>
      </c>
      <c r="H10" s="12">
        <v>500</v>
      </c>
      <c r="I10" s="12">
        <v>8500</v>
      </c>
      <c r="J10" s="12">
        <v>13250</v>
      </c>
      <c r="K10" s="12">
        <v>225</v>
      </c>
      <c r="L10" s="12">
        <v>4300</v>
      </c>
      <c r="M10" s="12">
        <v>5000</v>
      </c>
      <c r="N10" s="54">
        <f t="shared" si="0"/>
        <v>174295</v>
      </c>
      <c r="O10" s="55">
        <f t="shared" si="1"/>
        <v>49250</v>
      </c>
      <c r="P10" s="56">
        <f t="shared" si="2"/>
        <v>125045</v>
      </c>
      <c r="Q10" s="57">
        <f t="shared" si="3"/>
        <v>174295</v>
      </c>
      <c r="R10" s="1"/>
    </row>
    <row r="11" spans="3:23" ht="17.25" x14ac:dyDescent="0.3">
      <c r="C11" s="1"/>
      <c r="D11" s="6" t="s">
        <v>260</v>
      </c>
      <c r="E11" s="58">
        <f>W28</f>
        <v>97643</v>
      </c>
      <c r="F11" s="58"/>
      <c r="G11" s="58"/>
      <c r="H11" s="58"/>
      <c r="I11" s="58"/>
      <c r="J11" s="58">
        <v>18000</v>
      </c>
      <c r="K11" s="58">
        <v>18000</v>
      </c>
      <c r="L11" s="58"/>
      <c r="M11" s="58"/>
      <c r="N11" s="54">
        <f t="shared" si="0"/>
        <v>133643</v>
      </c>
      <c r="O11" s="59">
        <f t="shared" si="1"/>
        <v>36000</v>
      </c>
      <c r="P11" s="60">
        <f t="shared" si="2"/>
        <v>97643</v>
      </c>
      <c r="Q11" s="61">
        <f t="shared" si="3"/>
        <v>133643</v>
      </c>
      <c r="R11" s="1"/>
    </row>
    <row r="12" spans="3:23" ht="17.25" x14ac:dyDescent="0.3">
      <c r="C12" s="1"/>
      <c r="D12" s="6" t="s">
        <v>261</v>
      </c>
      <c r="E12" s="12">
        <f t="shared" ref="E12:M12" si="4">SUM(E10+E11-E9)</f>
        <v>180668</v>
      </c>
      <c r="F12" s="12">
        <f t="shared" si="4"/>
        <v>7375</v>
      </c>
      <c r="G12" s="12">
        <f t="shared" si="4"/>
        <v>0</v>
      </c>
      <c r="H12" s="12">
        <f t="shared" si="4"/>
        <v>0</v>
      </c>
      <c r="I12" s="12">
        <f t="shared" si="4"/>
        <v>0</v>
      </c>
      <c r="J12" s="12">
        <f t="shared" si="4"/>
        <v>6150</v>
      </c>
      <c r="K12" s="12">
        <f t="shared" si="4"/>
        <v>4350</v>
      </c>
      <c r="L12" s="12">
        <f t="shared" si="4"/>
        <v>-225</v>
      </c>
      <c r="M12" s="12">
        <f t="shared" si="4"/>
        <v>0</v>
      </c>
      <c r="N12" s="54">
        <f t="shared" si="0"/>
        <v>198318</v>
      </c>
      <c r="O12" s="59">
        <f t="shared" si="1"/>
        <v>17650</v>
      </c>
      <c r="P12" s="60">
        <f t="shared" si="2"/>
        <v>180668</v>
      </c>
      <c r="Q12" s="61">
        <f t="shared" si="3"/>
        <v>198318</v>
      </c>
      <c r="R12" s="1"/>
    </row>
    <row r="13" spans="3:23" x14ac:dyDescent="0.25">
      <c r="C13" s="1"/>
      <c r="E13" s="1"/>
      <c r="F13" s="16"/>
      <c r="R13" s="1"/>
    </row>
    <row r="14" spans="3:23" x14ac:dyDescent="0.25">
      <c r="C14" s="1"/>
      <c r="E14" s="1"/>
      <c r="F14" s="16"/>
      <c r="R14" s="1"/>
    </row>
    <row r="15" spans="3:23" x14ac:dyDescent="0.25">
      <c r="C15" s="1"/>
      <c r="E15" s="1"/>
      <c r="F15" s="16"/>
      <c r="R15" s="1"/>
    </row>
    <row r="16" spans="3:23" ht="15.75" x14ac:dyDescent="0.25">
      <c r="C16" s="9" t="s">
        <v>8</v>
      </c>
      <c r="D16" s="4" t="s">
        <v>9</v>
      </c>
      <c r="E16" s="20" t="s">
        <v>10</v>
      </c>
      <c r="F16" s="20" t="s">
        <v>11</v>
      </c>
      <c r="G16" s="4" t="s">
        <v>4</v>
      </c>
      <c r="H16" s="4" t="s">
        <v>12</v>
      </c>
      <c r="I16" s="4" t="s">
        <v>2</v>
      </c>
      <c r="J16" s="4" t="s">
        <v>13</v>
      </c>
      <c r="K16" s="4" t="s">
        <v>14</v>
      </c>
      <c r="L16" s="4" t="s">
        <v>15</v>
      </c>
      <c r="M16" s="4" t="s">
        <v>16</v>
      </c>
      <c r="N16" s="4" t="s">
        <v>17</v>
      </c>
      <c r="O16" s="4" t="s">
        <v>18</v>
      </c>
      <c r="P16" s="4" t="s">
        <v>19</v>
      </c>
      <c r="Q16" s="39" t="s">
        <v>204</v>
      </c>
      <c r="T16" s="101" t="s">
        <v>118</v>
      </c>
      <c r="U16" s="102"/>
      <c r="V16" s="102"/>
      <c r="W16" s="102"/>
    </row>
    <row r="17" spans="3:23" x14ac:dyDescent="0.25">
      <c r="C17" s="10">
        <v>1</v>
      </c>
      <c r="D17" s="11">
        <v>45170</v>
      </c>
      <c r="E17" s="10">
        <v>342</v>
      </c>
      <c r="F17" s="22" t="s">
        <v>150</v>
      </c>
      <c r="G17" s="7">
        <v>1500</v>
      </c>
      <c r="H17" s="12">
        <v>169</v>
      </c>
      <c r="I17" s="7"/>
      <c r="J17" s="7"/>
      <c r="K17" s="7"/>
      <c r="L17" s="7"/>
      <c r="M17" s="7"/>
      <c r="N17" s="7"/>
      <c r="O17" s="7"/>
      <c r="P17" s="7"/>
      <c r="Q17" s="40">
        <v>1500</v>
      </c>
      <c r="T17" s="97" t="s">
        <v>172</v>
      </c>
      <c r="U17" s="98"/>
      <c r="V17" s="98"/>
      <c r="W17" s="34"/>
    </row>
    <row r="18" spans="3:23" x14ac:dyDescent="0.25">
      <c r="C18" s="10">
        <v>2</v>
      </c>
      <c r="D18" s="11">
        <v>45170</v>
      </c>
      <c r="E18" s="10">
        <v>343</v>
      </c>
      <c r="F18" s="22" t="s">
        <v>22</v>
      </c>
      <c r="G18" s="7">
        <v>3500</v>
      </c>
      <c r="H18" s="12">
        <v>171</v>
      </c>
      <c r="I18" s="7"/>
      <c r="J18" s="7"/>
      <c r="K18" s="7"/>
      <c r="L18" s="7"/>
      <c r="M18" s="7"/>
      <c r="N18" s="7"/>
      <c r="O18" s="7"/>
      <c r="P18" s="7"/>
      <c r="Q18" s="7">
        <v>3500</v>
      </c>
      <c r="T18" s="10" t="s">
        <v>121</v>
      </c>
      <c r="U18" s="7" t="s">
        <v>9</v>
      </c>
      <c r="V18" s="7" t="s">
        <v>122</v>
      </c>
      <c r="W18" s="7" t="s">
        <v>4</v>
      </c>
    </row>
    <row r="19" spans="3:23" x14ac:dyDescent="0.25">
      <c r="C19" s="10">
        <v>3</v>
      </c>
      <c r="D19" s="11">
        <v>45170</v>
      </c>
      <c r="E19" s="10">
        <v>344</v>
      </c>
      <c r="F19" s="22" t="s">
        <v>96</v>
      </c>
      <c r="G19" s="7">
        <v>500</v>
      </c>
      <c r="H19" s="12">
        <v>163</v>
      </c>
      <c r="I19" s="7"/>
      <c r="J19" s="7"/>
      <c r="K19" s="7"/>
      <c r="L19" s="7"/>
      <c r="M19" s="7"/>
      <c r="N19" s="7"/>
      <c r="O19" s="7"/>
      <c r="P19" s="7">
        <v>500</v>
      </c>
      <c r="Q19" s="7"/>
      <c r="T19" s="10">
        <v>1</v>
      </c>
      <c r="U19" s="41">
        <v>45188</v>
      </c>
      <c r="V19" s="7" t="s">
        <v>262</v>
      </c>
      <c r="W19" s="7">
        <v>12672</v>
      </c>
    </row>
    <row r="20" spans="3:23" x14ac:dyDescent="0.25">
      <c r="C20" s="10">
        <v>4</v>
      </c>
      <c r="D20" s="11">
        <v>45170</v>
      </c>
      <c r="E20" s="10">
        <v>345</v>
      </c>
      <c r="F20" s="22" t="s">
        <v>248</v>
      </c>
      <c r="G20" s="7">
        <v>500</v>
      </c>
      <c r="H20" s="31">
        <v>164</v>
      </c>
      <c r="I20" s="7"/>
      <c r="J20" s="7"/>
      <c r="K20" s="7"/>
      <c r="L20" s="7">
        <v>500</v>
      </c>
      <c r="M20" s="7"/>
      <c r="N20" s="7"/>
      <c r="O20" s="7"/>
      <c r="P20" s="7"/>
      <c r="Q20" s="7"/>
      <c r="T20" s="10">
        <v>2</v>
      </c>
      <c r="U20" s="41">
        <v>45190</v>
      </c>
      <c r="V20" s="7" t="s">
        <v>263</v>
      </c>
      <c r="W20" s="7">
        <v>18439</v>
      </c>
    </row>
    <row r="21" spans="3:23" ht="15.75" customHeight="1" x14ac:dyDescent="0.25">
      <c r="C21" s="10">
        <v>5</v>
      </c>
      <c r="D21" s="11">
        <v>45170</v>
      </c>
      <c r="E21" s="10">
        <v>346</v>
      </c>
      <c r="F21" s="22" t="s">
        <v>51</v>
      </c>
      <c r="G21" s="7">
        <v>5000</v>
      </c>
      <c r="H21" s="12">
        <v>192</v>
      </c>
      <c r="I21" s="7"/>
      <c r="J21" s="7"/>
      <c r="K21" s="7"/>
      <c r="L21" s="7"/>
      <c r="M21" s="7"/>
      <c r="N21" s="7">
        <v>5000</v>
      </c>
      <c r="O21" s="7"/>
      <c r="P21" s="7"/>
      <c r="Q21" s="7"/>
      <c r="T21" s="10">
        <v>3</v>
      </c>
      <c r="U21" s="11">
        <v>45191</v>
      </c>
      <c r="V21" s="7" t="s">
        <v>264</v>
      </c>
      <c r="W21" s="7">
        <v>17513</v>
      </c>
    </row>
    <row r="22" spans="3:23" ht="15.75" customHeight="1" x14ac:dyDescent="0.25">
      <c r="C22" s="10">
        <v>6</v>
      </c>
      <c r="D22" s="11">
        <v>45171</v>
      </c>
      <c r="E22" s="10">
        <v>347</v>
      </c>
      <c r="F22" s="22" t="s">
        <v>43</v>
      </c>
      <c r="G22" s="7">
        <v>3000</v>
      </c>
      <c r="H22" s="12">
        <v>325</v>
      </c>
      <c r="I22" s="7">
        <v>3000</v>
      </c>
      <c r="J22" s="7"/>
      <c r="K22" s="7"/>
      <c r="L22" s="7"/>
      <c r="M22" s="7"/>
      <c r="N22" s="7"/>
      <c r="O22" s="7"/>
      <c r="P22" s="7"/>
      <c r="Q22" s="7"/>
      <c r="T22" s="10">
        <v>4</v>
      </c>
      <c r="U22" s="11">
        <v>45192</v>
      </c>
      <c r="V22" s="7" t="s">
        <v>265</v>
      </c>
      <c r="W22" s="7">
        <v>15513</v>
      </c>
    </row>
    <row r="23" spans="3:23" ht="15.75" customHeight="1" x14ac:dyDescent="0.25">
      <c r="C23" s="10">
        <v>7</v>
      </c>
      <c r="D23" s="11">
        <v>44961</v>
      </c>
      <c r="E23" s="10">
        <v>348</v>
      </c>
      <c r="F23" s="22" t="s">
        <v>190</v>
      </c>
      <c r="G23" s="7">
        <v>1000</v>
      </c>
      <c r="H23" s="12">
        <v>161</v>
      </c>
      <c r="I23" s="7"/>
      <c r="J23" s="7"/>
      <c r="K23" s="7"/>
      <c r="L23" s="7"/>
      <c r="M23" s="7"/>
      <c r="N23" s="7"/>
      <c r="O23" s="7"/>
      <c r="P23" s="7">
        <v>1000</v>
      </c>
      <c r="Q23" s="7"/>
      <c r="T23" s="10">
        <v>5</v>
      </c>
      <c r="U23" s="11">
        <v>45194</v>
      </c>
      <c r="V23" s="7" t="s">
        <v>266</v>
      </c>
      <c r="W23" s="7">
        <v>15987</v>
      </c>
    </row>
    <row r="24" spans="3:23" ht="15.75" customHeight="1" x14ac:dyDescent="0.25">
      <c r="C24" s="10">
        <v>8</v>
      </c>
      <c r="D24" s="11">
        <v>45020</v>
      </c>
      <c r="E24" s="10">
        <v>349</v>
      </c>
      <c r="F24" s="22" t="s">
        <v>224</v>
      </c>
      <c r="G24" s="7">
        <v>2000</v>
      </c>
      <c r="H24" s="12">
        <v>147</v>
      </c>
      <c r="I24" s="7"/>
      <c r="J24" s="7">
        <v>2000</v>
      </c>
      <c r="K24" s="7"/>
      <c r="L24" s="7"/>
      <c r="M24" s="7"/>
      <c r="N24" s="7"/>
      <c r="O24" s="7"/>
      <c r="P24" s="7"/>
      <c r="Q24" s="7"/>
      <c r="T24" s="10">
        <v>6</v>
      </c>
      <c r="U24" s="11">
        <v>45194</v>
      </c>
      <c r="V24" s="7" t="s">
        <v>266</v>
      </c>
      <c r="W24" s="7">
        <v>17519</v>
      </c>
    </row>
    <row r="25" spans="3:23" ht="15.75" customHeight="1" x14ac:dyDescent="0.25">
      <c r="C25" s="10">
        <v>9</v>
      </c>
      <c r="D25" s="11">
        <v>45174</v>
      </c>
      <c r="E25" s="10">
        <v>351</v>
      </c>
      <c r="F25" s="22" t="s">
        <v>96</v>
      </c>
      <c r="G25" s="7">
        <v>10000</v>
      </c>
      <c r="H25" s="12">
        <v>117</v>
      </c>
      <c r="I25" s="7">
        <v>10000</v>
      </c>
      <c r="J25" s="7"/>
      <c r="K25" s="7"/>
      <c r="L25" s="7"/>
      <c r="M25" s="7"/>
      <c r="N25" s="7"/>
      <c r="O25" s="7"/>
      <c r="P25" s="7"/>
      <c r="Q25" s="7"/>
      <c r="T25" s="10">
        <v>7</v>
      </c>
      <c r="U25" s="11"/>
      <c r="V25" s="7"/>
      <c r="W25" s="7"/>
    </row>
    <row r="26" spans="3:23" ht="15.75" customHeight="1" x14ac:dyDescent="0.25">
      <c r="C26" s="10">
        <v>10</v>
      </c>
      <c r="D26" s="11">
        <v>45174</v>
      </c>
      <c r="E26" s="10">
        <v>352</v>
      </c>
      <c r="F26" s="22" t="s">
        <v>37</v>
      </c>
      <c r="G26" s="7">
        <v>520</v>
      </c>
      <c r="H26" s="12" t="s">
        <v>267</v>
      </c>
      <c r="I26" s="7">
        <v>20</v>
      </c>
      <c r="J26" s="7"/>
      <c r="K26" s="7"/>
      <c r="L26" s="7"/>
      <c r="M26" s="7"/>
      <c r="N26" s="7"/>
      <c r="O26" s="7"/>
      <c r="P26" s="7">
        <v>500</v>
      </c>
      <c r="Q26" s="7"/>
      <c r="T26" s="10">
        <v>8</v>
      </c>
      <c r="U26" s="11"/>
      <c r="V26" s="7"/>
      <c r="W26" s="7"/>
    </row>
    <row r="27" spans="3:23" ht="15.75" customHeight="1" x14ac:dyDescent="0.25">
      <c r="C27" s="10">
        <v>11</v>
      </c>
      <c r="D27" s="11">
        <v>45175</v>
      </c>
      <c r="E27" s="10">
        <v>354</v>
      </c>
      <c r="F27" s="22" t="s">
        <v>139</v>
      </c>
      <c r="G27" s="7">
        <v>1000</v>
      </c>
      <c r="H27" s="12">
        <v>160</v>
      </c>
      <c r="I27" s="7"/>
      <c r="J27" s="7"/>
      <c r="K27" s="7"/>
      <c r="L27" s="7"/>
      <c r="M27" s="7"/>
      <c r="N27" s="7">
        <v>1000</v>
      </c>
      <c r="O27" s="7"/>
      <c r="P27" s="7"/>
      <c r="Q27" s="7"/>
      <c r="T27" s="10"/>
      <c r="U27" s="7"/>
      <c r="V27" s="7"/>
      <c r="W27" s="7"/>
    </row>
    <row r="28" spans="3:23" ht="15.75" customHeight="1" x14ac:dyDescent="0.25">
      <c r="C28" s="10">
        <v>12</v>
      </c>
      <c r="D28" s="11">
        <v>45177</v>
      </c>
      <c r="E28" s="10">
        <v>358</v>
      </c>
      <c r="F28" s="22" t="s">
        <v>268</v>
      </c>
      <c r="G28" s="7">
        <v>400</v>
      </c>
      <c r="H28" s="12">
        <v>155</v>
      </c>
      <c r="I28" s="7"/>
      <c r="J28" s="7">
        <v>400</v>
      </c>
      <c r="K28" s="7"/>
      <c r="L28" s="7"/>
      <c r="M28" s="7"/>
      <c r="N28" s="7"/>
      <c r="O28" s="7"/>
      <c r="P28" s="7"/>
      <c r="Q28" s="7"/>
      <c r="T28" s="97" t="s">
        <v>181</v>
      </c>
      <c r="U28" s="98"/>
      <c r="V28" s="99"/>
      <c r="W28" s="7">
        <f>SUM(W19:W26)</f>
        <v>97643</v>
      </c>
    </row>
    <row r="29" spans="3:23" ht="15.75" customHeight="1" x14ac:dyDescent="0.25">
      <c r="C29" s="10">
        <v>13</v>
      </c>
      <c r="D29" s="11">
        <v>45177</v>
      </c>
      <c r="E29" s="10">
        <v>359</v>
      </c>
      <c r="F29" s="22" t="s">
        <v>71</v>
      </c>
      <c r="G29" s="7">
        <v>500</v>
      </c>
      <c r="H29" s="12">
        <v>165</v>
      </c>
      <c r="I29" s="7"/>
      <c r="J29" s="7"/>
      <c r="K29" s="7"/>
      <c r="L29" s="7"/>
      <c r="M29" s="7"/>
      <c r="N29" s="7">
        <v>500</v>
      </c>
      <c r="O29" s="7"/>
      <c r="P29" s="7"/>
      <c r="Q29" s="7"/>
      <c r="T29" s="97" t="s">
        <v>183</v>
      </c>
      <c r="U29" s="98"/>
      <c r="V29" s="99"/>
      <c r="W29" s="7">
        <v>125045</v>
      </c>
    </row>
    <row r="30" spans="3:23" ht="15.75" customHeight="1" x14ac:dyDescent="0.25">
      <c r="C30" s="10">
        <v>14</v>
      </c>
      <c r="D30" s="11">
        <v>45178</v>
      </c>
      <c r="E30" s="10">
        <v>360</v>
      </c>
      <c r="F30" s="22" t="s">
        <v>269</v>
      </c>
      <c r="G30" s="7">
        <v>375</v>
      </c>
      <c r="H30" s="12" t="s">
        <v>270</v>
      </c>
      <c r="I30" s="7"/>
      <c r="J30" s="7">
        <v>250</v>
      </c>
      <c r="K30" s="7"/>
      <c r="L30" s="7"/>
      <c r="M30" s="7">
        <v>125</v>
      </c>
      <c r="N30" s="7"/>
      <c r="O30" s="7"/>
      <c r="P30" s="7"/>
      <c r="Q30" s="7"/>
      <c r="T30" s="97" t="s">
        <v>184</v>
      </c>
      <c r="U30" s="98"/>
      <c r="V30" s="99"/>
      <c r="W30" s="35">
        <f>SUM(W28,W29)</f>
        <v>222688</v>
      </c>
    </row>
    <row r="31" spans="3:23" ht="15.75" customHeight="1" x14ac:dyDescent="0.25">
      <c r="C31" s="10">
        <v>15</v>
      </c>
      <c r="D31" s="11">
        <v>45178</v>
      </c>
      <c r="E31" s="10" t="s">
        <v>27</v>
      </c>
      <c r="F31" s="22" t="s">
        <v>30</v>
      </c>
      <c r="G31" s="7">
        <v>225</v>
      </c>
      <c r="H31" s="12">
        <v>190</v>
      </c>
      <c r="I31" s="7"/>
      <c r="J31" s="7"/>
      <c r="K31" s="7"/>
      <c r="L31" s="7"/>
      <c r="M31" s="7"/>
      <c r="N31" s="7"/>
      <c r="O31" s="7"/>
      <c r="P31" s="7">
        <v>225</v>
      </c>
      <c r="Q31" s="7"/>
      <c r="T31" s="97" t="s">
        <v>186</v>
      </c>
      <c r="U31" s="98"/>
      <c r="V31" s="99"/>
      <c r="W31" s="7">
        <f>'Sept 2023'!$I$88</f>
        <v>42020</v>
      </c>
    </row>
    <row r="32" spans="3:23" ht="15.75" customHeight="1" x14ac:dyDescent="0.25">
      <c r="C32" s="10">
        <v>16</v>
      </c>
      <c r="D32" s="11">
        <v>45177</v>
      </c>
      <c r="E32" s="24" t="s">
        <v>271</v>
      </c>
      <c r="F32" s="22" t="s">
        <v>43</v>
      </c>
      <c r="G32" s="7">
        <v>2000</v>
      </c>
      <c r="H32" s="12">
        <v>157</v>
      </c>
      <c r="I32" s="7"/>
      <c r="J32" s="7"/>
      <c r="K32" s="7"/>
      <c r="L32" s="7"/>
      <c r="M32" s="7"/>
      <c r="N32" s="7"/>
      <c r="O32" s="7">
        <v>2000</v>
      </c>
      <c r="P32" s="7"/>
      <c r="Q32" s="7"/>
      <c r="T32" s="97"/>
      <c r="U32" s="98"/>
      <c r="V32" s="99"/>
      <c r="W32" s="7"/>
    </row>
    <row r="33" spans="3:23" ht="15.75" customHeight="1" x14ac:dyDescent="0.25">
      <c r="C33" s="10">
        <v>17</v>
      </c>
      <c r="D33" s="11">
        <v>45177</v>
      </c>
      <c r="E33" s="10">
        <v>361</v>
      </c>
      <c r="F33" s="22" t="s">
        <v>90</v>
      </c>
      <c r="G33" s="7">
        <v>5150</v>
      </c>
      <c r="H33" s="12" t="s">
        <v>272</v>
      </c>
      <c r="I33" s="7">
        <v>4000</v>
      </c>
      <c r="J33" s="7"/>
      <c r="K33" s="7"/>
      <c r="L33" s="7"/>
      <c r="M33" s="7"/>
      <c r="N33" s="7">
        <v>1150</v>
      </c>
      <c r="O33" s="7"/>
      <c r="P33" s="7"/>
      <c r="Q33" s="7"/>
      <c r="T33" s="100" t="s">
        <v>188</v>
      </c>
      <c r="U33" s="98"/>
      <c r="V33" s="99"/>
      <c r="W33" s="36">
        <f>SUM(W30-W31)</f>
        <v>180668</v>
      </c>
    </row>
    <row r="34" spans="3:23" ht="15.75" customHeight="1" x14ac:dyDescent="0.25">
      <c r="C34" s="10">
        <v>18</v>
      </c>
      <c r="D34" s="11">
        <v>45180</v>
      </c>
      <c r="E34" s="10">
        <v>363</v>
      </c>
      <c r="F34" s="22" t="s">
        <v>273</v>
      </c>
      <c r="G34" s="7">
        <v>500</v>
      </c>
      <c r="H34" s="12" t="s">
        <v>274</v>
      </c>
      <c r="I34" s="7"/>
      <c r="J34" s="7"/>
      <c r="K34" s="7"/>
      <c r="L34" s="7"/>
      <c r="M34" s="7">
        <v>250</v>
      </c>
      <c r="N34" s="7">
        <v>250</v>
      </c>
      <c r="O34" s="7"/>
      <c r="P34" s="7"/>
      <c r="Q34" s="7"/>
    </row>
    <row r="35" spans="3:23" ht="15.75" customHeight="1" x14ac:dyDescent="0.25">
      <c r="C35" s="10">
        <v>19</v>
      </c>
      <c r="D35" s="11">
        <v>45180</v>
      </c>
      <c r="E35" s="10" t="s">
        <v>275</v>
      </c>
      <c r="F35" s="22" t="s">
        <v>32</v>
      </c>
      <c r="G35" s="7">
        <v>500</v>
      </c>
      <c r="H35" s="12">
        <v>170</v>
      </c>
      <c r="I35" s="7"/>
      <c r="J35" s="7"/>
      <c r="K35" s="7"/>
      <c r="L35" s="7"/>
      <c r="M35" s="7"/>
      <c r="N35" s="7"/>
      <c r="O35" s="7">
        <v>500</v>
      </c>
      <c r="P35" s="7"/>
      <c r="Q35" s="7"/>
    </row>
    <row r="36" spans="3:23" ht="15.75" customHeight="1" x14ac:dyDescent="0.25">
      <c r="C36" s="10">
        <v>20</v>
      </c>
      <c r="D36" s="11">
        <v>45180</v>
      </c>
      <c r="E36" s="10">
        <v>364</v>
      </c>
      <c r="F36" s="22" t="s">
        <v>80</v>
      </c>
      <c r="G36" s="7">
        <v>2500</v>
      </c>
      <c r="H36" s="12">
        <v>148.5</v>
      </c>
      <c r="I36" s="7"/>
      <c r="J36" s="7">
        <v>2500</v>
      </c>
      <c r="K36" s="7"/>
      <c r="L36" s="7"/>
      <c r="M36" s="7"/>
      <c r="N36" s="7"/>
      <c r="O36" s="7"/>
      <c r="P36" s="7"/>
      <c r="Q36" s="7"/>
    </row>
    <row r="37" spans="3:23" ht="15.75" customHeight="1" x14ac:dyDescent="0.25">
      <c r="C37" s="10">
        <v>21</v>
      </c>
      <c r="D37" s="11">
        <v>45181</v>
      </c>
      <c r="E37" s="10">
        <v>365</v>
      </c>
      <c r="F37" s="22" t="s">
        <v>269</v>
      </c>
      <c r="G37" s="7">
        <v>3000</v>
      </c>
      <c r="H37" s="12">
        <v>178</v>
      </c>
      <c r="I37" s="7"/>
      <c r="J37" s="7"/>
      <c r="K37" s="7"/>
      <c r="L37" s="7"/>
      <c r="M37" s="7">
        <v>3000</v>
      </c>
      <c r="N37" s="7"/>
      <c r="O37" s="7"/>
      <c r="P37" s="7"/>
      <c r="Q37" s="7"/>
    </row>
    <row r="38" spans="3:23" ht="15.75" customHeight="1" x14ac:dyDescent="0.25">
      <c r="C38" s="10">
        <v>22</v>
      </c>
      <c r="D38" s="11">
        <v>45181</v>
      </c>
      <c r="E38" s="10">
        <v>366</v>
      </c>
      <c r="F38" s="22" t="s">
        <v>269</v>
      </c>
      <c r="G38" s="7">
        <v>500</v>
      </c>
      <c r="H38" s="12">
        <v>158</v>
      </c>
      <c r="I38" s="7"/>
      <c r="J38" s="7">
        <v>500</v>
      </c>
      <c r="K38" s="7"/>
      <c r="L38" s="7"/>
      <c r="M38" s="7"/>
      <c r="N38" s="7"/>
      <c r="O38" s="7"/>
      <c r="P38" s="7"/>
      <c r="Q38" s="7"/>
    </row>
    <row r="39" spans="3:23" ht="15.75" customHeight="1" x14ac:dyDescent="0.25">
      <c r="C39" s="10">
        <v>23</v>
      </c>
      <c r="D39" s="11">
        <v>45181</v>
      </c>
      <c r="E39" s="10">
        <v>367</v>
      </c>
      <c r="F39" s="22" t="s">
        <v>143</v>
      </c>
      <c r="G39" s="7">
        <v>125</v>
      </c>
      <c r="H39" s="12">
        <v>180</v>
      </c>
      <c r="I39" s="7"/>
      <c r="J39" s="7"/>
      <c r="K39" s="7"/>
      <c r="L39" s="7"/>
      <c r="M39" s="7">
        <v>125</v>
      </c>
      <c r="N39" s="7"/>
      <c r="O39" s="7"/>
      <c r="P39" s="7"/>
      <c r="Q39" s="7"/>
    </row>
    <row r="40" spans="3:23" ht="15.75" customHeight="1" x14ac:dyDescent="0.25">
      <c r="C40" s="10">
        <v>24</v>
      </c>
      <c r="D40" s="11">
        <v>45182</v>
      </c>
      <c r="E40" s="10">
        <v>368</v>
      </c>
      <c r="F40" s="22" t="s">
        <v>224</v>
      </c>
      <c r="G40" s="7">
        <v>1600</v>
      </c>
      <c r="H40" s="12">
        <v>114</v>
      </c>
      <c r="I40" s="7">
        <v>1600</v>
      </c>
      <c r="J40" s="7"/>
      <c r="K40" s="7"/>
      <c r="L40" s="7"/>
      <c r="M40" s="7"/>
      <c r="N40" s="7"/>
      <c r="O40" s="7"/>
      <c r="P40" s="7"/>
      <c r="Q40" s="7"/>
    </row>
    <row r="41" spans="3:23" ht="15.75" customHeight="1" x14ac:dyDescent="0.25">
      <c r="C41" s="10">
        <v>25</v>
      </c>
      <c r="D41" s="11">
        <v>45182</v>
      </c>
      <c r="E41" s="10">
        <v>369</v>
      </c>
      <c r="F41" s="22" t="s">
        <v>268</v>
      </c>
      <c r="G41" s="7">
        <v>400</v>
      </c>
      <c r="H41" s="12">
        <v>172</v>
      </c>
      <c r="I41" s="7"/>
      <c r="J41" s="7"/>
      <c r="K41" s="7"/>
      <c r="L41" s="7"/>
      <c r="M41" s="7"/>
      <c r="N41" s="7"/>
      <c r="O41" s="7">
        <v>400</v>
      </c>
      <c r="P41" s="7"/>
      <c r="Q41" s="7"/>
    </row>
    <row r="42" spans="3:23" ht="15.75" customHeight="1" x14ac:dyDescent="0.25">
      <c r="C42" s="10">
        <v>26</v>
      </c>
      <c r="D42" s="11">
        <v>45183</v>
      </c>
      <c r="E42" s="10">
        <v>371</v>
      </c>
      <c r="F42" s="22" t="s">
        <v>269</v>
      </c>
      <c r="G42" s="7">
        <v>3000</v>
      </c>
      <c r="H42" s="12">
        <v>167</v>
      </c>
      <c r="I42" s="7"/>
      <c r="J42" s="7"/>
      <c r="K42" s="7"/>
      <c r="L42" s="7"/>
      <c r="M42" s="7"/>
      <c r="N42" s="7">
        <v>3000</v>
      </c>
      <c r="O42" s="7"/>
      <c r="P42" s="7"/>
      <c r="Q42" s="7"/>
    </row>
    <row r="43" spans="3:23" ht="15.75" customHeight="1" x14ac:dyDescent="0.25">
      <c r="C43" s="10">
        <v>27</v>
      </c>
      <c r="D43" s="11">
        <v>45183</v>
      </c>
      <c r="E43" s="10">
        <v>372</v>
      </c>
      <c r="F43" s="22" t="s">
        <v>269</v>
      </c>
      <c r="G43" s="7">
        <v>500</v>
      </c>
      <c r="H43" s="12">
        <v>120</v>
      </c>
      <c r="I43" s="7">
        <v>500</v>
      </c>
      <c r="J43" s="7"/>
      <c r="K43" s="7"/>
      <c r="L43" s="7"/>
      <c r="M43" s="7"/>
      <c r="N43" s="7"/>
      <c r="O43" s="7"/>
      <c r="P43" s="7"/>
      <c r="Q43" s="7"/>
    </row>
    <row r="44" spans="3:23" ht="15.75" customHeight="1" x14ac:dyDescent="0.25">
      <c r="C44" s="10">
        <v>28</v>
      </c>
      <c r="D44" s="11">
        <v>45184</v>
      </c>
      <c r="E44" s="10">
        <v>373</v>
      </c>
      <c r="F44" s="22" t="s">
        <v>96</v>
      </c>
      <c r="G44" s="7">
        <v>10000</v>
      </c>
      <c r="H44" s="12">
        <v>117</v>
      </c>
      <c r="I44" s="7">
        <v>10000</v>
      </c>
      <c r="J44" s="7"/>
      <c r="K44" s="7"/>
      <c r="L44" s="7"/>
      <c r="M44" s="7"/>
      <c r="N44" s="7"/>
      <c r="O44" s="7"/>
      <c r="P44" s="7"/>
      <c r="Q44" s="7"/>
    </row>
    <row r="45" spans="3:23" ht="15.75" customHeight="1" x14ac:dyDescent="0.25">
      <c r="C45" s="10">
        <v>29</v>
      </c>
      <c r="D45" s="11">
        <v>45184</v>
      </c>
      <c r="E45" s="10">
        <v>374</v>
      </c>
      <c r="F45" s="22" t="s">
        <v>37</v>
      </c>
      <c r="G45" s="7">
        <v>500</v>
      </c>
      <c r="H45" s="12">
        <v>125</v>
      </c>
      <c r="I45" s="7">
        <v>500</v>
      </c>
      <c r="J45" s="7"/>
      <c r="K45" s="7"/>
      <c r="L45" s="7"/>
      <c r="M45" s="7"/>
      <c r="N45" s="7"/>
      <c r="O45" s="7"/>
      <c r="P45" s="7"/>
      <c r="Q45" s="7"/>
      <c r="S45" s="1"/>
    </row>
    <row r="46" spans="3:23" ht="15.75" customHeight="1" x14ac:dyDescent="0.25">
      <c r="C46" s="10">
        <v>30</v>
      </c>
      <c r="D46" s="11">
        <v>45184</v>
      </c>
      <c r="E46" s="10">
        <v>375</v>
      </c>
      <c r="F46" s="22" t="s">
        <v>80</v>
      </c>
      <c r="G46" s="7">
        <v>250</v>
      </c>
      <c r="H46" s="12">
        <v>148.5</v>
      </c>
      <c r="I46" s="7"/>
      <c r="J46" s="7">
        <v>250</v>
      </c>
      <c r="K46" s="7"/>
      <c r="L46" s="7"/>
      <c r="M46" s="7"/>
      <c r="N46" s="7"/>
      <c r="O46" s="7"/>
      <c r="P46" s="7"/>
      <c r="Q46" s="7"/>
      <c r="S46" s="1"/>
    </row>
    <row r="47" spans="3:23" ht="15.75" customHeight="1" x14ac:dyDescent="0.25">
      <c r="C47" s="10">
        <v>31</v>
      </c>
      <c r="D47" s="11">
        <v>45184</v>
      </c>
      <c r="E47" s="10">
        <v>376</v>
      </c>
      <c r="F47" s="22" t="s">
        <v>276</v>
      </c>
      <c r="G47" s="7">
        <v>500</v>
      </c>
      <c r="H47" s="12">
        <v>105</v>
      </c>
      <c r="I47" s="7">
        <v>500</v>
      </c>
      <c r="J47" s="7"/>
      <c r="K47" s="7"/>
      <c r="L47" s="7"/>
      <c r="M47" s="7"/>
      <c r="N47" s="7"/>
      <c r="O47" s="7"/>
      <c r="P47" s="7"/>
      <c r="Q47" s="7"/>
      <c r="S47" s="1"/>
    </row>
    <row r="48" spans="3:23" ht="15.75" customHeight="1" x14ac:dyDescent="0.25">
      <c r="C48" s="10">
        <v>32</v>
      </c>
      <c r="D48" s="11">
        <v>45184</v>
      </c>
      <c r="E48" s="10" t="s">
        <v>277</v>
      </c>
      <c r="F48" s="22" t="s">
        <v>49</v>
      </c>
      <c r="G48" s="7">
        <v>2000</v>
      </c>
      <c r="H48" s="12">
        <v>178</v>
      </c>
      <c r="I48" s="7"/>
      <c r="J48" s="7"/>
      <c r="K48" s="7"/>
      <c r="L48" s="7"/>
      <c r="M48" s="7">
        <v>2000</v>
      </c>
      <c r="N48" s="7"/>
      <c r="O48" s="7"/>
      <c r="P48" s="7"/>
      <c r="Q48" s="7"/>
      <c r="S48" s="1"/>
    </row>
    <row r="49" spans="3:19" ht="15.75" customHeight="1" x14ac:dyDescent="0.25">
      <c r="C49" s="10">
        <v>33</v>
      </c>
      <c r="D49" s="11">
        <v>45185</v>
      </c>
      <c r="E49" s="10">
        <v>379</v>
      </c>
      <c r="F49" s="22" t="s">
        <v>48</v>
      </c>
      <c r="G49" s="7">
        <v>1000</v>
      </c>
      <c r="H49" s="12">
        <v>170</v>
      </c>
      <c r="I49" s="7"/>
      <c r="J49" s="7"/>
      <c r="K49" s="7"/>
      <c r="L49" s="7"/>
      <c r="M49" s="7"/>
      <c r="N49" s="7"/>
      <c r="O49" s="7">
        <v>1000</v>
      </c>
      <c r="P49" s="7"/>
      <c r="Q49" s="7"/>
      <c r="S49" s="1"/>
    </row>
    <row r="50" spans="3:19" ht="15.75" customHeight="1" x14ac:dyDescent="0.25">
      <c r="C50" s="10">
        <v>34</v>
      </c>
      <c r="D50" s="11">
        <v>45185</v>
      </c>
      <c r="E50" s="10">
        <v>380</v>
      </c>
      <c r="F50" s="22" t="s">
        <v>227</v>
      </c>
      <c r="G50" s="7">
        <v>1000</v>
      </c>
      <c r="H50" s="12">
        <v>171</v>
      </c>
      <c r="I50" s="7"/>
      <c r="J50" s="7"/>
      <c r="K50" s="7"/>
      <c r="L50" s="7"/>
      <c r="M50" s="7"/>
      <c r="N50" s="7"/>
      <c r="O50" s="7"/>
      <c r="P50" s="7">
        <v>1000</v>
      </c>
      <c r="Q50" s="7"/>
      <c r="S50" s="1"/>
    </row>
    <row r="51" spans="3:19" ht="15.75" customHeight="1" x14ac:dyDescent="0.25">
      <c r="C51" s="10">
        <v>35</v>
      </c>
      <c r="D51" s="11">
        <v>45186</v>
      </c>
      <c r="E51" s="10">
        <v>381</v>
      </c>
      <c r="F51" s="22" t="s">
        <v>51</v>
      </c>
      <c r="G51" s="7">
        <v>5000</v>
      </c>
      <c r="H51" s="12">
        <v>192</v>
      </c>
      <c r="I51" s="7"/>
      <c r="J51" s="7"/>
      <c r="K51" s="7"/>
      <c r="L51" s="7"/>
      <c r="M51" s="7"/>
      <c r="N51" s="7">
        <v>5000</v>
      </c>
      <c r="O51" s="7"/>
      <c r="P51" s="7"/>
      <c r="Q51" s="7"/>
      <c r="S51" s="1"/>
    </row>
    <row r="52" spans="3:19" ht="15.75" customHeight="1" x14ac:dyDescent="0.25">
      <c r="C52" s="10">
        <v>35</v>
      </c>
      <c r="D52" s="11">
        <v>45187</v>
      </c>
      <c r="E52" s="10">
        <v>382</v>
      </c>
      <c r="F52" s="22" t="s">
        <v>278</v>
      </c>
      <c r="G52" s="7">
        <v>100</v>
      </c>
      <c r="H52" s="12">
        <v>130</v>
      </c>
      <c r="I52" s="7">
        <v>100</v>
      </c>
      <c r="J52" s="7"/>
      <c r="K52" s="7"/>
      <c r="L52" s="7"/>
      <c r="M52" s="7"/>
      <c r="N52" s="7"/>
      <c r="O52" s="7"/>
      <c r="P52" s="7"/>
      <c r="Q52" s="7"/>
      <c r="S52" s="1"/>
    </row>
    <row r="53" spans="3:19" ht="15.75" customHeight="1" x14ac:dyDescent="0.25">
      <c r="C53" s="10">
        <v>36</v>
      </c>
      <c r="D53" s="11">
        <v>45187</v>
      </c>
      <c r="E53" s="10">
        <v>383</v>
      </c>
      <c r="F53" s="22" t="s">
        <v>80</v>
      </c>
      <c r="G53" s="7">
        <v>100</v>
      </c>
      <c r="H53" s="12">
        <v>120</v>
      </c>
      <c r="I53" s="7">
        <v>100</v>
      </c>
      <c r="J53" s="7"/>
      <c r="K53" s="7"/>
      <c r="L53" s="7"/>
      <c r="M53" s="7"/>
      <c r="N53" s="7"/>
      <c r="O53" s="7"/>
      <c r="P53" s="7"/>
      <c r="Q53" s="7"/>
      <c r="S53" s="1"/>
    </row>
    <row r="54" spans="3:19" ht="15.75" customHeight="1" x14ac:dyDescent="0.25">
      <c r="C54" s="10">
        <v>37</v>
      </c>
      <c r="D54" s="11">
        <v>45189</v>
      </c>
      <c r="E54" s="10">
        <v>384</v>
      </c>
      <c r="F54" s="22" t="s">
        <v>104</v>
      </c>
      <c r="G54" s="7">
        <v>250</v>
      </c>
      <c r="H54" s="12" t="s">
        <v>279</v>
      </c>
      <c r="I54" s="7">
        <v>200</v>
      </c>
      <c r="J54" s="7"/>
      <c r="K54" s="7"/>
      <c r="L54" s="7"/>
      <c r="M54" s="7"/>
      <c r="N54" s="7"/>
      <c r="O54" s="7">
        <v>50</v>
      </c>
      <c r="P54" s="7"/>
      <c r="Q54" s="7"/>
      <c r="S54" s="1"/>
    </row>
    <row r="55" spans="3:19" ht="15.75" customHeight="1" x14ac:dyDescent="0.25">
      <c r="C55" s="10">
        <v>38</v>
      </c>
      <c r="D55" s="11">
        <v>45189</v>
      </c>
      <c r="E55" s="10" t="s">
        <v>280</v>
      </c>
      <c r="F55" s="22" t="s">
        <v>80</v>
      </c>
      <c r="G55" s="7">
        <v>5000</v>
      </c>
      <c r="H55" s="12" t="s">
        <v>281</v>
      </c>
      <c r="I55" s="7"/>
      <c r="J55" s="7"/>
      <c r="K55" s="7"/>
      <c r="L55" s="7"/>
      <c r="M55" s="7">
        <v>2000</v>
      </c>
      <c r="N55" s="7">
        <v>3000</v>
      </c>
      <c r="O55" s="7"/>
      <c r="P55" s="7"/>
      <c r="Q55" s="7"/>
      <c r="S55" s="1"/>
    </row>
    <row r="56" spans="3:19" ht="15.75" customHeight="1" x14ac:dyDescent="0.25">
      <c r="C56" s="10">
        <v>39</v>
      </c>
      <c r="D56" s="11">
        <v>45190</v>
      </c>
      <c r="E56" s="10" t="s">
        <v>282</v>
      </c>
      <c r="F56" s="22" t="s">
        <v>49</v>
      </c>
      <c r="G56" s="7">
        <v>1000</v>
      </c>
      <c r="H56" s="12">
        <v>178</v>
      </c>
      <c r="I56" s="7"/>
      <c r="J56" s="7"/>
      <c r="K56" s="7"/>
      <c r="L56" s="7"/>
      <c r="M56" s="7">
        <v>1000</v>
      </c>
      <c r="N56" s="7"/>
      <c r="O56" s="7"/>
      <c r="P56" s="7"/>
      <c r="Q56" s="7"/>
      <c r="S56" s="1"/>
    </row>
    <row r="57" spans="3:19" ht="15.75" customHeight="1" x14ac:dyDescent="0.25">
      <c r="C57" s="10">
        <v>40</v>
      </c>
      <c r="D57" s="11">
        <v>45190</v>
      </c>
      <c r="E57" s="10">
        <v>385</v>
      </c>
      <c r="F57" s="22" t="s">
        <v>96</v>
      </c>
      <c r="G57" s="7">
        <v>500</v>
      </c>
      <c r="H57" s="31">
        <v>169</v>
      </c>
      <c r="I57" s="7"/>
      <c r="J57" s="7"/>
      <c r="K57" s="7"/>
      <c r="L57" s="7"/>
      <c r="M57" s="7"/>
      <c r="N57" s="7"/>
      <c r="O57" s="7">
        <v>500</v>
      </c>
      <c r="P57" s="7"/>
      <c r="Q57" s="7"/>
      <c r="S57" s="1"/>
    </row>
    <row r="58" spans="3:19" ht="15.75" customHeight="1" x14ac:dyDescent="0.25">
      <c r="C58" s="10">
        <v>41</v>
      </c>
      <c r="D58" s="11">
        <v>45190</v>
      </c>
      <c r="E58" s="10">
        <v>386</v>
      </c>
      <c r="F58" s="22" t="s">
        <v>71</v>
      </c>
      <c r="G58" s="7">
        <v>500</v>
      </c>
      <c r="H58" s="12">
        <v>163</v>
      </c>
      <c r="I58" s="7"/>
      <c r="J58" s="7"/>
      <c r="K58" s="7"/>
      <c r="L58" s="7"/>
      <c r="M58" s="7"/>
      <c r="N58" s="7">
        <v>500</v>
      </c>
      <c r="O58" s="7"/>
      <c r="P58" s="7"/>
      <c r="Q58" s="7"/>
      <c r="S58" s="1"/>
    </row>
    <row r="59" spans="3:19" ht="15.75" customHeight="1" x14ac:dyDescent="0.25">
      <c r="C59" s="10">
        <v>42</v>
      </c>
      <c r="D59" s="11">
        <v>45190</v>
      </c>
      <c r="E59" s="10">
        <v>387</v>
      </c>
      <c r="F59" s="22" t="s">
        <v>140</v>
      </c>
      <c r="G59" s="7">
        <v>300</v>
      </c>
      <c r="H59" s="12">
        <v>125</v>
      </c>
      <c r="I59" s="7">
        <v>300</v>
      </c>
      <c r="J59" s="7"/>
      <c r="K59" s="7"/>
      <c r="L59" s="7"/>
      <c r="M59" s="7"/>
      <c r="N59" s="7"/>
      <c r="O59" s="7"/>
      <c r="P59" s="7"/>
      <c r="Q59" s="7"/>
      <c r="S59" s="1"/>
    </row>
    <row r="60" spans="3:19" ht="15.75" customHeight="1" x14ac:dyDescent="0.25">
      <c r="C60" s="10">
        <v>43</v>
      </c>
      <c r="D60" s="11">
        <v>45190</v>
      </c>
      <c r="E60" s="10">
        <v>388</v>
      </c>
      <c r="F60" s="22" t="s">
        <v>283</v>
      </c>
      <c r="G60" s="7">
        <v>300</v>
      </c>
      <c r="H60" s="12">
        <v>177</v>
      </c>
      <c r="I60" s="7"/>
      <c r="J60" s="7"/>
      <c r="K60" s="7"/>
      <c r="L60" s="7"/>
      <c r="M60" s="7"/>
      <c r="N60" s="7"/>
      <c r="O60" s="7"/>
      <c r="P60" s="7">
        <v>300</v>
      </c>
      <c r="Q60" s="7"/>
      <c r="S60" s="1"/>
    </row>
    <row r="61" spans="3:19" ht="15.75" customHeight="1" x14ac:dyDescent="0.25">
      <c r="C61" s="10">
        <v>44</v>
      </c>
      <c r="D61" s="11">
        <v>45191</v>
      </c>
      <c r="E61" s="10">
        <v>389</v>
      </c>
      <c r="F61" s="22" t="s">
        <v>24</v>
      </c>
      <c r="G61" s="7">
        <v>500</v>
      </c>
      <c r="H61" s="12">
        <v>125</v>
      </c>
      <c r="I61" s="7">
        <v>500</v>
      </c>
      <c r="J61" s="7"/>
      <c r="K61" s="7"/>
      <c r="L61" s="7"/>
      <c r="M61" s="7"/>
      <c r="N61" s="7"/>
      <c r="O61" s="7"/>
      <c r="P61" s="7"/>
      <c r="Q61" s="7"/>
      <c r="S61" s="1"/>
    </row>
    <row r="62" spans="3:19" ht="15.75" customHeight="1" x14ac:dyDescent="0.25">
      <c r="C62" s="10">
        <v>45</v>
      </c>
      <c r="D62" s="11">
        <v>45192</v>
      </c>
      <c r="E62" s="10">
        <v>392</v>
      </c>
      <c r="F62" s="22" t="s">
        <v>284</v>
      </c>
      <c r="G62" s="7">
        <v>1500</v>
      </c>
      <c r="H62" s="12" t="s">
        <v>285</v>
      </c>
      <c r="I62" s="7">
        <v>500</v>
      </c>
      <c r="J62" s="7"/>
      <c r="K62" s="7"/>
      <c r="L62" s="7"/>
      <c r="M62" s="7"/>
      <c r="N62" s="7"/>
      <c r="O62" s="7"/>
      <c r="P62" s="7">
        <v>1000</v>
      </c>
      <c r="Q62" s="7"/>
      <c r="S62" s="1"/>
    </row>
    <row r="63" spans="3:19" ht="15.75" customHeight="1" x14ac:dyDescent="0.25">
      <c r="C63" s="10">
        <v>46</v>
      </c>
      <c r="D63" s="11">
        <v>45192</v>
      </c>
      <c r="E63" s="10">
        <v>393</v>
      </c>
      <c r="F63" s="22" t="s">
        <v>286</v>
      </c>
      <c r="G63" s="7">
        <v>200</v>
      </c>
      <c r="H63" s="12">
        <v>163</v>
      </c>
      <c r="I63" s="7"/>
      <c r="J63" s="7"/>
      <c r="K63" s="7"/>
      <c r="L63" s="7"/>
      <c r="M63" s="7"/>
      <c r="N63" s="7">
        <v>200</v>
      </c>
      <c r="O63" s="7"/>
      <c r="P63" s="7"/>
      <c r="Q63" s="7"/>
      <c r="S63" s="1"/>
    </row>
    <row r="64" spans="3:19" ht="15.75" customHeight="1" x14ac:dyDescent="0.25">
      <c r="C64" s="10">
        <v>47</v>
      </c>
      <c r="D64" s="11">
        <v>45192</v>
      </c>
      <c r="E64" s="10" t="s">
        <v>27</v>
      </c>
      <c r="F64" s="22" t="s">
        <v>255</v>
      </c>
      <c r="G64" s="7">
        <v>200</v>
      </c>
      <c r="H64" s="12">
        <v>120</v>
      </c>
      <c r="I64" s="7">
        <v>200</v>
      </c>
      <c r="J64" s="7"/>
      <c r="K64" s="7"/>
      <c r="L64" s="7"/>
      <c r="M64" s="7"/>
      <c r="N64" s="7"/>
      <c r="O64" s="7"/>
      <c r="P64" s="7"/>
      <c r="Q64" s="7"/>
      <c r="S64" s="1"/>
    </row>
    <row r="65" spans="3:19" ht="15.75" customHeight="1" x14ac:dyDescent="0.25">
      <c r="C65" s="10">
        <v>48</v>
      </c>
      <c r="D65" s="11">
        <v>45194</v>
      </c>
      <c r="E65" s="10">
        <v>395</v>
      </c>
      <c r="F65" s="22" t="s">
        <v>96</v>
      </c>
      <c r="G65" s="7">
        <v>10000</v>
      </c>
      <c r="H65" s="12">
        <v>115</v>
      </c>
      <c r="I65" s="7">
        <v>10000</v>
      </c>
      <c r="J65" s="7"/>
      <c r="K65" s="7"/>
      <c r="L65" s="7"/>
      <c r="M65" s="7"/>
      <c r="N65" s="7"/>
      <c r="O65" s="7"/>
      <c r="P65" s="7"/>
      <c r="Q65" s="7"/>
      <c r="S65" s="1"/>
    </row>
    <row r="66" spans="3:19" ht="15.75" customHeight="1" x14ac:dyDescent="0.25">
      <c r="C66" s="10">
        <v>49</v>
      </c>
      <c r="D66" s="11">
        <v>45194</v>
      </c>
      <c r="E66" s="10" t="s">
        <v>287</v>
      </c>
      <c r="F66" s="22" t="s">
        <v>49</v>
      </c>
      <c r="G66" s="7">
        <v>2000</v>
      </c>
      <c r="H66" s="12">
        <v>163</v>
      </c>
      <c r="I66" s="7"/>
      <c r="J66" s="7"/>
      <c r="K66" s="7"/>
      <c r="L66" s="7"/>
      <c r="M66" s="7"/>
      <c r="N66" s="7">
        <v>2000</v>
      </c>
      <c r="O66" s="7"/>
      <c r="P66" s="7"/>
      <c r="Q66" s="7"/>
      <c r="S66" s="1"/>
    </row>
    <row r="67" spans="3:19" ht="15.75" customHeight="1" x14ac:dyDescent="0.25">
      <c r="C67" s="10">
        <v>50</v>
      </c>
      <c r="D67" s="11">
        <v>45196</v>
      </c>
      <c r="E67" s="10">
        <v>397</v>
      </c>
      <c r="F67" s="22" t="s">
        <v>140</v>
      </c>
      <c r="G67" s="7">
        <v>1000</v>
      </c>
      <c r="H67" s="12">
        <v>163</v>
      </c>
      <c r="I67" s="7"/>
      <c r="J67" s="7"/>
      <c r="K67" s="7"/>
      <c r="L67" s="7"/>
      <c r="M67" s="7"/>
      <c r="N67" s="7">
        <v>1000</v>
      </c>
      <c r="O67" s="7"/>
      <c r="P67" s="7"/>
      <c r="Q67" s="7"/>
      <c r="S67" s="1"/>
    </row>
    <row r="68" spans="3:19" ht="15.75" customHeight="1" x14ac:dyDescent="0.25">
      <c r="C68" s="10">
        <v>51</v>
      </c>
      <c r="D68" s="11">
        <v>45196</v>
      </c>
      <c r="E68" s="10">
        <v>398</v>
      </c>
      <c r="F68" s="22" t="s">
        <v>80</v>
      </c>
      <c r="G68" s="7">
        <v>25</v>
      </c>
      <c r="H68" s="31">
        <v>175</v>
      </c>
      <c r="I68" s="7"/>
      <c r="J68" s="7"/>
      <c r="K68" s="7"/>
      <c r="L68" s="7"/>
      <c r="M68" s="7"/>
      <c r="N68" s="7"/>
      <c r="O68" s="7">
        <v>25</v>
      </c>
      <c r="P68" s="7"/>
      <c r="Q68" s="7"/>
      <c r="S68" s="1"/>
    </row>
    <row r="69" spans="3:19" ht="15.75" customHeight="1" x14ac:dyDescent="0.25">
      <c r="C69" s="10">
        <v>52</v>
      </c>
      <c r="D69" s="11">
        <v>45196</v>
      </c>
      <c r="E69" s="10">
        <v>399</v>
      </c>
      <c r="F69" s="22" t="s">
        <v>268</v>
      </c>
      <c r="G69" s="7">
        <v>1100</v>
      </c>
      <c r="H69" s="12" t="s">
        <v>288</v>
      </c>
      <c r="I69" s="7"/>
      <c r="J69" s="7">
        <v>500</v>
      </c>
      <c r="K69" s="7"/>
      <c r="L69" s="7"/>
      <c r="M69" s="7"/>
      <c r="N69" s="7"/>
      <c r="O69" s="7">
        <v>600</v>
      </c>
      <c r="P69" s="7"/>
      <c r="Q69" s="7"/>
      <c r="S69" s="1"/>
    </row>
    <row r="70" spans="3:19" ht="15.75" customHeight="1" x14ac:dyDescent="0.25">
      <c r="C70" s="10">
        <v>53</v>
      </c>
      <c r="D70" s="11">
        <v>45198</v>
      </c>
      <c r="E70" s="10" t="s">
        <v>27</v>
      </c>
      <c r="F70" s="22" t="s">
        <v>255</v>
      </c>
      <c r="G70" s="7">
        <v>200</v>
      </c>
      <c r="H70" s="12">
        <v>154</v>
      </c>
      <c r="I70" s="7"/>
      <c r="J70" s="7">
        <v>200</v>
      </c>
      <c r="K70" s="7"/>
      <c r="L70" s="7"/>
      <c r="M70" s="7"/>
      <c r="N70" s="7"/>
      <c r="O70" s="7"/>
      <c r="P70" s="7"/>
      <c r="Q70" s="7"/>
      <c r="S70" s="1"/>
    </row>
    <row r="71" spans="3:19" ht="15.75" customHeight="1" x14ac:dyDescent="0.25">
      <c r="C71" s="10">
        <v>54</v>
      </c>
      <c r="D71" s="11">
        <v>45198</v>
      </c>
      <c r="E71" s="10">
        <v>401</v>
      </c>
      <c r="F71" s="22" t="s">
        <v>37</v>
      </c>
      <c r="G71" s="7">
        <v>100</v>
      </c>
      <c r="H71" s="12">
        <v>172</v>
      </c>
      <c r="I71" s="7"/>
      <c r="J71" s="7"/>
      <c r="K71" s="7"/>
      <c r="L71" s="7"/>
      <c r="M71" s="7"/>
      <c r="N71" s="7"/>
      <c r="O71" s="7">
        <v>100</v>
      </c>
      <c r="P71" s="7"/>
      <c r="Q71" s="7"/>
      <c r="S71" s="1"/>
    </row>
    <row r="72" spans="3:19" ht="15.75" customHeight="1" x14ac:dyDescent="0.25">
      <c r="C72" s="10">
        <v>55</v>
      </c>
      <c r="D72" s="11">
        <v>45198</v>
      </c>
      <c r="E72" s="10">
        <v>402</v>
      </c>
      <c r="F72" s="22" t="s">
        <v>248</v>
      </c>
      <c r="G72" s="7">
        <v>500</v>
      </c>
      <c r="H72" s="12">
        <v>152</v>
      </c>
      <c r="I72" s="7"/>
      <c r="J72" s="7">
        <v>500</v>
      </c>
      <c r="K72" s="7"/>
      <c r="L72" s="7"/>
      <c r="M72" s="7"/>
      <c r="N72" s="7"/>
      <c r="O72" s="7"/>
      <c r="P72" s="7"/>
      <c r="Q72" s="7"/>
      <c r="S72" s="1"/>
    </row>
    <row r="73" spans="3:19" ht="15.75" customHeight="1" x14ac:dyDescent="0.25">
      <c r="C73" s="10">
        <v>56</v>
      </c>
      <c r="D73" s="11">
        <v>45198</v>
      </c>
      <c r="E73" s="10" t="s">
        <v>289</v>
      </c>
      <c r="F73" s="22" t="s">
        <v>80</v>
      </c>
      <c r="G73" s="7">
        <v>3000</v>
      </c>
      <c r="H73" s="12">
        <v>167</v>
      </c>
      <c r="I73" s="7"/>
      <c r="J73" s="7"/>
      <c r="K73" s="7"/>
      <c r="L73" s="7"/>
      <c r="M73" s="7"/>
      <c r="N73" s="7"/>
      <c r="O73" s="7">
        <v>3000</v>
      </c>
      <c r="P73" s="7"/>
      <c r="Q73" s="7"/>
      <c r="S73" s="1"/>
    </row>
    <row r="74" spans="3:19" ht="15.75" customHeight="1" x14ac:dyDescent="0.25">
      <c r="C74" s="10">
        <v>57</v>
      </c>
      <c r="D74" s="11">
        <v>45199</v>
      </c>
      <c r="E74" s="10" t="s">
        <v>290</v>
      </c>
      <c r="F74" s="22" t="s">
        <v>49</v>
      </c>
      <c r="G74" s="7">
        <v>6500</v>
      </c>
      <c r="H74" s="12" t="s">
        <v>291</v>
      </c>
      <c r="I74" s="7"/>
      <c r="J74" s="7">
        <v>3000</v>
      </c>
      <c r="K74" s="7"/>
      <c r="L74" s="7"/>
      <c r="M74" s="7"/>
      <c r="N74" s="7">
        <v>2000</v>
      </c>
      <c r="O74" s="7">
        <v>1500</v>
      </c>
      <c r="P74" s="7"/>
      <c r="Q74" s="7"/>
      <c r="S74" s="1"/>
    </row>
    <row r="75" spans="3:19" ht="15.75" customHeight="1" x14ac:dyDescent="0.25">
      <c r="C75" s="10">
        <v>58</v>
      </c>
      <c r="D75" s="11">
        <v>45199</v>
      </c>
      <c r="E75" s="10" t="s">
        <v>27</v>
      </c>
      <c r="F75" s="22" t="s">
        <v>30</v>
      </c>
      <c r="G75" s="7">
        <v>200</v>
      </c>
      <c r="H75" s="12">
        <v>190</v>
      </c>
      <c r="I75" s="7"/>
      <c r="J75" s="7"/>
      <c r="K75" s="7"/>
      <c r="L75" s="7"/>
      <c r="M75" s="7"/>
      <c r="N75" s="7"/>
      <c r="O75" s="7">
        <v>200</v>
      </c>
      <c r="P75" s="7"/>
      <c r="Q75" s="7"/>
      <c r="S75" s="1"/>
    </row>
    <row r="76" spans="3:19" ht="15.75" customHeight="1" x14ac:dyDescent="0.25">
      <c r="C76" s="10">
        <v>59</v>
      </c>
      <c r="D76" s="11">
        <v>45199</v>
      </c>
      <c r="E76" s="10">
        <v>404</v>
      </c>
      <c r="F76" s="22" t="s">
        <v>49</v>
      </c>
      <c r="G76" s="7">
        <v>2000</v>
      </c>
      <c r="H76" s="12">
        <v>163.5</v>
      </c>
      <c r="I76" s="7"/>
      <c r="J76" s="7"/>
      <c r="K76" s="7"/>
      <c r="L76" s="7"/>
      <c r="M76" s="7"/>
      <c r="N76" s="7"/>
      <c r="O76" s="7">
        <v>2000</v>
      </c>
      <c r="P76" s="7"/>
      <c r="Q76" s="7"/>
      <c r="S76" s="1"/>
    </row>
    <row r="77" spans="3:19" ht="15.75" customHeight="1" x14ac:dyDescent="0.25">
      <c r="C77" s="10">
        <v>60</v>
      </c>
      <c r="D77" s="11">
        <v>45199</v>
      </c>
      <c r="E77" s="10">
        <v>405</v>
      </c>
      <c r="F77" s="22" t="s">
        <v>43</v>
      </c>
      <c r="G77" s="7">
        <v>2000</v>
      </c>
      <c r="H77" s="12">
        <v>163.5</v>
      </c>
      <c r="I77" s="7"/>
      <c r="J77" s="7"/>
      <c r="K77" s="7"/>
      <c r="L77" s="7"/>
      <c r="M77" s="7"/>
      <c r="N77" s="7"/>
      <c r="O77" s="7">
        <v>2000</v>
      </c>
      <c r="P77" s="7"/>
      <c r="Q77" s="7"/>
      <c r="S77" s="1"/>
    </row>
    <row r="78" spans="3:19" ht="15.75" customHeight="1" x14ac:dyDescent="0.25">
      <c r="C78" s="10">
        <v>61</v>
      </c>
      <c r="D78" s="11" t="s">
        <v>292</v>
      </c>
      <c r="E78" s="10"/>
      <c r="F78" s="22" t="s">
        <v>293</v>
      </c>
      <c r="G78" s="7">
        <v>500</v>
      </c>
      <c r="H78" s="12">
        <v>160</v>
      </c>
      <c r="I78" s="7"/>
      <c r="J78" s="7"/>
      <c r="K78" s="7"/>
      <c r="L78" s="7"/>
      <c r="M78" s="7"/>
      <c r="N78" s="7">
        <v>500</v>
      </c>
      <c r="O78" s="7"/>
      <c r="P78" s="7"/>
      <c r="Q78" s="7"/>
      <c r="S78" s="1"/>
    </row>
    <row r="79" spans="3:19" ht="15.75" customHeight="1" x14ac:dyDescent="0.25">
      <c r="C79" s="10">
        <v>62</v>
      </c>
      <c r="D79" s="11"/>
      <c r="E79" s="10"/>
      <c r="F79" s="22" t="s">
        <v>96</v>
      </c>
      <c r="G79" s="7"/>
      <c r="H79" s="12"/>
      <c r="I79" s="7"/>
      <c r="J79" s="7"/>
      <c r="K79" s="7"/>
      <c r="L79" s="7"/>
      <c r="M79" s="7"/>
      <c r="N79" s="7"/>
      <c r="O79" s="7"/>
      <c r="P79" s="7"/>
      <c r="Q79" s="7"/>
    </row>
    <row r="80" spans="3:19" ht="15.75" customHeight="1" x14ac:dyDescent="0.25">
      <c r="C80" s="10">
        <v>63</v>
      </c>
      <c r="D80" s="11"/>
      <c r="E80" s="10"/>
      <c r="F80" s="22" t="s">
        <v>89</v>
      </c>
      <c r="G80" s="7"/>
      <c r="H80" s="12"/>
      <c r="I80" s="7"/>
      <c r="J80" s="7"/>
      <c r="K80" s="7"/>
      <c r="L80" s="7"/>
      <c r="M80" s="7"/>
      <c r="N80" s="7"/>
      <c r="O80" s="7"/>
      <c r="P80" s="7"/>
      <c r="Q80" s="7"/>
    </row>
    <row r="81" spans="3:17" ht="15.75" customHeight="1" x14ac:dyDescent="0.25">
      <c r="C81" s="10">
        <v>64</v>
      </c>
      <c r="D81" s="11"/>
      <c r="E81" s="10"/>
      <c r="F81" s="22" t="s">
        <v>227</v>
      </c>
      <c r="G81" s="7"/>
      <c r="H81" s="12"/>
      <c r="I81" s="7"/>
      <c r="J81" s="7"/>
      <c r="K81" s="7"/>
      <c r="L81" s="7"/>
      <c r="M81" s="7"/>
      <c r="N81" s="7"/>
      <c r="O81" s="7"/>
      <c r="P81" s="7"/>
      <c r="Q81" s="7"/>
    </row>
    <row r="82" spans="3:17" ht="15.75" customHeight="1" x14ac:dyDescent="0.25">
      <c r="C82" s="10">
        <v>65</v>
      </c>
      <c r="D82" s="11"/>
      <c r="E82" s="10"/>
      <c r="F82" s="22"/>
      <c r="G82" s="7"/>
      <c r="H82" s="12"/>
      <c r="I82" s="7"/>
      <c r="J82" s="7"/>
      <c r="K82" s="7"/>
      <c r="L82" s="7"/>
      <c r="M82" s="7"/>
      <c r="N82" s="7"/>
      <c r="O82" s="7"/>
      <c r="P82" s="7"/>
      <c r="Q82" s="7"/>
    </row>
    <row r="83" spans="3:17" ht="15.75" customHeight="1" x14ac:dyDescent="0.25">
      <c r="C83" s="10">
        <v>66</v>
      </c>
      <c r="D83" s="11"/>
      <c r="E83" s="10"/>
      <c r="F83" s="22"/>
      <c r="G83" s="7"/>
      <c r="H83" s="12"/>
      <c r="I83" s="7"/>
      <c r="J83" s="7"/>
      <c r="K83" s="7"/>
      <c r="L83" s="7"/>
      <c r="M83" s="7"/>
      <c r="N83" s="7"/>
      <c r="O83" s="7"/>
      <c r="P83" s="7"/>
      <c r="Q83" s="7"/>
    </row>
    <row r="84" spans="3:17" ht="15.75" customHeight="1" x14ac:dyDescent="0.25">
      <c r="C84" s="10">
        <v>67</v>
      </c>
      <c r="D84" s="11"/>
      <c r="E84" s="10"/>
      <c r="F84" s="22"/>
      <c r="G84" s="7"/>
      <c r="H84" s="12"/>
      <c r="I84" s="7"/>
      <c r="J84" s="7"/>
      <c r="K84" s="7"/>
      <c r="L84" s="7"/>
      <c r="M84" s="7"/>
      <c r="N84" s="7"/>
      <c r="O84" s="7"/>
      <c r="P84" s="7"/>
      <c r="Q84" s="7"/>
    </row>
    <row r="85" spans="3:17" ht="15.75" customHeight="1" x14ac:dyDescent="0.25">
      <c r="C85" s="10">
        <v>68</v>
      </c>
      <c r="D85" s="11"/>
      <c r="E85" s="10"/>
      <c r="F85" s="22"/>
      <c r="G85" s="7"/>
      <c r="H85" s="12"/>
      <c r="I85" s="7"/>
      <c r="J85" s="7"/>
      <c r="K85" s="7"/>
      <c r="L85" s="7"/>
      <c r="M85" s="7"/>
      <c r="N85" s="7"/>
      <c r="O85" s="7"/>
      <c r="P85" s="7"/>
      <c r="Q85" s="7"/>
    </row>
    <row r="86" spans="3:17" ht="15.75" customHeight="1" x14ac:dyDescent="0.25">
      <c r="C86" s="10">
        <v>69</v>
      </c>
      <c r="D86" s="11"/>
      <c r="E86" s="10"/>
      <c r="F86" s="22"/>
      <c r="G86" s="7"/>
      <c r="H86" s="12"/>
      <c r="I86" s="7"/>
      <c r="J86" s="7"/>
      <c r="K86" s="7"/>
      <c r="L86" s="7"/>
      <c r="M86" s="7"/>
      <c r="N86" s="7"/>
      <c r="O86" s="7"/>
      <c r="P86" s="7"/>
      <c r="Q86" s="7"/>
    </row>
    <row r="87" spans="3:17" ht="15.75" customHeight="1" x14ac:dyDescent="0.25">
      <c r="C87" s="10">
        <v>70</v>
      </c>
      <c r="D87" s="11"/>
      <c r="E87" s="10"/>
      <c r="F87" s="22"/>
      <c r="G87" s="7"/>
      <c r="H87" s="12"/>
      <c r="I87" s="7"/>
      <c r="J87" s="7"/>
      <c r="K87" s="7"/>
      <c r="L87" s="7"/>
      <c r="M87" s="7"/>
      <c r="N87" s="7"/>
      <c r="O87" s="7"/>
      <c r="P87" s="7"/>
      <c r="Q87" s="14"/>
    </row>
    <row r="88" spans="3:17" ht="15.75" customHeight="1" x14ac:dyDescent="0.25">
      <c r="C88" s="13" t="s">
        <v>3</v>
      </c>
      <c r="D88" s="14"/>
      <c r="E88" s="13"/>
      <c r="F88" s="25"/>
      <c r="G88" s="14">
        <f>SUM(G17:G87)</f>
        <v>109620</v>
      </c>
      <c r="H88" s="14"/>
      <c r="I88" s="14">
        <f t="shared" ref="I88:Q88" si="5">SUM(I17:I87)</f>
        <v>42020</v>
      </c>
      <c r="J88" s="14">
        <f t="shared" si="5"/>
        <v>10100</v>
      </c>
      <c r="K88" s="14">
        <f t="shared" si="5"/>
        <v>0</v>
      </c>
      <c r="L88" s="14">
        <f t="shared" si="5"/>
        <v>500</v>
      </c>
      <c r="M88" s="14">
        <f t="shared" si="5"/>
        <v>8500</v>
      </c>
      <c r="N88" s="14">
        <f t="shared" si="5"/>
        <v>25100</v>
      </c>
      <c r="O88" s="14">
        <f t="shared" si="5"/>
        <v>13875</v>
      </c>
      <c r="P88" s="14">
        <f t="shared" si="5"/>
        <v>4525</v>
      </c>
      <c r="Q88" s="14">
        <f t="shared" si="5"/>
        <v>5000</v>
      </c>
    </row>
    <row r="89" spans="3:17" ht="15.75" customHeight="1" x14ac:dyDescent="0.25">
      <c r="C89" s="1"/>
      <c r="E89" s="1"/>
      <c r="F89" s="16"/>
    </row>
    <row r="90" spans="3:17" ht="15.75" customHeight="1" x14ac:dyDescent="0.25">
      <c r="C90" s="1"/>
      <c r="D90" s="1"/>
      <c r="E90" s="1"/>
      <c r="F90" s="16"/>
      <c r="I90" s="33">
        <f>SUM('Sept 2023'!$I$88:'Sept 2023'!$P$88)</f>
        <v>104620</v>
      </c>
    </row>
    <row r="91" spans="3:17" ht="15.75" customHeight="1" x14ac:dyDescent="0.25">
      <c r="E91" s="1"/>
      <c r="F91" s="16"/>
    </row>
    <row r="92" spans="3:17" ht="15.75" customHeight="1" x14ac:dyDescent="0.25"/>
    <row r="93" spans="3:17" ht="15.75" customHeight="1" x14ac:dyDescent="0.25"/>
    <row r="94" spans="3:17" ht="15.75" customHeight="1" x14ac:dyDescent="0.25"/>
    <row r="95" spans="3:17" ht="15.75" customHeight="1" x14ac:dyDescent="0.25"/>
    <row r="96" spans="3:17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T31:V31"/>
    <mergeCell ref="T32:V32"/>
    <mergeCell ref="T33:V33"/>
    <mergeCell ref="T16:W16"/>
    <mergeCell ref="T17:V17"/>
    <mergeCell ref="T28:V28"/>
    <mergeCell ref="T29:V29"/>
    <mergeCell ref="T30:V30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5:X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11.28515625" customWidth="1"/>
    <col min="5" max="7" width="8.7109375" customWidth="1"/>
    <col min="8" max="8" width="12.42578125" customWidth="1"/>
    <col min="9" max="16" width="8.7109375" customWidth="1"/>
    <col min="17" max="17" width="10.28515625" customWidth="1"/>
    <col min="18" max="20" width="8.7109375" customWidth="1"/>
    <col min="21" max="21" width="12.28515625" customWidth="1"/>
    <col min="22" max="22" width="11.5703125" customWidth="1"/>
    <col min="23" max="26" width="8.7109375" customWidth="1"/>
  </cols>
  <sheetData>
    <row r="5" spans="3:24" ht="17.25" x14ac:dyDescent="0.3">
      <c r="C5" s="1"/>
      <c r="D5" s="2" t="s">
        <v>294</v>
      </c>
      <c r="E5" s="17"/>
      <c r="F5" s="18"/>
      <c r="G5" s="2"/>
      <c r="H5" s="2"/>
      <c r="I5" s="2"/>
      <c r="J5" s="2"/>
      <c r="K5" s="2"/>
      <c r="L5" s="2"/>
      <c r="M5" s="3"/>
      <c r="N5" s="3"/>
      <c r="O5" s="19" t="s">
        <v>88</v>
      </c>
      <c r="P5" s="26" t="s">
        <v>2</v>
      </c>
      <c r="Q5" s="27" t="s">
        <v>117</v>
      </c>
      <c r="R5" s="1"/>
    </row>
    <row r="6" spans="3:24" ht="15.75" x14ac:dyDescent="0.25">
      <c r="C6" s="1"/>
      <c r="D6" s="4" t="s">
        <v>1</v>
      </c>
      <c r="E6" s="44" t="s">
        <v>2</v>
      </c>
      <c r="F6" s="45">
        <v>1799</v>
      </c>
      <c r="G6" s="62" t="s">
        <v>295</v>
      </c>
      <c r="H6" s="46">
        <v>2699</v>
      </c>
      <c r="I6" s="46">
        <v>588</v>
      </c>
      <c r="J6" s="46">
        <v>2088</v>
      </c>
      <c r="K6" s="46">
        <v>2488</v>
      </c>
      <c r="L6" s="46">
        <v>2688</v>
      </c>
      <c r="M6" s="45">
        <v>3099</v>
      </c>
      <c r="N6" s="5" t="s">
        <v>3</v>
      </c>
      <c r="O6" s="47"/>
      <c r="P6" s="42"/>
      <c r="Q6" s="42"/>
      <c r="R6" s="1"/>
    </row>
    <row r="7" spans="3:24" ht="18.75" x14ac:dyDescent="0.3">
      <c r="C7" s="1"/>
      <c r="D7" s="6" t="s">
        <v>4</v>
      </c>
      <c r="E7" s="48">
        <f>'Oct 2023'!$I$95</f>
        <v>66140</v>
      </c>
      <c r="F7" s="48">
        <f>'Oct 2023'!$J$95</f>
        <v>8450</v>
      </c>
      <c r="G7" s="49">
        <f>'Oct 2023'!$R$95</f>
        <v>5180</v>
      </c>
      <c r="H7" s="49">
        <f>'Oct 2023'!$L$95</f>
        <v>33725</v>
      </c>
      <c r="I7" s="49">
        <f>'Oct 2023'!$M$95</f>
        <v>0</v>
      </c>
      <c r="J7" s="49">
        <f>'Oct 2023'!$N$95</f>
        <v>20600</v>
      </c>
      <c r="K7" s="49">
        <f>'Oct 2023'!$O$95</f>
        <v>4150</v>
      </c>
      <c r="L7" s="49">
        <f>'Oct 2023'!$P$95</f>
        <v>2350</v>
      </c>
      <c r="M7" s="49">
        <f>'Oct 2023'!$Q$95</f>
        <v>9000</v>
      </c>
      <c r="N7" s="50">
        <f t="shared" ref="N7:N10" si="0">SUM(E7:M7)</f>
        <v>149595</v>
      </c>
      <c r="O7" s="51">
        <f t="shared" ref="O7:O10" si="1">SUM(F7:M7)</f>
        <v>83455</v>
      </c>
      <c r="P7" s="52">
        <f t="shared" ref="P7:P10" si="2">E7</f>
        <v>66140</v>
      </c>
      <c r="Q7" s="53">
        <f t="shared" ref="Q7:Q10" si="3">SUM(O7,P7)</f>
        <v>149595</v>
      </c>
      <c r="R7" s="1"/>
    </row>
    <row r="8" spans="3:24" ht="17.25" x14ac:dyDescent="0.3">
      <c r="C8" s="1"/>
      <c r="D8" s="6" t="s">
        <v>259</v>
      </c>
      <c r="E8" s="12">
        <v>180668</v>
      </c>
      <c r="F8" s="12">
        <v>7375</v>
      </c>
      <c r="G8" s="12">
        <v>0</v>
      </c>
      <c r="H8" s="12">
        <v>0</v>
      </c>
      <c r="I8" s="12">
        <v>0</v>
      </c>
      <c r="J8" s="12">
        <v>6150</v>
      </c>
      <c r="K8" s="12">
        <v>4150</v>
      </c>
      <c r="L8" s="12"/>
      <c r="M8" s="12"/>
      <c r="N8" s="54">
        <f t="shared" si="0"/>
        <v>198343</v>
      </c>
      <c r="O8" s="55">
        <f t="shared" si="1"/>
        <v>17675</v>
      </c>
      <c r="P8" s="56">
        <f t="shared" si="2"/>
        <v>180668</v>
      </c>
      <c r="Q8" s="57">
        <f t="shared" si="3"/>
        <v>198343</v>
      </c>
      <c r="R8" s="1"/>
    </row>
    <row r="9" spans="3:24" ht="17.25" x14ac:dyDescent="0.3">
      <c r="C9" s="1"/>
      <c r="D9" s="6" t="s">
        <v>296</v>
      </c>
      <c r="E9" s="58">
        <f>X26</f>
        <v>94665</v>
      </c>
      <c r="F9" s="58">
        <v>45000</v>
      </c>
      <c r="G9" s="58">
        <v>19000</v>
      </c>
      <c r="H9" s="58">
        <v>36000</v>
      </c>
      <c r="I9" s="58"/>
      <c r="J9" s="58">
        <v>18000</v>
      </c>
      <c r="K9" s="58"/>
      <c r="L9" s="58">
        <v>7500</v>
      </c>
      <c r="M9" s="58">
        <v>9000</v>
      </c>
      <c r="N9" s="54">
        <f t="shared" si="0"/>
        <v>229165</v>
      </c>
      <c r="O9" s="59">
        <f t="shared" si="1"/>
        <v>134500</v>
      </c>
      <c r="P9" s="60">
        <f t="shared" si="2"/>
        <v>94665</v>
      </c>
      <c r="Q9" s="61">
        <f t="shared" si="3"/>
        <v>229165</v>
      </c>
      <c r="R9" s="1"/>
    </row>
    <row r="10" spans="3:24" ht="17.25" x14ac:dyDescent="0.3">
      <c r="C10" s="1"/>
      <c r="D10" s="6" t="s">
        <v>261</v>
      </c>
      <c r="E10" s="12">
        <f t="shared" ref="E10:M10" si="4">SUM(E8+E9-E7)</f>
        <v>209193</v>
      </c>
      <c r="F10" s="12">
        <f t="shared" si="4"/>
        <v>43925</v>
      </c>
      <c r="G10" s="12">
        <f t="shared" si="4"/>
        <v>13820</v>
      </c>
      <c r="H10" s="12">
        <f t="shared" si="4"/>
        <v>2275</v>
      </c>
      <c r="I10" s="12">
        <f t="shared" si="4"/>
        <v>0</v>
      </c>
      <c r="J10" s="12">
        <f t="shared" si="4"/>
        <v>3550</v>
      </c>
      <c r="K10" s="12">
        <f t="shared" si="4"/>
        <v>0</v>
      </c>
      <c r="L10" s="12">
        <f t="shared" si="4"/>
        <v>5150</v>
      </c>
      <c r="M10" s="12">
        <f t="shared" si="4"/>
        <v>0</v>
      </c>
      <c r="N10" s="54">
        <f t="shared" si="0"/>
        <v>277913</v>
      </c>
      <c r="O10" s="59">
        <f t="shared" si="1"/>
        <v>68720</v>
      </c>
      <c r="P10" s="60">
        <f t="shared" si="2"/>
        <v>209193</v>
      </c>
      <c r="Q10" s="61">
        <f t="shared" si="3"/>
        <v>277913</v>
      </c>
      <c r="R10" s="1"/>
    </row>
    <row r="11" spans="3:24" x14ac:dyDescent="0.25">
      <c r="C11" s="1"/>
      <c r="E11" s="1"/>
      <c r="F11" s="16"/>
      <c r="R11" s="1"/>
    </row>
    <row r="12" spans="3:24" x14ac:dyDescent="0.25">
      <c r="C12" s="1"/>
      <c r="E12" s="1"/>
      <c r="F12" s="16"/>
      <c r="R12" s="1"/>
    </row>
    <row r="13" spans="3:24" x14ac:dyDescent="0.25">
      <c r="C13" s="1"/>
      <c r="E13" s="1"/>
      <c r="F13" s="16"/>
      <c r="R13" s="1"/>
    </row>
    <row r="14" spans="3:24" ht="15.75" x14ac:dyDescent="0.25">
      <c r="C14" s="9" t="s">
        <v>8</v>
      </c>
      <c r="D14" s="4" t="s">
        <v>9</v>
      </c>
      <c r="E14" s="20" t="s">
        <v>10</v>
      </c>
      <c r="F14" s="20" t="s">
        <v>11</v>
      </c>
      <c r="G14" s="4" t="s">
        <v>4</v>
      </c>
      <c r="H14" s="4" t="s">
        <v>12</v>
      </c>
      <c r="I14" s="4" t="s">
        <v>2</v>
      </c>
      <c r="J14" s="4" t="s">
        <v>13</v>
      </c>
      <c r="K14" s="4" t="s">
        <v>14</v>
      </c>
      <c r="L14" s="4" t="s">
        <v>15</v>
      </c>
      <c r="M14" s="4" t="s">
        <v>16</v>
      </c>
      <c r="N14" s="4" t="s">
        <v>17</v>
      </c>
      <c r="O14" s="4" t="s">
        <v>18</v>
      </c>
      <c r="P14" s="4" t="s">
        <v>19</v>
      </c>
      <c r="Q14" s="39" t="s">
        <v>204</v>
      </c>
      <c r="R14" s="63" t="s">
        <v>295</v>
      </c>
      <c r="U14" s="101" t="s">
        <v>118</v>
      </c>
      <c r="V14" s="102"/>
      <c r="W14" s="102"/>
      <c r="X14" s="102"/>
    </row>
    <row r="15" spans="3:24" x14ac:dyDescent="0.25">
      <c r="C15" s="10">
        <v>1</v>
      </c>
      <c r="D15" s="11">
        <v>45201</v>
      </c>
      <c r="E15" s="10">
        <v>406</v>
      </c>
      <c r="F15" s="22" t="s">
        <v>80</v>
      </c>
      <c r="G15" s="7">
        <v>500</v>
      </c>
      <c r="H15" s="12">
        <v>120</v>
      </c>
      <c r="I15" s="7">
        <v>500</v>
      </c>
      <c r="J15" s="7"/>
      <c r="K15" s="7"/>
      <c r="L15" s="7"/>
      <c r="M15" s="7"/>
      <c r="N15" s="7"/>
      <c r="O15" s="7"/>
      <c r="P15" s="7"/>
      <c r="Q15" s="40" t="s">
        <v>84</v>
      </c>
      <c r="R15" s="40"/>
      <c r="U15" s="97" t="s">
        <v>172</v>
      </c>
      <c r="V15" s="98"/>
      <c r="W15" s="98"/>
      <c r="X15" s="34"/>
    </row>
    <row r="16" spans="3:24" x14ac:dyDescent="0.25">
      <c r="C16" s="10">
        <v>2</v>
      </c>
      <c r="D16" s="11">
        <v>45201</v>
      </c>
      <c r="E16" s="10">
        <v>408</v>
      </c>
      <c r="F16" s="22" t="s">
        <v>190</v>
      </c>
      <c r="G16" s="7">
        <v>500</v>
      </c>
      <c r="H16" s="12">
        <v>119</v>
      </c>
      <c r="I16" s="7">
        <v>500</v>
      </c>
      <c r="J16" s="7"/>
      <c r="K16" s="7"/>
      <c r="L16" s="7"/>
      <c r="M16" s="7"/>
      <c r="N16" s="7"/>
      <c r="O16" s="7"/>
      <c r="P16" s="7"/>
      <c r="Q16" s="7"/>
      <c r="R16" s="7"/>
      <c r="U16" s="10" t="s">
        <v>121</v>
      </c>
      <c r="V16" s="7" t="s">
        <v>9</v>
      </c>
      <c r="W16" s="7" t="s">
        <v>122</v>
      </c>
      <c r="X16" s="7" t="s">
        <v>4</v>
      </c>
    </row>
    <row r="17" spans="3:24" x14ac:dyDescent="0.25">
      <c r="C17" s="10">
        <v>3</v>
      </c>
      <c r="D17" s="11">
        <v>45201</v>
      </c>
      <c r="E17" s="10">
        <v>409</v>
      </c>
      <c r="F17" s="22" t="s">
        <v>111</v>
      </c>
      <c r="G17" s="7">
        <v>3000</v>
      </c>
      <c r="H17" s="12">
        <v>123</v>
      </c>
      <c r="I17" s="7">
        <v>3000</v>
      </c>
      <c r="J17" s="7"/>
      <c r="K17" s="7"/>
      <c r="L17" s="7"/>
      <c r="M17" s="7"/>
      <c r="N17" s="7"/>
      <c r="O17" s="7"/>
      <c r="P17" s="7"/>
      <c r="Q17" s="7"/>
      <c r="R17" s="7"/>
      <c r="U17" s="10">
        <v>1</v>
      </c>
      <c r="V17" s="41">
        <v>45198</v>
      </c>
      <c r="W17" s="7" t="s">
        <v>83</v>
      </c>
      <c r="X17" s="7">
        <v>8512</v>
      </c>
    </row>
    <row r="18" spans="3:24" x14ac:dyDescent="0.25">
      <c r="C18" s="10">
        <v>4</v>
      </c>
      <c r="D18" s="11">
        <v>45201</v>
      </c>
      <c r="E18" s="10">
        <v>410</v>
      </c>
      <c r="F18" s="22" t="s">
        <v>297</v>
      </c>
      <c r="G18" s="7">
        <v>500</v>
      </c>
      <c r="H18" s="31">
        <v>117</v>
      </c>
      <c r="I18" s="7">
        <v>500</v>
      </c>
      <c r="J18" s="7"/>
      <c r="K18" s="7"/>
      <c r="L18" s="7"/>
      <c r="M18" s="7"/>
      <c r="N18" s="7"/>
      <c r="O18" s="7"/>
      <c r="P18" s="7"/>
      <c r="Q18" s="7"/>
      <c r="R18" s="7"/>
      <c r="U18" s="10">
        <v>2</v>
      </c>
      <c r="V18" s="41">
        <v>45198</v>
      </c>
      <c r="W18" s="7" t="s">
        <v>83</v>
      </c>
      <c r="X18" s="7">
        <v>8582</v>
      </c>
    </row>
    <row r="19" spans="3:24" x14ac:dyDescent="0.25">
      <c r="C19" s="10">
        <v>5</v>
      </c>
      <c r="D19" s="11">
        <v>45202</v>
      </c>
      <c r="E19" s="10">
        <v>411</v>
      </c>
      <c r="F19" s="22" t="s">
        <v>227</v>
      </c>
      <c r="G19" s="7">
        <v>600</v>
      </c>
      <c r="H19" s="12">
        <v>171</v>
      </c>
      <c r="I19" s="7"/>
      <c r="J19" s="7"/>
      <c r="K19" s="7"/>
      <c r="L19" s="7"/>
      <c r="M19" s="7"/>
      <c r="N19" s="7"/>
      <c r="O19" s="7">
        <v>600</v>
      </c>
      <c r="P19" s="7"/>
      <c r="Q19" s="7"/>
      <c r="R19" s="7"/>
      <c r="U19" s="10">
        <v>3</v>
      </c>
      <c r="V19" s="41">
        <v>45202</v>
      </c>
      <c r="W19" s="7" t="s">
        <v>263</v>
      </c>
      <c r="X19" s="7">
        <v>17447</v>
      </c>
    </row>
    <row r="20" spans="3:24" x14ac:dyDescent="0.25">
      <c r="C20" s="10">
        <v>6</v>
      </c>
      <c r="D20" s="11">
        <v>45202</v>
      </c>
      <c r="E20" s="10">
        <v>412</v>
      </c>
      <c r="F20" s="22" t="s">
        <v>227</v>
      </c>
      <c r="G20" s="7">
        <v>1000</v>
      </c>
      <c r="H20" s="12">
        <v>171</v>
      </c>
      <c r="I20" s="7"/>
      <c r="J20" s="7"/>
      <c r="K20" s="7"/>
      <c r="L20" s="7"/>
      <c r="M20" s="7"/>
      <c r="N20" s="7"/>
      <c r="O20" s="7"/>
      <c r="P20" s="7">
        <v>1000</v>
      </c>
      <c r="Q20" s="7"/>
      <c r="R20" s="7"/>
      <c r="U20" s="10">
        <v>4</v>
      </c>
      <c r="V20" s="41">
        <v>45206</v>
      </c>
      <c r="W20" s="7" t="s">
        <v>263</v>
      </c>
      <c r="X20" s="7">
        <v>17944</v>
      </c>
    </row>
    <row r="21" spans="3:24" ht="15.75" customHeight="1" x14ac:dyDescent="0.25">
      <c r="C21" s="10">
        <v>7</v>
      </c>
      <c r="D21" s="11">
        <v>45202</v>
      </c>
      <c r="E21" s="10">
        <v>413</v>
      </c>
      <c r="F21" s="22" t="s">
        <v>37</v>
      </c>
      <c r="G21" s="7">
        <v>500</v>
      </c>
      <c r="H21" s="12">
        <v>185</v>
      </c>
      <c r="I21" s="7"/>
      <c r="J21" s="7"/>
      <c r="K21" s="7"/>
      <c r="L21" s="7"/>
      <c r="M21" s="7"/>
      <c r="N21" s="7"/>
      <c r="O21" s="7"/>
      <c r="P21" s="7">
        <v>500</v>
      </c>
      <c r="Q21" s="7"/>
      <c r="R21" s="7"/>
      <c r="U21" s="10">
        <v>5</v>
      </c>
      <c r="V21" s="41">
        <v>45207</v>
      </c>
      <c r="W21" s="7" t="s">
        <v>298</v>
      </c>
      <c r="X21" s="7">
        <v>20997</v>
      </c>
    </row>
    <row r="22" spans="3:24" ht="15.75" customHeight="1" x14ac:dyDescent="0.25">
      <c r="C22" s="10">
        <v>8</v>
      </c>
      <c r="D22" s="11">
        <v>45203</v>
      </c>
      <c r="E22" s="10">
        <v>414</v>
      </c>
      <c r="F22" s="22" t="s">
        <v>269</v>
      </c>
      <c r="G22" s="7">
        <v>1300</v>
      </c>
      <c r="H22" s="12">
        <v>169</v>
      </c>
      <c r="I22" s="7"/>
      <c r="J22" s="7"/>
      <c r="K22" s="7"/>
      <c r="L22" s="7"/>
      <c r="M22" s="7"/>
      <c r="N22" s="7">
        <v>1300</v>
      </c>
      <c r="O22" s="7"/>
      <c r="P22" s="7"/>
      <c r="Q22" s="7"/>
      <c r="R22" s="7"/>
      <c r="U22" s="10">
        <v>6</v>
      </c>
      <c r="V22" s="41">
        <v>45230</v>
      </c>
      <c r="W22" s="7" t="s">
        <v>299</v>
      </c>
      <c r="X22" s="7">
        <v>21183</v>
      </c>
    </row>
    <row r="23" spans="3:24" ht="15.75" customHeight="1" x14ac:dyDescent="0.25">
      <c r="C23" s="10">
        <v>9</v>
      </c>
      <c r="D23" s="11">
        <v>45203</v>
      </c>
      <c r="E23" s="10">
        <v>415</v>
      </c>
      <c r="F23" s="22" t="s">
        <v>71</v>
      </c>
      <c r="G23" s="7">
        <v>300</v>
      </c>
      <c r="H23" s="12">
        <v>163</v>
      </c>
      <c r="I23" s="7"/>
      <c r="J23" s="7"/>
      <c r="K23" s="7"/>
      <c r="L23" s="7"/>
      <c r="M23" s="7"/>
      <c r="N23" s="7">
        <v>300</v>
      </c>
      <c r="O23" s="7"/>
      <c r="P23" s="7"/>
      <c r="Q23" s="7"/>
      <c r="R23" s="7"/>
      <c r="U23" s="10">
        <v>7</v>
      </c>
      <c r="V23" s="41"/>
      <c r="W23" s="7"/>
      <c r="X23" s="7"/>
    </row>
    <row r="24" spans="3:24" ht="15.75" customHeight="1" x14ac:dyDescent="0.25">
      <c r="C24" s="10">
        <v>10</v>
      </c>
      <c r="D24" s="11">
        <v>45203</v>
      </c>
      <c r="E24" s="10" t="s">
        <v>27</v>
      </c>
      <c r="F24" s="22" t="s">
        <v>73</v>
      </c>
      <c r="G24" s="7">
        <v>1000</v>
      </c>
      <c r="H24" s="12">
        <v>170</v>
      </c>
      <c r="I24" s="7"/>
      <c r="J24" s="7"/>
      <c r="K24" s="7"/>
      <c r="L24" s="7">
        <v>1000</v>
      </c>
      <c r="M24" s="7"/>
      <c r="N24" s="7"/>
      <c r="O24" s="7"/>
      <c r="P24" s="7"/>
      <c r="Q24" s="7"/>
      <c r="R24" s="7"/>
      <c r="U24" s="10">
        <v>8</v>
      </c>
      <c r="V24" s="11"/>
      <c r="W24" s="7"/>
      <c r="X24" s="7"/>
    </row>
    <row r="25" spans="3:24" ht="15.75" customHeight="1" x14ac:dyDescent="0.25">
      <c r="C25" s="10">
        <v>11</v>
      </c>
      <c r="D25" s="11">
        <v>45203</v>
      </c>
      <c r="E25" s="10">
        <v>417</v>
      </c>
      <c r="F25" s="22" t="s">
        <v>90</v>
      </c>
      <c r="G25" s="7">
        <v>1000</v>
      </c>
      <c r="H25" s="12" t="s">
        <v>300</v>
      </c>
      <c r="I25" s="7"/>
      <c r="J25" s="7">
        <v>500</v>
      </c>
      <c r="K25" s="7"/>
      <c r="L25" s="7">
        <v>300</v>
      </c>
      <c r="M25" s="7"/>
      <c r="N25" s="7"/>
      <c r="O25" s="7">
        <v>200</v>
      </c>
      <c r="P25" s="7"/>
      <c r="Q25" s="7"/>
      <c r="R25" s="7"/>
      <c r="U25" s="10"/>
      <c r="V25" s="7"/>
      <c r="W25" s="7"/>
      <c r="X25" s="7"/>
    </row>
    <row r="26" spans="3:24" ht="15.75" customHeight="1" x14ac:dyDescent="0.25">
      <c r="C26" s="10">
        <v>12</v>
      </c>
      <c r="D26" s="11">
        <v>45203</v>
      </c>
      <c r="E26" s="10">
        <v>418</v>
      </c>
      <c r="F26" s="22" t="s">
        <v>301</v>
      </c>
      <c r="G26" s="7">
        <v>1000</v>
      </c>
      <c r="H26" s="12">
        <v>165</v>
      </c>
      <c r="I26" s="7"/>
      <c r="J26" s="7"/>
      <c r="K26" s="7"/>
      <c r="L26" s="7"/>
      <c r="M26" s="7"/>
      <c r="N26" s="7">
        <v>1000</v>
      </c>
      <c r="O26" s="7"/>
      <c r="P26" s="7"/>
      <c r="Q26" s="7"/>
      <c r="R26" s="7"/>
      <c r="U26" s="97" t="s">
        <v>181</v>
      </c>
      <c r="V26" s="98"/>
      <c r="W26" s="99"/>
      <c r="X26" s="7">
        <f>SUM(X17:X24)</f>
        <v>94665</v>
      </c>
    </row>
    <row r="27" spans="3:24" ht="15.75" customHeight="1" x14ac:dyDescent="0.25">
      <c r="C27" s="10">
        <v>13</v>
      </c>
      <c r="D27" s="11">
        <v>45204</v>
      </c>
      <c r="E27" s="10">
        <v>419</v>
      </c>
      <c r="F27" s="22" t="s">
        <v>136</v>
      </c>
      <c r="G27" s="7">
        <v>15000</v>
      </c>
      <c r="H27" s="12">
        <v>113</v>
      </c>
      <c r="I27" s="7">
        <v>15000</v>
      </c>
      <c r="J27" s="7"/>
      <c r="K27" s="7"/>
      <c r="L27" s="7"/>
      <c r="M27" s="7"/>
      <c r="N27" s="7"/>
      <c r="O27" s="7"/>
      <c r="P27" s="7"/>
      <c r="Q27" s="7"/>
      <c r="R27" s="7"/>
      <c r="U27" s="97" t="s">
        <v>183</v>
      </c>
      <c r="V27" s="98"/>
      <c r="W27" s="99"/>
      <c r="X27" s="7">
        <v>180668</v>
      </c>
    </row>
    <row r="28" spans="3:24" ht="15.75" customHeight="1" x14ac:dyDescent="0.25">
      <c r="C28" s="10">
        <v>14</v>
      </c>
      <c r="D28" s="11">
        <v>45204</v>
      </c>
      <c r="E28" s="10">
        <v>421</v>
      </c>
      <c r="F28" s="22" t="s">
        <v>44</v>
      </c>
      <c r="G28" s="7">
        <v>500</v>
      </c>
      <c r="H28" s="12">
        <v>159</v>
      </c>
      <c r="I28" s="7"/>
      <c r="J28" s="7">
        <v>500</v>
      </c>
      <c r="K28" s="7"/>
      <c r="L28" s="7"/>
      <c r="M28" s="7"/>
      <c r="N28" s="7"/>
      <c r="O28" s="7"/>
      <c r="P28" s="7"/>
      <c r="Q28" s="7"/>
      <c r="R28" s="7"/>
      <c r="U28" s="97" t="s">
        <v>184</v>
      </c>
      <c r="V28" s="98"/>
      <c r="W28" s="99"/>
      <c r="X28" s="35">
        <f>SUM(X26,X27)</f>
        <v>275333</v>
      </c>
    </row>
    <row r="29" spans="3:24" ht="15.75" customHeight="1" x14ac:dyDescent="0.25">
      <c r="C29" s="10">
        <v>15</v>
      </c>
      <c r="D29" s="11">
        <v>45204</v>
      </c>
      <c r="E29" s="10">
        <v>422</v>
      </c>
      <c r="F29" s="22" t="s">
        <v>48</v>
      </c>
      <c r="G29" s="7">
        <v>1000</v>
      </c>
      <c r="H29" s="12">
        <v>171</v>
      </c>
      <c r="I29" s="7"/>
      <c r="J29" s="7"/>
      <c r="K29" s="7"/>
      <c r="L29" s="7"/>
      <c r="M29" s="7"/>
      <c r="N29" s="7"/>
      <c r="O29" s="7">
        <v>1000</v>
      </c>
      <c r="P29" s="7"/>
      <c r="Q29" s="7"/>
      <c r="R29" s="7"/>
      <c r="U29" s="97" t="s">
        <v>186</v>
      </c>
      <c r="V29" s="98"/>
      <c r="W29" s="99"/>
      <c r="X29" s="7">
        <f>'Oct 2023'!$I$95</f>
        <v>66140</v>
      </c>
    </row>
    <row r="30" spans="3:24" ht="15.75" customHeight="1" x14ac:dyDescent="0.25">
      <c r="C30" s="10">
        <v>16</v>
      </c>
      <c r="D30" s="11">
        <v>45204</v>
      </c>
      <c r="E30" s="24">
        <v>423</v>
      </c>
      <c r="F30" s="22" t="s">
        <v>143</v>
      </c>
      <c r="G30" s="7">
        <v>1000</v>
      </c>
      <c r="H30" s="12">
        <v>164</v>
      </c>
      <c r="I30" s="7"/>
      <c r="J30" s="7"/>
      <c r="K30" s="7"/>
      <c r="L30" s="7">
        <v>1000</v>
      </c>
      <c r="M30" s="7"/>
      <c r="N30" s="7"/>
      <c r="O30" s="7"/>
      <c r="P30" s="7"/>
      <c r="Q30" s="7"/>
      <c r="R30" s="7"/>
      <c r="U30" s="97"/>
      <c r="V30" s="98"/>
      <c r="W30" s="99"/>
      <c r="X30" s="7"/>
    </row>
    <row r="31" spans="3:24" ht="15.75" customHeight="1" x14ac:dyDescent="0.25">
      <c r="C31" s="10">
        <v>17</v>
      </c>
      <c r="D31" s="11">
        <v>45204</v>
      </c>
      <c r="E31" s="10" t="s">
        <v>302</v>
      </c>
      <c r="F31" s="22" t="s">
        <v>136</v>
      </c>
      <c r="G31" s="7">
        <v>4000</v>
      </c>
      <c r="H31" s="12">
        <v>162</v>
      </c>
      <c r="I31" s="7"/>
      <c r="J31" s="7"/>
      <c r="K31" s="7"/>
      <c r="L31" s="7">
        <v>4000</v>
      </c>
      <c r="M31" s="7"/>
      <c r="N31" s="7"/>
      <c r="O31" s="7"/>
      <c r="P31" s="7"/>
      <c r="Q31" s="7"/>
      <c r="R31" s="7"/>
      <c r="U31" s="100" t="s">
        <v>188</v>
      </c>
      <c r="V31" s="98"/>
      <c r="W31" s="99"/>
      <c r="X31" s="36">
        <f>SUM(X28-X29)</f>
        <v>209193</v>
      </c>
    </row>
    <row r="32" spans="3:24" ht="15.75" customHeight="1" x14ac:dyDescent="0.25">
      <c r="C32" s="10">
        <v>18</v>
      </c>
      <c r="D32" s="11">
        <v>45204</v>
      </c>
      <c r="E32" s="10" t="s">
        <v>303</v>
      </c>
      <c r="F32" s="22" t="s">
        <v>80</v>
      </c>
      <c r="G32" s="7">
        <v>250</v>
      </c>
      <c r="H32" s="12">
        <v>150</v>
      </c>
      <c r="I32" s="7"/>
      <c r="J32" s="7">
        <v>250</v>
      </c>
      <c r="K32" s="7"/>
      <c r="L32" s="7"/>
      <c r="M32" s="7"/>
      <c r="N32" s="7"/>
      <c r="O32" s="7"/>
      <c r="P32" s="7"/>
      <c r="Q32" s="7"/>
      <c r="R32" s="7"/>
    </row>
    <row r="33" spans="3:20" ht="15.75" customHeight="1" x14ac:dyDescent="0.25">
      <c r="C33" s="10">
        <v>19</v>
      </c>
      <c r="D33" s="11">
        <v>45204</v>
      </c>
      <c r="E33" s="10">
        <v>424</v>
      </c>
      <c r="F33" s="22" t="s">
        <v>139</v>
      </c>
      <c r="G33" s="7">
        <v>500</v>
      </c>
      <c r="H33" s="12">
        <v>168</v>
      </c>
      <c r="I33" s="7"/>
      <c r="J33" s="7"/>
      <c r="K33" s="7"/>
      <c r="L33" s="7"/>
      <c r="M33" s="7"/>
      <c r="N33" s="7">
        <v>500</v>
      </c>
      <c r="O33" s="7"/>
      <c r="P33" s="7"/>
      <c r="Q33" s="7"/>
      <c r="R33" s="7"/>
    </row>
    <row r="34" spans="3:20" ht="15.75" customHeight="1" x14ac:dyDescent="0.25">
      <c r="C34" s="10">
        <v>20</v>
      </c>
      <c r="D34" s="11">
        <v>45205</v>
      </c>
      <c r="E34" s="10">
        <v>425</v>
      </c>
      <c r="F34" s="22" t="s">
        <v>52</v>
      </c>
      <c r="G34" s="7">
        <v>15000</v>
      </c>
      <c r="H34" s="12">
        <v>112</v>
      </c>
      <c r="I34" s="7">
        <v>15000</v>
      </c>
      <c r="J34" s="7"/>
      <c r="K34" s="7"/>
      <c r="L34" s="7"/>
      <c r="M34" s="7"/>
      <c r="N34" s="7"/>
      <c r="O34" s="7"/>
      <c r="P34" s="7"/>
      <c r="Q34" s="7"/>
      <c r="R34" s="7"/>
    </row>
    <row r="35" spans="3:20" ht="15.75" customHeight="1" x14ac:dyDescent="0.25">
      <c r="C35" s="10">
        <v>21</v>
      </c>
      <c r="D35" s="11">
        <v>45205</v>
      </c>
      <c r="E35" s="10">
        <v>426</v>
      </c>
      <c r="F35" s="22" t="s">
        <v>248</v>
      </c>
      <c r="G35" s="7">
        <v>1500</v>
      </c>
      <c r="H35" s="12">
        <v>170</v>
      </c>
      <c r="I35" s="7"/>
      <c r="J35" s="7"/>
      <c r="K35" s="7"/>
      <c r="L35" s="7">
        <v>1500</v>
      </c>
      <c r="M35" s="7"/>
      <c r="N35" s="7"/>
      <c r="O35" s="7"/>
      <c r="P35" s="7"/>
      <c r="Q35" s="7"/>
      <c r="R35" s="7"/>
    </row>
    <row r="36" spans="3:20" ht="15.75" customHeight="1" x14ac:dyDescent="0.25">
      <c r="C36" s="10">
        <v>22</v>
      </c>
      <c r="D36" s="11">
        <v>45206</v>
      </c>
      <c r="E36" s="10">
        <v>428</v>
      </c>
      <c r="F36" s="22" t="s">
        <v>143</v>
      </c>
      <c r="G36" s="7">
        <v>1000</v>
      </c>
      <c r="H36" s="12">
        <v>158</v>
      </c>
      <c r="I36" s="7"/>
      <c r="J36" s="7"/>
      <c r="K36" s="7"/>
      <c r="L36" s="7"/>
      <c r="M36" s="7"/>
      <c r="N36" s="7">
        <v>1000</v>
      </c>
      <c r="O36" s="7"/>
      <c r="P36" s="7"/>
      <c r="Q36" s="7"/>
      <c r="R36" s="7"/>
    </row>
    <row r="37" spans="3:20" ht="15.75" customHeight="1" x14ac:dyDescent="0.25">
      <c r="C37" s="10">
        <v>23</v>
      </c>
      <c r="D37" s="11">
        <v>45206</v>
      </c>
      <c r="E37" s="10" t="s">
        <v>304</v>
      </c>
      <c r="F37" s="22" t="s">
        <v>136</v>
      </c>
      <c r="G37" s="7">
        <v>5000</v>
      </c>
      <c r="H37" s="12">
        <v>178</v>
      </c>
      <c r="I37" s="7"/>
      <c r="J37" s="7"/>
      <c r="K37" s="7"/>
      <c r="L37" s="7"/>
      <c r="M37" s="7"/>
      <c r="N37" s="7"/>
      <c r="O37" s="7"/>
      <c r="P37" s="7"/>
      <c r="Q37" s="7">
        <v>5000</v>
      </c>
      <c r="R37" s="7"/>
    </row>
    <row r="38" spans="3:20" ht="15.75" customHeight="1" x14ac:dyDescent="0.25">
      <c r="C38" s="10">
        <v>24</v>
      </c>
      <c r="D38" s="11">
        <v>45206</v>
      </c>
      <c r="E38" s="10">
        <v>429</v>
      </c>
      <c r="F38" s="22" t="s">
        <v>305</v>
      </c>
      <c r="G38" s="7">
        <v>3000</v>
      </c>
      <c r="H38" s="12">
        <v>182</v>
      </c>
      <c r="I38" s="7"/>
      <c r="J38" s="7"/>
      <c r="K38" s="7"/>
      <c r="L38" s="7"/>
      <c r="M38" s="7"/>
      <c r="N38" s="7"/>
      <c r="O38" s="7"/>
      <c r="P38" s="7"/>
      <c r="Q38" s="7">
        <v>3000</v>
      </c>
      <c r="R38" s="7"/>
    </row>
    <row r="39" spans="3:20" ht="15.75" customHeight="1" x14ac:dyDescent="0.25">
      <c r="C39" s="10">
        <v>26</v>
      </c>
      <c r="D39" s="11">
        <v>45206</v>
      </c>
      <c r="E39" s="64">
        <v>451</v>
      </c>
      <c r="F39" s="22" t="s">
        <v>293</v>
      </c>
      <c r="G39" s="7">
        <v>500</v>
      </c>
      <c r="H39" s="12">
        <v>172</v>
      </c>
      <c r="I39" s="7"/>
      <c r="J39" s="7"/>
      <c r="K39" s="7"/>
      <c r="L39" s="7"/>
      <c r="M39" s="7"/>
      <c r="N39" s="7"/>
      <c r="O39" s="7">
        <v>500</v>
      </c>
      <c r="P39" s="7"/>
      <c r="Q39" s="7"/>
      <c r="R39" s="7"/>
    </row>
    <row r="40" spans="3:20" ht="15.75" customHeight="1" x14ac:dyDescent="0.25">
      <c r="C40" s="10">
        <v>27</v>
      </c>
      <c r="D40" s="11">
        <v>45208</v>
      </c>
      <c r="E40" s="10" t="s">
        <v>306</v>
      </c>
      <c r="F40" s="22" t="s">
        <v>43</v>
      </c>
      <c r="G40" s="7">
        <v>1000</v>
      </c>
      <c r="H40" s="12">
        <v>163.5</v>
      </c>
      <c r="I40" s="7"/>
      <c r="J40" s="7"/>
      <c r="K40" s="7"/>
      <c r="L40" s="7">
        <v>1000</v>
      </c>
      <c r="M40" s="7"/>
      <c r="N40" s="7"/>
      <c r="O40" s="7"/>
      <c r="P40" s="7"/>
      <c r="Q40" s="7"/>
      <c r="R40" s="7"/>
    </row>
    <row r="41" spans="3:20" ht="15.75" customHeight="1" x14ac:dyDescent="0.25">
      <c r="C41" s="10">
        <v>28</v>
      </c>
      <c r="D41" s="11">
        <v>45208</v>
      </c>
      <c r="E41" s="10" t="s">
        <v>307</v>
      </c>
      <c r="F41" s="22" t="s">
        <v>202</v>
      </c>
      <c r="G41" s="7">
        <v>3000</v>
      </c>
      <c r="H41" s="12">
        <v>170</v>
      </c>
      <c r="I41" s="7"/>
      <c r="J41" s="7"/>
      <c r="K41" s="7"/>
      <c r="L41" s="7">
        <v>3000</v>
      </c>
      <c r="M41" s="7"/>
      <c r="N41" s="7"/>
      <c r="O41" s="7"/>
      <c r="P41" s="7"/>
      <c r="Q41" s="7"/>
      <c r="R41" s="7"/>
    </row>
    <row r="42" spans="3:20" ht="15.75" customHeight="1" x14ac:dyDescent="0.25">
      <c r="C42" s="10">
        <v>29</v>
      </c>
      <c r="D42" s="11">
        <v>45208</v>
      </c>
      <c r="E42" s="10" t="s">
        <v>308</v>
      </c>
      <c r="F42" s="22" t="s">
        <v>139</v>
      </c>
      <c r="G42" s="7">
        <v>3500</v>
      </c>
      <c r="H42" s="12">
        <v>162</v>
      </c>
      <c r="I42" s="7"/>
      <c r="J42" s="7"/>
      <c r="K42" s="7"/>
      <c r="L42" s="7"/>
      <c r="M42" s="7"/>
      <c r="N42" s="7">
        <v>3500</v>
      </c>
      <c r="O42" s="7"/>
      <c r="P42" s="7"/>
      <c r="Q42" s="7"/>
      <c r="R42" s="7"/>
      <c r="T42" s="1"/>
    </row>
    <row r="43" spans="3:20" ht="15.75" customHeight="1" x14ac:dyDescent="0.25">
      <c r="C43" s="10">
        <v>30</v>
      </c>
      <c r="D43" s="11">
        <v>45208</v>
      </c>
      <c r="E43" s="10" t="s">
        <v>309</v>
      </c>
      <c r="F43" s="22" t="s">
        <v>139</v>
      </c>
      <c r="G43" s="7">
        <v>500</v>
      </c>
      <c r="H43" s="12">
        <v>166</v>
      </c>
      <c r="I43" s="7"/>
      <c r="J43" s="7"/>
      <c r="K43" s="7"/>
      <c r="L43" s="7"/>
      <c r="M43" s="7"/>
      <c r="N43" s="7">
        <v>500</v>
      </c>
      <c r="O43" s="7"/>
      <c r="P43" s="7"/>
      <c r="Q43" s="7"/>
      <c r="R43" s="7"/>
      <c r="T43" s="1"/>
    </row>
    <row r="44" spans="3:20" ht="15.75" customHeight="1" x14ac:dyDescent="0.25">
      <c r="C44" s="10">
        <v>31</v>
      </c>
      <c r="D44" s="11">
        <v>45208</v>
      </c>
      <c r="E44" s="10">
        <v>430</v>
      </c>
      <c r="F44" s="22" t="s">
        <v>26</v>
      </c>
      <c r="G44" s="7">
        <v>150</v>
      </c>
      <c r="H44" s="12">
        <v>185</v>
      </c>
      <c r="I44" s="7"/>
      <c r="J44" s="7"/>
      <c r="K44" s="7"/>
      <c r="L44" s="7"/>
      <c r="M44" s="7"/>
      <c r="N44" s="7"/>
      <c r="O44" s="7"/>
      <c r="P44" s="7">
        <v>150</v>
      </c>
      <c r="Q44" s="7"/>
      <c r="R44" s="7"/>
      <c r="T44" s="1"/>
    </row>
    <row r="45" spans="3:20" ht="15.75" customHeight="1" x14ac:dyDescent="0.25">
      <c r="C45" s="10">
        <v>32</v>
      </c>
      <c r="D45" s="11">
        <v>45208</v>
      </c>
      <c r="E45" s="10">
        <v>431</v>
      </c>
      <c r="F45" s="22" t="s">
        <v>284</v>
      </c>
      <c r="G45" s="7">
        <v>500</v>
      </c>
      <c r="H45" s="12">
        <v>120</v>
      </c>
      <c r="I45" s="7">
        <v>500</v>
      </c>
      <c r="J45" s="7"/>
      <c r="K45" s="7"/>
      <c r="L45" s="7"/>
      <c r="M45" s="7"/>
      <c r="N45" s="7"/>
      <c r="O45" s="7"/>
      <c r="P45" s="7"/>
      <c r="Q45" s="7"/>
      <c r="R45" s="7"/>
      <c r="T45" s="1"/>
    </row>
    <row r="46" spans="3:20" ht="15.75" customHeight="1" x14ac:dyDescent="0.25">
      <c r="C46" s="10">
        <v>33</v>
      </c>
      <c r="D46" s="11">
        <v>45208</v>
      </c>
      <c r="E46" s="10">
        <v>432</v>
      </c>
      <c r="F46" s="22" t="s">
        <v>48</v>
      </c>
      <c r="G46" s="7">
        <v>600</v>
      </c>
      <c r="H46" s="12">
        <v>118</v>
      </c>
      <c r="I46" s="7">
        <v>600</v>
      </c>
      <c r="J46" s="7"/>
      <c r="K46" s="7"/>
      <c r="L46" s="7"/>
      <c r="M46" s="7"/>
      <c r="N46" s="7"/>
      <c r="O46" s="7"/>
      <c r="P46" s="7"/>
      <c r="Q46" s="7"/>
      <c r="R46" s="7"/>
      <c r="T46" s="1"/>
    </row>
    <row r="47" spans="3:20" ht="15.75" customHeight="1" x14ac:dyDescent="0.25">
      <c r="C47" s="10">
        <v>34</v>
      </c>
      <c r="D47" s="11">
        <v>45208</v>
      </c>
      <c r="E47" s="10">
        <v>433</v>
      </c>
      <c r="F47" s="22" t="s">
        <v>310</v>
      </c>
      <c r="G47" s="7">
        <v>1150</v>
      </c>
      <c r="H47" s="12" t="s">
        <v>311</v>
      </c>
      <c r="I47" s="7"/>
      <c r="J47" s="7"/>
      <c r="K47" s="7"/>
      <c r="L47" s="7">
        <v>1000</v>
      </c>
      <c r="M47" s="7"/>
      <c r="N47" s="7"/>
      <c r="O47" s="7"/>
      <c r="P47" s="7"/>
      <c r="Q47" s="7">
        <v>150</v>
      </c>
      <c r="R47" s="7"/>
      <c r="T47" s="1"/>
    </row>
    <row r="48" spans="3:20" ht="15.75" customHeight="1" x14ac:dyDescent="0.25">
      <c r="C48" s="10">
        <v>35</v>
      </c>
      <c r="D48" s="11">
        <v>45208</v>
      </c>
      <c r="E48" s="10">
        <v>434</v>
      </c>
      <c r="F48" s="22" t="s">
        <v>312</v>
      </c>
      <c r="G48" s="7">
        <v>10000</v>
      </c>
      <c r="H48" s="12">
        <v>115</v>
      </c>
      <c r="I48" s="7">
        <v>10000</v>
      </c>
      <c r="J48" s="7"/>
      <c r="K48" s="7"/>
      <c r="L48" s="7"/>
      <c r="M48" s="7"/>
      <c r="N48" s="7"/>
      <c r="O48" s="7"/>
      <c r="P48" s="7"/>
      <c r="Q48" s="7"/>
      <c r="R48" s="7"/>
      <c r="T48" s="1"/>
    </row>
    <row r="49" spans="3:20" ht="15.75" customHeight="1" x14ac:dyDescent="0.25">
      <c r="C49" s="10">
        <v>36</v>
      </c>
      <c r="D49" s="11">
        <v>45208</v>
      </c>
      <c r="E49" s="10">
        <v>435</v>
      </c>
      <c r="F49" s="22" t="s">
        <v>139</v>
      </c>
      <c r="G49" s="7">
        <v>20</v>
      </c>
      <c r="H49" s="12">
        <v>125</v>
      </c>
      <c r="I49" s="7">
        <v>20</v>
      </c>
      <c r="J49" s="7"/>
      <c r="K49" s="7"/>
      <c r="L49" s="7"/>
      <c r="M49" s="7"/>
      <c r="N49" s="7"/>
      <c r="O49" s="7"/>
      <c r="P49" s="7"/>
      <c r="Q49" s="7"/>
      <c r="R49" s="7"/>
      <c r="T49" s="1"/>
    </row>
    <row r="50" spans="3:20" ht="15.75" customHeight="1" x14ac:dyDescent="0.25">
      <c r="C50" s="10">
        <v>37</v>
      </c>
      <c r="D50" s="11">
        <v>45209</v>
      </c>
      <c r="E50" s="10">
        <v>437</v>
      </c>
      <c r="F50" s="22" t="s">
        <v>269</v>
      </c>
      <c r="G50" s="7">
        <v>3000</v>
      </c>
      <c r="H50" s="12">
        <v>170</v>
      </c>
      <c r="I50" s="7"/>
      <c r="J50" s="7"/>
      <c r="K50" s="7"/>
      <c r="L50" s="7"/>
      <c r="M50" s="7"/>
      <c r="N50" s="7">
        <v>3000</v>
      </c>
      <c r="O50" s="7"/>
      <c r="P50" s="7"/>
      <c r="Q50" s="7"/>
      <c r="R50" s="7"/>
      <c r="T50" s="1"/>
    </row>
    <row r="51" spans="3:20" ht="15.75" customHeight="1" x14ac:dyDescent="0.25">
      <c r="C51" s="10">
        <v>38</v>
      </c>
      <c r="D51" s="11">
        <v>45209</v>
      </c>
      <c r="E51" s="10">
        <v>439</v>
      </c>
      <c r="F51" s="22" t="s">
        <v>269</v>
      </c>
      <c r="G51" s="7">
        <v>500</v>
      </c>
      <c r="H51" s="12">
        <v>175</v>
      </c>
      <c r="I51" s="7"/>
      <c r="J51" s="7"/>
      <c r="K51" s="7"/>
      <c r="L51" s="7"/>
      <c r="M51" s="7"/>
      <c r="N51" s="7"/>
      <c r="O51" s="7">
        <v>500</v>
      </c>
      <c r="P51" s="7"/>
      <c r="Q51" s="7"/>
      <c r="R51" s="7"/>
      <c r="T51" s="1"/>
    </row>
    <row r="52" spans="3:20" ht="15.75" customHeight="1" x14ac:dyDescent="0.25">
      <c r="C52" s="10">
        <v>39</v>
      </c>
      <c r="D52" s="11">
        <v>45209</v>
      </c>
      <c r="E52" s="10" t="s">
        <v>313</v>
      </c>
      <c r="F52" s="22" t="s">
        <v>32</v>
      </c>
      <c r="G52" s="7">
        <v>500</v>
      </c>
      <c r="H52" s="12">
        <v>172</v>
      </c>
      <c r="I52" s="7"/>
      <c r="J52" s="7"/>
      <c r="K52" s="7"/>
      <c r="L52" s="7"/>
      <c r="M52" s="7"/>
      <c r="N52" s="7"/>
      <c r="O52" s="7">
        <v>500</v>
      </c>
      <c r="P52" s="7"/>
      <c r="Q52" s="7"/>
      <c r="R52" s="7"/>
      <c r="T52" s="1"/>
    </row>
    <row r="53" spans="3:20" ht="15.75" customHeight="1" x14ac:dyDescent="0.25">
      <c r="C53" s="10">
        <v>40</v>
      </c>
      <c r="D53" s="11">
        <v>45209</v>
      </c>
      <c r="E53" s="10" t="s">
        <v>314</v>
      </c>
      <c r="F53" s="22" t="s">
        <v>49</v>
      </c>
      <c r="G53" s="7">
        <v>3000</v>
      </c>
      <c r="H53" s="12">
        <v>146</v>
      </c>
      <c r="I53" s="7"/>
      <c r="J53" s="7">
        <v>3000</v>
      </c>
      <c r="K53" s="7"/>
      <c r="L53" s="7"/>
      <c r="M53" s="7"/>
      <c r="N53" s="7"/>
      <c r="O53" s="7"/>
      <c r="P53" s="7"/>
      <c r="Q53" s="7"/>
      <c r="R53" s="7"/>
      <c r="T53" s="1"/>
    </row>
    <row r="54" spans="3:20" ht="15.75" customHeight="1" x14ac:dyDescent="0.25">
      <c r="C54" s="10">
        <v>41</v>
      </c>
      <c r="D54" s="11">
        <v>45209</v>
      </c>
      <c r="E54" s="10" t="s">
        <v>315</v>
      </c>
      <c r="F54" s="22" t="s">
        <v>80</v>
      </c>
      <c r="G54" s="7">
        <v>2000</v>
      </c>
      <c r="H54" s="31">
        <v>161</v>
      </c>
      <c r="I54" s="7"/>
      <c r="J54" s="7"/>
      <c r="K54" s="7"/>
      <c r="L54" s="7"/>
      <c r="M54" s="7"/>
      <c r="N54" s="7">
        <v>2000</v>
      </c>
      <c r="O54" s="7"/>
      <c r="P54" s="7"/>
      <c r="Q54" s="7"/>
      <c r="R54" s="7"/>
      <c r="T54" s="1"/>
    </row>
    <row r="55" spans="3:20" ht="15.75" customHeight="1" x14ac:dyDescent="0.25">
      <c r="C55" s="10">
        <v>42</v>
      </c>
      <c r="D55" s="11">
        <v>45210</v>
      </c>
      <c r="E55" s="10">
        <v>441</v>
      </c>
      <c r="F55" s="22" t="s">
        <v>90</v>
      </c>
      <c r="G55" s="7">
        <v>4800</v>
      </c>
      <c r="H55" s="12" t="s">
        <v>214</v>
      </c>
      <c r="I55" s="7">
        <v>4000</v>
      </c>
      <c r="J55" s="7"/>
      <c r="K55" s="7"/>
      <c r="L55" s="7"/>
      <c r="M55" s="7"/>
      <c r="N55" s="7">
        <v>800</v>
      </c>
      <c r="O55" s="7"/>
      <c r="P55" s="7"/>
      <c r="Q55" s="7"/>
      <c r="R55" s="7"/>
      <c r="T55" s="1"/>
    </row>
    <row r="56" spans="3:20" ht="15.75" customHeight="1" x14ac:dyDescent="0.25">
      <c r="C56" s="10">
        <v>43</v>
      </c>
      <c r="D56" s="11">
        <v>45211</v>
      </c>
      <c r="E56" s="10">
        <v>442</v>
      </c>
      <c r="F56" s="22" t="s">
        <v>268</v>
      </c>
      <c r="G56" s="7">
        <v>500</v>
      </c>
      <c r="H56" s="12">
        <v>158</v>
      </c>
      <c r="I56" s="7"/>
      <c r="J56" s="7">
        <v>500</v>
      </c>
      <c r="K56" s="7"/>
      <c r="L56" s="7"/>
      <c r="M56" s="7"/>
      <c r="N56" s="7"/>
      <c r="O56" s="7"/>
      <c r="P56" s="7"/>
      <c r="Q56" s="7"/>
      <c r="R56" s="7"/>
      <c r="T56" s="1"/>
    </row>
    <row r="57" spans="3:20" ht="15.75" customHeight="1" x14ac:dyDescent="0.25">
      <c r="C57" s="10">
        <v>44</v>
      </c>
      <c r="D57" s="11">
        <v>45212</v>
      </c>
      <c r="E57" s="10">
        <v>443</v>
      </c>
      <c r="F57" s="22" t="s">
        <v>140</v>
      </c>
      <c r="G57" s="7">
        <v>320</v>
      </c>
      <c r="H57" s="12">
        <v>125</v>
      </c>
      <c r="I57" s="7">
        <v>320</v>
      </c>
      <c r="J57" s="7"/>
      <c r="K57" s="7"/>
      <c r="L57" s="7"/>
      <c r="M57" s="7"/>
      <c r="N57" s="7"/>
      <c r="O57" s="7"/>
      <c r="P57" s="7"/>
      <c r="Q57" s="7"/>
      <c r="R57" s="7"/>
      <c r="T57" s="1"/>
    </row>
    <row r="58" spans="3:20" ht="15.75" customHeight="1" x14ac:dyDescent="0.25">
      <c r="C58" s="10">
        <v>45</v>
      </c>
      <c r="D58" s="11">
        <v>45212</v>
      </c>
      <c r="E58" s="10">
        <v>447</v>
      </c>
      <c r="F58" s="22" t="s">
        <v>268</v>
      </c>
      <c r="G58" s="7">
        <v>500</v>
      </c>
      <c r="H58" s="12">
        <v>178</v>
      </c>
      <c r="I58" s="7"/>
      <c r="J58" s="7"/>
      <c r="K58" s="7"/>
      <c r="L58" s="7"/>
      <c r="M58" s="7"/>
      <c r="N58" s="7"/>
      <c r="O58" s="7">
        <v>500</v>
      </c>
      <c r="P58" s="7"/>
      <c r="Q58" s="7"/>
      <c r="R58" s="7"/>
      <c r="T58" s="1"/>
    </row>
    <row r="59" spans="3:20" ht="15.75" customHeight="1" x14ac:dyDescent="0.25">
      <c r="C59" s="10">
        <v>46</v>
      </c>
      <c r="D59" s="11">
        <v>45212</v>
      </c>
      <c r="E59" s="10">
        <v>448</v>
      </c>
      <c r="F59" s="22" t="s">
        <v>24</v>
      </c>
      <c r="G59" s="7">
        <v>200</v>
      </c>
      <c r="H59" s="12">
        <v>175</v>
      </c>
      <c r="I59" s="7"/>
      <c r="J59" s="7"/>
      <c r="K59" s="7"/>
      <c r="L59" s="7"/>
      <c r="M59" s="7"/>
      <c r="N59" s="7">
        <v>200</v>
      </c>
      <c r="O59" s="7"/>
      <c r="P59" s="7"/>
      <c r="Q59" s="7"/>
      <c r="R59" s="7"/>
      <c r="T59" s="1"/>
    </row>
    <row r="60" spans="3:20" ht="15.75" customHeight="1" x14ac:dyDescent="0.25">
      <c r="C60" s="10">
        <v>47</v>
      </c>
      <c r="D60" s="11">
        <v>45214</v>
      </c>
      <c r="E60" s="10">
        <v>449</v>
      </c>
      <c r="F60" s="22" t="s">
        <v>51</v>
      </c>
      <c r="G60" s="7">
        <v>5000</v>
      </c>
      <c r="H60" s="12">
        <v>192</v>
      </c>
      <c r="I60" s="7"/>
      <c r="J60" s="7"/>
      <c r="K60" s="7"/>
      <c r="L60" s="7"/>
      <c r="M60" s="7"/>
      <c r="N60" s="7">
        <v>5000</v>
      </c>
      <c r="O60" s="7"/>
      <c r="P60" s="7"/>
      <c r="Q60" s="7"/>
      <c r="R60" s="7"/>
      <c r="T60" s="1"/>
    </row>
    <row r="61" spans="3:20" ht="15.75" customHeight="1" x14ac:dyDescent="0.25">
      <c r="C61" s="10">
        <v>48</v>
      </c>
      <c r="D61" s="11">
        <v>45214</v>
      </c>
      <c r="E61" s="10">
        <v>450</v>
      </c>
      <c r="F61" s="22" t="s">
        <v>37</v>
      </c>
      <c r="G61" s="7">
        <v>500</v>
      </c>
      <c r="H61" s="12">
        <v>125</v>
      </c>
      <c r="I61" s="7">
        <v>500</v>
      </c>
      <c r="J61" s="7"/>
      <c r="K61" s="7"/>
      <c r="L61" s="7"/>
      <c r="M61" s="7"/>
      <c r="N61" s="7"/>
      <c r="O61" s="7"/>
      <c r="P61" s="7"/>
      <c r="Q61" s="7"/>
      <c r="R61" s="7"/>
      <c r="T61" s="1"/>
    </row>
    <row r="62" spans="3:20" ht="15.75" customHeight="1" x14ac:dyDescent="0.25">
      <c r="C62" s="10">
        <v>49</v>
      </c>
      <c r="D62" s="11">
        <v>45216</v>
      </c>
      <c r="E62" s="10">
        <v>452</v>
      </c>
      <c r="F62" s="22" t="s">
        <v>316</v>
      </c>
      <c r="G62" s="7">
        <v>1000</v>
      </c>
      <c r="H62" s="12">
        <v>120</v>
      </c>
      <c r="I62" s="7">
        <v>1000</v>
      </c>
      <c r="J62" s="7"/>
      <c r="K62" s="7"/>
      <c r="L62" s="7"/>
      <c r="M62" s="7"/>
      <c r="N62" s="7"/>
      <c r="O62" s="7"/>
      <c r="P62" s="7"/>
      <c r="Q62" s="7"/>
      <c r="R62" s="7"/>
      <c r="T62" s="1"/>
    </row>
    <row r="63" spans="3:20" ht="15.75" customHeight="1" x14ac:dyDescent="0.25">
      <c r="C63" s="10">
        <v>50</v>
      </c>
      <c r="D63" s="11">
        <v>45216</v>
      </c>
      <c r="E63" s="10">
        <v>453</v>
      </c>
      <c r="F63" s="22" t="s">
        <v>20</v>
      </c>
      <c r="G63" s="7">
        <v>220</v>
      </c>
      <c r="H63" s="12">
        <v>115</v>
      </c>
      <c r="I63" s="7">
        <v>220</v>
      </c>
      <c r="J63" s="7"/>
      <c r="K63" s="7"/>
      <c r="L63" s="7"/>
      <c r="M63" s="7"/>
      <c r="N63" s="7"/>
      <c r="O63" s="7"/>
      <c r="P63" s="7"/>
      <c r="Q63" s="7"/>
      <c r="R63" s="7"/>
      <c r="T63" s="1"/>
    </row>
    <row r="64" spans="3:20" ht="15.75" customHeight="1" x14ac:dyDescent="0.25">
      <c r="C64" s="10">
        <v>51</v>
      </c>
      <c r="D64" s="11">
        <v>45215</v>
      </c>
      <c r="E64" s="10" t="s">
        <v>315</v>
      </c>
      <c r="F64" s="22" t="s">
        <v>80</v>
      </c>
      <c r="G64" s="7">
        <v>1000</v>
      </c>
      <c r="H64" s="12">
        <v>149</v>
      </c>
      <c r="I64" s="7"/>
      <c r="J64" s="7">
        <v>1000</v>
      </c>
      <c r="K64" s="7"/>
      <c r="L64" s="7"/>
      <c r="M64" s="7"/>
      <c r="N64" s="7"/>
      <c r="O64" s="7"/>
      <c r="P64" s="7"/>
      <c r="Q64" s="7"/>
      <c r="R64" s="7"/>
      <c r="T64" s="1"/>
    </row>
    <row r="65" spans="3:20" ht="15.75" customHeight="1" x14ac:dyDescent="0.25">
      <c r="C65" s="10">
        <v>52</v>
      </c>
      <c r="D65" s="11">
        <v>45217</v>
      </c>
      <c r="E65" s="10">
        <v>454</v>
      </c>
      <c r="F65" s="22" t="s">
        <v>80</v>
      </c>
      <c r="G65" s="7">
        <v>100</v>
      </c>
      <c r="H65" s="31">
        <v>125</v>
      </c>
      <c r="I65" s="7">
        <v>100</v>
      </c>
      <c r="J65" s="7"/>
      <c r="K65" s="7"/>
      <c r="L65" s="7"/>
      <c r="M65" s="7"/>
      <c r="N65" s="7"/>
      <c r="O65" s="7"/>
      <c r="P65" s="7"/>
      <c r="Q65" s="7"/>
      <c r="R65" s="7"/>
      <c r="T65" s="1"/>
    </row>
    <row r="66" spans="3:20" ht="15.75" customHeight="1" x14ac:dyDescent="0.25">
      <c r="C66" s="10">
        <v>53</v>
      </c>
      <c r="D66" s="11">
        <v>45218</v>
      </c>
      <c r="E66" s="10">
        <v>455</v>
      </c>
      <c r="F66" s="22" t="s">
        <v>269</v>
      </c>
      <c r="G66" s="7">
        <v>350</v>
      </c>
      <c r="H66" s="12">
        <v>175</v>
      </c>
      <c r="I66" s="7"/>
      <c r="J66" s="7"/>
      <c r="K66" s="7"/>
      <c r="L66" s="7"/>
      <c r="M66" s="7"/>
      <c r="N66" s="7"/>
      <c r="O66" s="7">
        <v>350</v>
      </c>
      <c r="P66" s="7"/>
      <c r="Q66" s="7"/>
      <c r="R66" s="7"/>
      <c r="T66" s="1"/>
    </row>
    <row r="67" spans="3:20" ht="15.75" customHeight="1" x14ac:dyDescent="0.25">
      <c r="C67" s="10">
        <v>54</v>
      </c>
      <c r="D67" s="11">
        <v>45218</v>
      </c>
      <c r="E67" s="10">
        <v>456</v>
      </c>
      <c r="F67" s="22" t="s">
        <v>317</v>
      </c>
      <c r="G67" s="7">
        <v>245</v>
      </c>
      <c r="H67" s="12" t="s">
        <v>318</v>
      </c>
      <c r="I67" s="7">
        <v>220</v>
      </c>
      <c r="J67" s="7"/>
      <c r="K67" s="7"/>
      <c r="L67" s="7">
        <v>25</v>
      </c>
      <c r="M67" s="7"/>
      <c r="N67" s="7"/>
      <c r="O67" s="7"/>
      <c r="P67" s="7"/>
      <c r="Q67" s="7"/>
      <c r="R67" s="7"/>
      <c r="T67" s="1"/>
    </row>
    <row r="68" spans="3:20" ht="15.75" customHeight="1" x14ac:dyDescent="0.25">
      <c r="C68" s="10">
        <v>55</v>
      </c>
      <c r="D68" s="11">
        <v>45218</v>
      </c>
      <c r="E68" s="10">
        <v>457</v>
      </c>
      <c r="F68" s="22" t="s">
        <v>43</v>
      </c>
      <c r="G68" s="7">
        <v>6680</v>
      </c>
      <c r="H68" s="12">
        <v>325</v>
      </c>
      <c r="I68" s="7">
        <v>6680</v>
      </c>
      <c r="J68" s="7"/>
      <c r="K68" s="7"/>
      <c r="L68" s="7"/>
      <c r="M68" s="7"/>
      <c r="N68" s="7"/>
      <c r="O68" s="7"/>
      <c r="P68" s="7"/>
      <c r="Q68" s="7"/>
      <c r="R68" s="7"/>
      <c r="T68" s="1"/>
    </row>
    <row r="69" spans="3:20" ht="15.75" customHeight="1" x14ac:dyDescent="0.25">
      <c r="C69" s="10">
        <v>56</v>
      </c>
      <c r="D69" s="11">
        <v>45218</v>
      </c>
      <c r="E69" s="10">
        <v>458</v>
      </c>
      <c r="F69" s="22" t="s">
        <v>43</v>
      </c>
      <c r="G69" s="7">
        <v>200</v>
      </c>
      <c r="H69" s="12">
        <v>120</v>
      </c>
      <c r="I69" s="7">
        <v>200</v>
      </c>
      <c r="J69" s="7"/>
      <c r="K69" s="7"/>
      <c r="L69" s="7"/>
      <c r="M69" s="7"/>
      <c r="N69" s="7"/>
      <c r="O69" s="7"/>
      <c r="P69" s="7"/>
      <c r="Q69" s="7"/>
      <c r="R69" s="7"/>
      <c r="T69" s="1"/>
    </row>
    <row r="70" spans="3:20" ht="15.75" customHeight="1" x14ac:dyDescent="0.25">
      <c r="C70" s="10">
        <v>57</v>
      </c>
      <c r="D70" s="11">
        <v>45217</v>
      </c>
      <c r="E70" s="10" t="s">
        <v>319</v>
      </c>
      <c r="F70" s="22" t="s">
        <v>80</v>
      </c>
      <c r="G70" s="7">
        <v>500</v>
      </c>
      <c r="H70" s="12">
        <v>150</v>
      </c>
      <c r="I70" s="7"/>
      <c r="J70" s="7">
        <v>500</v>
      </c>
      <c r="K70" s="7"/>
      <c r="L70" s="7"/>
      <c r="M70" s="7"/>
      <c r="N70" s="7"/>
      <c r="O70" s="7"/>
      <c r="P70" s="7"/>
      <c r="Q70" s="7"/>
      <c r="R70" s="7"/>
      <c r="T70" s="1"/>
    </row>
    <row r="71" spans="3:20" ht="15.75" customHeight="1" x14ac:dyDescent="0.25">
      <c r="C71" s="10">
        <v>58</v>
      </c>
      <c r="D71" s="11">
        <v>45219</v>
      </c>
      <c r="E71" s="10">
        <v>459</v>
      </c>
      <c r="F71" s="22" t="s">
        <v>284</v>
      </c>
      <c r="G71" s="7">
        <v>700</v>
      </c>
      <c r="H71" s="12">
        <v>159</v>
      </c>
      <c r="I71" s="7"/>
      <c r="J71" s="7">
        <v>700</v>
      </c>
      <c r="K71" s="7"/>
      <c r="L71" s="7"/>
      <c r="M71" s="7"/>
      <c r="N71" s="7"/>
      <c r="O71" s="7"/>
      <c r="P71" s="7"/>
      <c r="Q71" s="7"/>
      <c r="R71" s="7"/>
      <c r="T71" s="1"/>
    </row>
    <row r="72" spans="3:20" ht="15.75" customHeight="1" x14ac:dyDescent="0.25">
      <c r="C72" s="10">
        <v>59</v>
      </c>
      <c r="D72" s="11">
        <v>45219</v>
      </c>
      <c r="E72" s="10">
        <v>460</v>
      </c>
      <c r="F72" s="22" t="s">
        <v>71</v>
      </c>
      <c r="G72" s="7">
        <v>500</v>
      </c>
      <c r="H72" s="12">
        <v>166</v>
      </c>
      <c r="I72" s="7"/>
      <c r="J72" s="7"/>
      <c r="K72" s="7"/>
      <c r="L72" s="7"/>
      <c r="M72" s="7"/>
      <c r="N72" s="7">
        <v>500</v>
      </c>
      <c r="O72" s="7"/>
      <c r="P72" s="7"/>
      <c r="Q72" s="7"/>
      <c r="R72" s="7"/>
      <c r="T72" s="1"/>
    </row>
    <row r="73" spans="3:20" ht="15.75" customHeight="1" x14ac:dyDescent="0.25">
      <c r="C73" s="10">
        <v>60</v>
      </c>
      <c r="D73" s="11">
        <v>45219</v>
      </c>
      <c r="E73" s="10">
        <v>461</v>
      </c>
      <c r="F73" s="22" t="s">
        <v>112</v>
      </c>
      <c r="G73" s="7">
        <v>10000</v>
      </c>
      <c r="H73" s="12">
        <v>162</v>
      </c>
      <c r="I73" s="7"/>
      <c r="J73" s="7"/>
      <c r="K73" s="7"/>
      <c r="L73" s="7">
        <v>10000</v>
      </c>
      <c r="M73" s="7"/>
      <c r="N73" s="7"/>
      <c r="O73" s="7"/>
      <c r="P73" s="7"/>
      <c r="Q73" s="7"/>
      <c r="R73" s="7"/>
      <c r="T73" s="1"/>
    </row>
    <row r="74" spans="3:20" ht="15.75" customHeight="1" x14ac:dyDescent="0.25">
      <c r="C74" s="10">
        <v>61</v>
      </c>
      <c r="D74" s="11">
        <v>45219</v>
      </c>
      <c r="E74" s="10">
        <v>462</v>
      </c>
      <c r="F74" s="22" t="s">
        <v>190</v>
      </c>
      <c r="G74" s="7">
        <v>1500</v>
      </c>
      <c r="H74" s="12">
        <v>164</v>
      </c>
      <c r="I74" s="7"/>
      <c r="J74" s="7"/>
      <c r="K74" s="7"/>
      <c r="L74" s="7">
        <v>1500</v>
      </c>
      <c r="M74" s="7"/>
      <c r="N74" s="7"/>
      <c r="O74" s="7"/>
      <c r="P74" s="7"/>
      <c r="Q74" s="7"/>
      <c r="R74" s="7"/>
      <c r="T74" s="1"/>
    </row>
    <row r="75" spans="3:20" ht="15.75" customHeight="1" x14ac:dyDescent="0.25">
      <c r="C75" s="10">
        <v>62</v>
      </c>
      <c r="D75" s="11">
        <v>45219</v>
      </c>
      <c r="E75" s="10">
        <v>463</v>
      </c>
      <c r="F75" s="22" t="s">
        <v>40</v>
      </c>
      <c r="G75" s="7">
        <v>300</v>
      </c>
      <c r="H75" s="12">
        <v>168</v>
      </c>
      <c r="I75" s="7"/>
      <c r="J75" s="7"/>
      <c r="K75" s="7"/>
      <c r="L75" s="7">
        <v>300</v>
      </c>
      <c r="M75" s="7"/>
      <c r="N75" s="7"/>
      <c r="O75" s="7"/>
      <c r="P75" s="7"/>
      <c r="Q75" s="7"/>
      <c r="R75" s="7"/>
      <c r="T75" s="1"/>
    </row>
    <row r="76" spans="3:20" ht="15.75" customHeight="1" x14ac:dyDescent="0.25">
      <c r="C76" s="10">
        <v>63</v>
      </c>
      <c r="D76" s="11">
        <v>45220</v>
      </c>
      <c r="E76" s="10">
        <v>464</v>
      </c>
      <c r="F76" s="22" t="s">
        <v>37</v>
      </c>
      <c r="G76" s="7">
        <v>500</v>
      </c>
      <c r="H76" s="12">
        <v>125</v>
      </c>
      <c r="I76" s="7">
        <v>500</v>
      </c>
      <c r="J76" s="7"/>
      <c r="K76" s="7"/>
      <c r="L76" s="7"/>
      <c r="M76" s="7"/>
      <c r="N76" s="7"/>
      <c r="O76" s="7"/>
      <c r="P76" s="7"/>
      <c r="Q76" s="7"/>
      <c r="R76" s="7"/>
    </row>
    <row r="77" spans="3:20" ht="15.75" customHeight="1" x14ac:dyDescent="0.25">
      <c r="C77" s="10">
        <v>64</v>
      </c>
      <c r="D77" s="11">
        <v>45222</v>
      </c>
      <c r="E77" s="10">
        <v>465</v>
      </c>
      <c r="F77" s="22" t="s">
        <v>193</v>
      </c>
      <c r="G77" s="7">
        <v>1600</v>
      </c>
      <c r="H77" s="12">
        <v>120</v>
      </c>
      <c r="I77" s="7">
        <v>1600</v>
      </c>
      <c r="J77" s="7"/>
      <c r="K77" s="7"/>
      <c r="L77" s="7"/>
      <c r="M77" s="7"/>
      <c r="N77" s="7"/>
      <c r="O77" s="7"/>
      <c r="P77" s="7"/>
      <c r="Q77" s="7"/>
      <c r="R77" s="7"/>
    </row>
    <row r="78" spans="3:20" ht="15.75" customHeight="1" x14ac:dyDescent="0.25">
      <c r="C78" s="10">
        <v>65</v>
      </c>
      <c r="D78" s="11">
        <v>45224</v>
      </c>
      <c r="E78" s="10" t="s">
        <v>320</v>
      </c>
      <c r="F78" s="22" t="s">
        <v>49</v>
      </c>
      <c r="G78" s="7">
        <v>2000</v>
      </c>
      <c r="H78" s="12">
        <v>165</v>
      </c>
      <c r="I78" s="7"/>
      <c r="J78" s="7"/>
      <c r="K78" s="7"/>
      <c r="L78" s="7">
        <v>2000</v>
      </c>
      <c r="M78" s="7"/>
      <c r="N78" s="7"/>
      <c r="O78" s="7"/>
      <c r="P78" s="7"/>
      <c r="Q78" s="7"/>
      <c r="R78" s="7"/>
    </row>
    <row r="79" spans="3:20" ht="15.75" customHeight="1" x14ac:dyDescent="0.25">
      <c r="C79" s="10">
        <v>66</v>
      </c>
      <c r="D79" s="11">
        <v>45225</v>
      </c>
      <c r="E79" s="10">
        <v>468</v>
      </c>
      <c r="F79" s="22" t="s">
        <v>248</v>
      </c>
      <c r="G79" s="7">
        <v>1510</v>
      </c>
      <c r="H79" s="12" t="s">
        <v>321</v>
      </c>
      <c r="I79" s="7">
        <v>660</v>
      </c>
      <c r="J79" s="7"/>
      <c r="K79" s="7"/>
      <c r="L79" s="7"/>
      <c r="M79" s="7"/>
      <c r="N79" s="7"/>
      <c r="O79" s="7"/>
      <c r="P79" s="7"/>
      <c r="Q79" s="7">
        <v>850</v>
      </c>
      <c r="R79" s="7"/>
    </row>
    <row r="80" spans="3:20" ht="15.75" customHeight="1" x14ac:dyDescent="0.25">
      <c r="C80" s="10">
        <v>67</v>
      </c>
      <c r="D80" s="11">
        <v>45225</v>
      </c>
      <c r="E80" s="10" t="s">
        <v>322</v>
      </c>
      <c r="F80" s="22" t="s">
        <v>268</v>
      </c>
      <c r="G80" s="7">
        <v>500</v>
      </c>
      <c r="H80" s="12">
        <v>158</v>
      </c>
      <c r="I80" s="7"/>
      <c r="J80" s="7">
        <v>500</v>
      </c>
      <c r="K80" s="7"/>
      <c r="L80" s="7"/>
      <c r="M80" s="7"/>
      <c r="N80" s="7"/>
      <c r="O80" s="7"/>
      <c r="P80" s="7"/>
      <c r="Q80" s="7"/>
      <c r="R80" s="7"/>
    </row>
    <row r="81" spans="3:18" ht="15.75" customHeight="1" x14ac:dyDescent="0.25">
      <c r="C81" s="10">
        <v>68</v>
      </c>
      <c r="D81" s="11">
        <v>45225</v>
      </c>
      <c r="E81" s="10" t="s">
        <v>323</v>
      </c>
      <c r="F81" s="22" t="s">
        <v>32</v>
      </c>
      <c r="G81" s="7">
        <v>700</v>
      </c>
      <c r="H81" s="12">
        <v>200</v>
      </c>
      <c r="I81" s="7"/>
      <c r="J81" s="7"/>
      <c r="K81" s="7"/>
      <c r="L81" s="7"/>
      <c r="M81" s="7"/>
      <c r="N81" s="7"/>
      <c r="O81" s="7"/>
      <c r="P81" s="7"/>
      <c r="Q81" s="7"/>
      <c r="R81" s="7">
        <v>700</v>
      </c>
    </row>
    <row r="82" spans="3:18" ht="15.75" customHeight="1" x14ac:dyDescent="0.25">
      <c r="C82" s="10">
        <v>69</v>
      </c>
      <c r="D82" s="11">
        <v>45226</v>
      </c>
      <c r="E82" s="10">
        <v>469</v>
      </c>
      <c r="F82" s="22" t="s">
        <v>112</v>
      </c>
      <c r="G82" s="7">
        <v>8000</v>
      </c>
      <c r="H82" s="12" t="s">
        <v>324</v>
      </c>
      <c r="I82" s="7"/>
      <c r="J82" s="7"/>
      <c r="K82" s="7"/>
      <c r="L82" s="7">
        <v>6000</v>
      </c>
      <c r="M82" s="7"/>
      <c r="N82" s="7"/>
      <c r="O82" s="7"/>
      <c r="P82" s="7"/>
      <c r="Q82" s="7"/>
      <c r="R82" s="7">
        <v>2000</v>
      </c>
    </row>
    <row r="83" spans="3:18" ht="15.75" customHeight="1" x14ac:dyDescent="0.25">
      <c r="C83" s="10">
        <v>70</v>
      </c>
      <c r="D83" s="11">
        <v>45226</v>
      </c>
      <c r="E83" s="10">
        <v>470</v>
      </c>
      <c r="F83" s="22" t="s">
        <v>325</v>
      </c>
      <c r="G83" s="7">
        <v>500</v>
      </c>
      <c r="H83" s="12">
        <v>209</v>
      </c>
      <c r="I83" s="7"/>
      <c r="J83" s="7"/>
      <c r="K83" s="7"/>
      <c r="L83" s="7"/>
      <c r="M83" s="7"/>
      <c r="N83" s="7"/>
      <c r="O83" s="7"/>
      <c r="P83" s="7"/>
      <c r="Q83" s="7"/>
      <c r="R83" s="7">
        <v>500</v>
      </c>
    </row>
    <row r="84" spans="3:18" ht="15.75" customHeight="1" x14ac:dyDescent="0.25">
      <c r="C84" s="10">
        <v>71</v>
      </c>
      <c r="D84" s="11">
        <v>45226</v>
      </c>
      <c r="E84" s="10">
        <v>472</v>
      </c>
      <c r="F84" s="22" t="s">
        <v>284</v>
      </c>
      <c r="G84" s="7">
        <v>520</v>
      </c>
      <c r="H84" s="12" t="s">
        <v>326</v>
      </c>
      <c r="I84" s="7">
        <v>20</v>
      </c>
      <c r="J84" s="7"/>
      <c r="K84" s="7"/>
      <c r="L84" s="7"/>
      <c r="M84" s="7"/>
      <c r="N84" s="7"/>
      <c r="O84" s="7"/>
      <c r="P84" s="7"/>
      <c r="Q84" s="14"/>
      <c r="R84" s="14">
        <v>500</v>
      </c>
    </row>
    <row r="85" spans="3:18" ht="15.75" customHeight="1" x14ac:dyDescent="0.25">
      <c r="C85" s="10">
        <v>72</v>
      </c>
      <c r="D85" s="11">
        <v>45226</v>
      </c>
      <c r="E85" s="10" t="s">
        <v>327</v>
      </c>
      <c r="F85" s="22" t="s">
        <v>43</v>
      </c>
      <c r="G85" s="7">
        <v>1000</v>
      </c>
      <c r="H85" s="12">
        <v>162</v>
      </c>
      <c r="I85" s="7"/>
      <c r="J85" s="7"/>
      <c r="K85" s="7"/>
      <c r="L85" s="7">
        <v>1000</v>
      </c>
      <c r="M85" s="7"/>
      <c r="N85" s="7"/>
      <c r="O85" s="7"/>
      <c r="P85" s="7"/>
      <c r="Q85" s="7"/>
      <c r="R85" s="7"/>
    </row>
    <row r="86" spans="3:18" ht="15.75" customHeight="1" x14ac:dyDescent="0.25">
      <c r="C86" s="10">
        <v>73</v>
      </c>
      <c r="D86" s="11">
        <v>45227</v>
      </c>
      <c r="E86" s="10" t="s">
        <v>328</v>
      </c>
      <c r="F86" s="22" t="s">
        <v>268</v>
      </c>
      <c r="G86" s="7">
        <v>500</v>
      </c>
      <c r="H86" s="12">
        <v>200</v>
      </c>
      <c r="I86" s="7"/>
      <c r="J86" s="7"/>
      <c r="K86" s="7"/>
      <c r="L86" s="7"/>
      <c r="M86" s="7"/>
      <c r="N86" s="7"/>
      <c r="O86" s="7"/>
      <c r="P86" s="7"/>
      <c r="Q86" s="7"/>
      <c r="R86" s="7">
        <v>500</v>
      </c>
    </row>
    <row r="87" spans="3:18" ht="15.75" customHeight="1" x14ac:dyDescent="0.25">
      <c r="C87" s="10">
        <v>74</v>
      </c>
      <c r="D87" s="11">
        <v>45227</v>
      </c>
      <c r="E87" s="10" t="s">
        <v>27</v>
      </c>
      <c r="F87" s="22" t="s">
        <v>30</v>
      </c>
      <c r="G87" s="7">
        <v>300</v>
      </c>
      <c r="H87" s="12" t="s">
        <v>329</v>
      </c>
      <c r="I87" s="7"/>
      <c r="J87" s="7"/>
      <c r="K87" s="7"/>
      <c r="L87" s="7">
        <v>100</v>
      </c>
      <c r="M87" s="7"/>
      <c r="N87" s="7"/>
      <c r="O87" s="7"/>
      <c r="P87" s="7">
        <v>200</v>
      </c>
      <c r="Q87" s="7"/>
      <c r="R87" s="7"/>
    </row>
    <row r="88" spans="3:18" ht="15.75" customHeight="1" x14ac:dyDescent="0.25">
      <c r="C88" s="10">
        <v>75</v>
      </c>
      <c r="D88" s="11">
        <v>45229</v>
      </c>
      <c r="E88" s="10">
        <v>475</v>
      </c>
      <c r="F88" s="22" t="s">
        <v>190</v>
      </c>
      <c r="G88" s="7">
        <v>1100</v>
      </c>
      <c r="H88" s="12" t="s">
        <v>330</v>
      </c>
      <c r="I88" s="7"/>
      <c r="J88" s="7"/>
      <c r="K88" s="7"/>
      <c r="L88" s="7"/>
      <c r="M88" s="7"/>
      <c r="N88" s="7"/>
      <c r="O88" s="7"/>
      <c r="P88" s="7">
        <v>500</v>
      </c>
      <c r="Q88" s="7"/>
      <c r="R88" s="7">
        <v>600</v>
      </c>
    </row>
    <row r="89" spans="3:18" ht="15.75" customHeight="1" x14ac:dyDescent="0.25">
      <c r="C89" s="10">
        <v>76</v>
      </c>
      <c r="D89" s="11">
        <v>45229</v>
      </c>
      <c r="E89" s="10">
        <v>477</v>
      </c>
      <c r="F89" s="22" t="s">
        <v>331</v>
      </c>
      <c r="G89" s="7">
        <v>40</v>
      </c>
      <c r="H89" s="12">
        <v>195</v>
      </c>
      <c r="I89" s="7"/>
      <c r="J89" s="7"/>
      <c r="K89" s="7"/>
      <c r="L89" s="7"/>
      <c r="M89" s="7"/>
      <c r="N89" s="7"/>
      <c r="O89" s="7"/>
      <c r="P89" s="7"/>
      <c r="Q89" s="7"/>
      <c r="R89" s="7">
        <v>40</v>
      </c>
    </row>
    <row r="90" spans="3:18" ht="15.75" customHeight="1" x14ac:dyDescent="0.25">
      <c r="C90" s="10">
        <v>77</v>
      </c>
      <c r="D90" s="11">
        <v>45229</v>
      </c>
      <c r="E90" s="10" t="s">
        <v>27</v>
      </c>
      <c r="F90" s="22" t="s">
        <v>69</v>
      </c>
      <c r="G90" s="7">
        <v>340</v>
      </c>
      <c r="H90" s="12">
        <v>205</v>
      </c>
      <c r="I90" s="7"/>
      <c r="J90" s="7"/>
      <c r="K90" s="7"/>
      <c r="L90" s="7"/>
      <c r="M90" s="7"/>
      <c r="N90" s="7"/>
      <c r="O90" s="7"/>
      <c r="P90" s="7"/>
      <c r="Q90" s="7"/>
      <c r="R90" s="7">
        <v>340</v>
      </c>
    </row>
    <row r="91" spans="3:18" ht="15.75" customHeight="1" x14ac:dyDescent="0.25">
      <c r="C91" s="10">
        <v>78</v>
      </c>
      <c r="D91" s="11">
        <v>45229</v>
      </c>
      <c r="E91" s="10">
        <v>479</v>
      </c>
      <c r="F91" s="22" t="s">
        <v>52</v>
      </c>
      <c r="G91" s="7">
        <v>4000</v>
      </c>
      <c r="H91" s="12" t="s">
        <v>332</v>
      </c>
      <c r="I91" s="7">
        <v>4000</v>
      </c>
      <c r="J91" s="7"/>
      <c r="K91" s="7"/>
      <c r="L91" s="7"/>
      <c r="M91" s="7"/>
      <c r="N91" s="7"/>
      <c r="O91" s="7"/>
      <c r="P91" s="7"/>
      <c r="Q91" s="7"/>
      <c r="R91" s="7"/>
    </row>
    <row r="92" spans="3:18" ht="15.75" customHeight="1" x14ac:dyDescent="0.25">
      <c r="C92" s="10">
        <v>79</v>
      </c>
      <c r="D92" s="11">
        <v>45229</v>
      </c>
      <c r="E92" s="10">
        <v>480</v>
      </c>
      <c r="F92" s="22" t="s">
        <v>37</v>
      </c>
      <c r="G92" s="7">
        <v>500</v>
      </c>
      <c r="H92" s="12">
        <v>125</v>
      </c>
      <c r="I92" s="7">
        <v>500</v>
      </c>
      <c r="J92" s="7"/>
      <c r="K92" s="7"/>
      <c r="L92" s="7"/>
      <c r="M92" s="7"/>
      <c r="N92" s="7"/>
      <c r="O92" s="7"/>
      <c r="P92" s="7"/>
      <c r="Q92" s="7"/>
      <c r="R92" s="7"/>
    </row>
    <row r="93" spans="3:18" ht="15.75" customHeight="1" x14ac:dyDescent="0.25">
      <c r="C93" s="10">
        <v>80</v>
      </c>
      <c r="D93" s="11">
        <v>45229</v>
      </c>
      <c r="E93" s="10">
        <v>481</v>
      </c>
      <c r="F93" s="22" t="s">
        <v>220</v>
      </c>
      <c r="G93" s="7">
        <v>1000</v>
      </c>
      <c r="H93" s="12">
        <v>163</v>
      </c>
      <c r="I93" s="7"/>
      <c r="J93" s="7"/>
      <c r="K93" s="7"/>
      <c r="L93" s="7"/>
      <c r="M93" s="7"/>
      <c r="N93" s="7">
        <v>1000</v>
      </c>
      <c r="O93" s="7"/>
      <c r="P93" s="7"/>
      <c r="Q93" s="7"/>
      <c r="R93" s="7"/>
    </row>
    <row r="94" spans="3:18" ht="15.75" customHeight="1" x14ac:dyDescent="0.25">
      <c r="C94" s="10">
        <v>81</v>
      </c>
      <c r="D94" s="11">
        <v>45230</v>
      </c>
      <c r="E94" s="10">
        <v>482</v>
      </c>
      <c r="F94" s="22" t="s">
        <v>333</v>
      </c>
      <c r="G94" s="7">
        <v>1000</v>
      </c>
      <c r="H94" s="12">
        <v>147</v>
      </c>
      <c r="I94" s="7"/>
      <c r="J94" s="7">
        <v>1000</v>
      </c>
      <c r="K94" s="7"/>
      <c r="L94" s="7"/>
      <c r="M94" s="7"/>
      <c r="N94" s="7"/>
      <c r="O94" s="7"/>
      <c r="P94" s="7"/>
      <c r="Q94" s="7"/>
      <c r="R94" s="7"/>
    </row>
    <row r="95" spans="3:18" ht="15.75" customHeight="1" x14ac:dyDescent="0.25">
      <c r="C95" s="13" t="s">
        <v>3</v>
      </c>
      <c r="D95" s="14"/>
      <c r="E95" s="13"/>
      <c r="F95" s="25"/>
      <c r="G95" s="14">
        <f>SUM(G15:G94)</f>
        <v>149595</v>
      </c>
      <c r="H95" s="14"/>
      <c r="I95" s="14">
        <f t="shared" ref="I95:R95" si="5">SUM(I15:I94)</f>
        <v>66140</v>
      </c>
      <c r="J95" s="14">
        <f t="shared" si="5"/>
        <v>8450</v>
      </c>
      <c r="K95" s="14">
        <f t="shared" si="5"/>
        <v>0</v>
      </c>
      <c r="L95" s="14">
        <f t="shared" si="5"/>
        <v>33725</v>
      </c>
      <c r="M95" s="14">
        <f t="shared" si="5"/>
        <v>0</v>
      </c>
      <c r="N95" s="14">
        <f t="shared" si="5"/>
        <v>20600</v>
      </c>
      <c r="O95" s="14">
        <f t="shared" si="5"/>
        <v>4150</v>
      </c>
      <c r="P95" s="14">
        <f t="shared" si="5"/>
        <v>2350</v>
      </c>
      <c r="Q95" s="14">
        <f t="shared" si="5"/>
        <v>9000</v>
      </c>
      <c r="R95" s="14">
        <f t="shared" si="5"/>
        <v>5180</v>
      </c>
    </row>
    <row r="96" spans="3:18" ht="15.75" customHeight="1" x14ac:dyDescent="0.25">
      <c r="C96" s="1"/>
      <c r="E96" s="1"/>
      <c r="F96" s="16"/>
    </row>
    <row r="97" spans="3:6" ht="15.75" customHeight="1" x14ac:dyDescent="0.25">
      <c r="C97" s="1"/>
      <c r="D97" s="1"/>
      <c r="E97" s="1"/>
      <c r="F97" s="16"/>
    </row>
    <row r="98" spans="3:6" ht="15.75" customHeight="1" x14ac:dyDescent="0.25">
      <c r="E98" s="1"/>
      <c r="F98" s="16"/>
    </row>
    <row r="99" spans="3:6" ht="15.75" customHeight="1" x14ac:dyDescent="0.25"/>
    <row r="100" spans="3:6" ht="15.75" customHeight="1" x14ac:dyDescent="0.25"/>
    <row r="101" spans="3:6" ht="15.75" customHeight="1" x14ac:dyDescent="0.25"/>
    <row r="102" spans="3:6" ht="15.75" customHeight="1" x14ac:dyDescent="0.25"/>
    <row r="103" spans="3:6" ht="15.75" customHeight="1" x14ac:dyDescent="0.25"/>
    <row r="104" spans="3:6" ht="15.75" customHeight="1" x14ac:dyDescent="0.25"/>
    <row r="105" spans="3:6" ht="15.75" customHeight="1" x14ac:dyDescent="0.25"/>
    <row r="106" spans="3:6" ht="15.75" customHeight="1" x14ac:dyDescent="0.25"/>
    <row r="107" spans="3:6" ht="15.75" customHeight="1" x14ac:dyDescent="0.25"/>
    <row r="108" spans="3:6" ht="15.75" customHeight="1" x14ac:dyDescent="0.25"/>
    <row r="109" spans="3:6" ht="15.75" customHeight="1" x14ac:dyDescent="0.25"/>
    <row r="110" spans="3:6" ht="15.75" customHeight="1" x14ac:dyDescent="0.25"/>
    <row r="111" spans="3:6" ht="15.75" customHeight="1" x14ac:dyDescent="0.25"/>
    <row r="112" spans="3:6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U29:W29"/>
    <mergeCell ref="U30:W30"/>
    <mergeCell ref="U31:W31"/>
    <mergeCell ref="U14:X14"/>
    <mergeCell ref="U15:W15"/>
    <mergeCell ref="U26:W26"/>
    <mergeCell ref="U27:W27"/>
    <mergeCell ref="U28:W28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C3:W1000"/>
  <sheetViews>
    <sheetView workbookViewId="0"/>
  </sheetViews>
  <sheetFormatPr defaultColWidth="14.42578125" defaultRowHeight="15" customHeight="1" x14ac:dyDescent="0.25"/>
  <cols>
    <col min="1" max="3" width="8.7109375" customWidth="1"/>
    <col min="4" max="4" width="12.140625" customWidth="1"/>
    <col min="5" max="5" width="10.140625" customWidth="1"/>
    <col min="6" max="14" width="8.7109375" customWidth="1"/>
    <col min="15" max="15" width="10.28515625" customWidth="1"/>
    <col min="16" max="16" width="10" customWidth="1"/>
    <col min="17" max="17" width="10.28515625" customWidth="1"/>
    <col min="18" max="20" width="8.7109375" customWidth="1"/>
    <col min="21" max="21" width="11" customWidth="1"/>
    <col min="22" max="26" width="8.7109375" customWidth="1"/>
  </cols>
  <sheetData>
    <row r="3" spans="3:23" ht="15.75" x14ac:dyDescent="0.25">
      <c r="C3" s="1"/>
      <c r="D3" s="2" t="s">
        <v>334</v>
      </c>
      <c r="E3" s="17"/>
      <c r="F3" s="18"/>
      <c r="G3" s="2"/>
      <c r="H3" s="2"/>
      <c r="I3" s="2"/>
      <c r="J3" s="2"/>
      <c r="K3" s="8"/>
      <c r="L3" s="2"/>
      <c r="M3" s="3"/>
      <c r="N3" s="3"/>
      <c r="O3" s="65" t="s">
        <v>88</v>
      </c>
      <c r="P3" s="60" t="s">
        <v>2</v>
      </c>
      <c r="Q3" s="66" t="s">
        <v>117</v>
      </c>
    </row>
    <row r="4" spans="3:23" ht="15.75" x14ac:dyDescent="0.25">
      <c r="C4" s="1"/>
      <c r="D4" s="67" t="s">
        <v>1</v>
      </c>
      <c r="E4" s="44" t="s">
        <v>2</v>
      </c>
      <c r="F4" s="45">
        <v>1799</v>
      </c>
      <c r="G4" s="46">
        <v>2699</v>
      </c>
      <c r="H4" s="46">
        <v>588</v>
      </c>
      <c r="I4" s="46">
        <v>2088</v>
      </c>
      <c r="J4" s="46">
        <v>2488</v>
      </c>
      <c r="K4" s="46">
        <v>2688</v>
      </c>
      <c r="L4" s="45">
        <v>3099</v>
      </c>
      <c r="M4" s="62" t="s">
        <v>295</v>
      </c>
      <c r="N4" s="45" t="s">
        <v>3</v>
      </c>
      <c r="O4" s="47"/>
      <c r="P4" s="42"/>
      <c r="Q4" s="42"/>
    </row>
    <row r="5" spans="3:23" ht="18.75" x14ac:dyDescent="0.3">
      <c r="C5" s="1"/>
      <c r="D5" s="6" t="s">
        <v>259</v>
      </c>
      <c r="E5" s="7">
        <v>209193</v>
      </c>
      <c r="F5" s="7">
        <v>43925</v>
      </c>
      <c r="G5" s="7">
        <v>2275</v>
      </c>
      <c r="H5" s="7">
        <v>0</v>
      </c>
      <c r="I5" s="7">
        <v>3550</v>
      </c>
      <c r="J5" s="7">
        <v>0</v>
      </c>
      <c r="K5" s="7">
        <v>5850</v>
      </c>
      <c r="L5" s="7">
        <v>0</v>
      </c>
      <c r="M5" s="7">
        <v>13820</v>
      </c>
      <c r="N5" s="7">
        <f t="shared" ref="N5:N7" si="0">SUM(E5:M5)</f>
        <v>278613</v>
      </c>
      <c r="O5" s="68">
        <f t="shared" ref="O5:O8" si="1">SUM(F5:M5)</f>
        <v>69420</v>
      </c>
      <c r="P5" s="69">
        <f t="shared" ref="P5:P8" si="2">E5</f>
        <v>209193</v>
      </c>
      <c r="Q5" s="70">
        <f t="shared" ref="Q5:Q6" si="3">O5+P5</f>
        <v>278613</v>
      </c>
    </row>
    <row r="6" spans="3:23" ht="18.75" x14ac:dyDescent="0.3">
      <c r="C6" s="1"/>
      <c r="D6" s="6" t="s">
        <v>296</v>
      </c>
      <c r="E6" s="7">
        <f>W24</f>
        <v>0</v>
      </c>
      <c r="F6" s="7"/>
      <c r="G6" s="7">
        <v>18000</v>
      </c>
      <c r="H6" s="7">
        <v>8000</v>
      </c>
      <c r="I6" s="7"/>
      <c r="J6" s="7">
        <v>18000</v>
      </c>
      <c r="K6" s="7">
        <v>10000</v>
      </c>
      <c r="L6" s="7">
        <v>18000</v>
      </c>
      <c r="M6" s="7"/>
      <c r="N6" s="7">
        <f t="shared" si="0"/>
        <v>72000</v>
      </c>
      <c r="O6" s="68">
        <f t="shared" si="1"/>
        <v>72000</v>
      </c>
      <c r="P6" s="69">
        <f t="shared" si="2"/>
        <v>0</v>
      </c>
      <c r="Q6" s="70">
        <f t="shared" si="3"/>
        <v>72000</v>
      </c>
    </row>
    <row r="7" spans="3:23" ht="21" x14ac:dyDescent="0.35">
      <c r="C7" s="1"/>
      <c r="D7" s="71" t="s">
        <v>335</v>
      </c>
      <c r="E7" s="48">
        <f>'Nov 2023'!$I$93</f>
        <v>14440</v>
      </c>
      <c r="F7" s="48">
        <f>'Nov 2023'!$J$93</f>
        <v>5850</v>
      </c>
      <c r="G7" s="49">
        <f>'Nov 2023'!$K$93</f>
        <v>4275</v>
      </c>
      <c r="H7" s="49">
        <f>'Nov 2023'!$L$93</f>
        <v>2800</v>
      </c>
      <c r="I7" s="49">
        <f>'Nov 2023'!$M$93</f>
        <v>3800</v>
      </c>
      <c r="J7" s="49">
        <f>'Nov 2023'!$N$93</f>
        <v>6275</v>
      </c>
      <c r="K7" s="49">
        <f>'Nov 2023'!$O$93</f>
        <v>6600</v>
      </c>
      <c r="L7" s="49">
        <f>'Nov 2023'!$P$93</f>
        <v>1600</v>
      </c>
      <c r="M7" s="49">
        <f>'Nov 2023'!$Q$93</f>
        <v>3300</v>
      </c>
      <c r="N7" s="72">
        <f t="shared" si="0"/>
        <v>48940</v>
      </c>
      <c r="O7" s="73">
        <f t="shared" si="1"/>
        <v>34500</v>
      </c>
      <c r="P7" s="74">
        <f t="shared" si="2"/>
        <v>14440</v>
      </c>
      <c r="Q7" s="75">
        <f t="shared" ref="Q7:Q8" si="4">SUM(O7,P7)</f>
        <v>48940</v>
      </c>
    </row>
    <row r="8" spans="3:23" ht="17.25" x14ac:dyDescent="0.3">
      <c r="C8" s="1"/>
      <c r="D8" s="6" t="s">
        <v>261</v>
      </c>
      <c r="E8" s="12">
        <f t="shared" ref="E8:N8" si="5">SUM(E5,E6-E7)</f>
        <v>194753</v>
      </c>
      <c r="F8" s="12">
        <f t="shared" si="5"/>
        <v>38075</v>
      </c>
      <c r="G8" s="12">
        <f t="shared" si="5"/>
        <v>16000</v>
      </c>
      <c r="H8" s="12">
        <f t="shared" si="5"/>
        <v>5200</v>
      </c>
      <c r="I8" s="12">
        <f t="shared" si="5"/>
        <v>-250</v>
      </c>
      <c r="J8" s="12">
        <f t="shared" si="5"/>
        <v>11725</v>
      </c>
      <c r="K8" s="12">
        <f t="shared" si="5"/>
        <v>9250</v>
      </c>
      <c r="L8" s="12">
        <f t="shared" si="5"/>
        <v>16400</v>
      </c>
      <c r="M8" s="12">
        <f t="shared" si="5"/>
        <v>10520</v>
      </c>
      <c r="N8" s="12">
        <f t="shared" si="5"/>
        <v>301673</v>
      </c>
      <c r="O8" s="55">
        <f t="shared" si="1"/>
        <v>106920</v>
      </c>
      <c r="P8" s="56">
        <f t="shared" si="2"/>
        <v>194753</v>
      </c>
      <c r="Q8" s="57">
        <f t="shared" si="4"/>
        <v>301673</v>
      </c>
    </row>
    <row r="9" spans="3:23" x14ac:dyDescent="0.25">
      <c r="C9" s="1"/>
      <c r="E9" s="1"/>
      <c r="F9" s="16"/>
    </row>
    <row r="10" spans="3:23" x14ac:dyDescent="0.25">
      <c r="C10" s="1"/>
      <c r="E10" s="1"/>
      <c r="F10" s="16"/>
    </row>
    <row r="11" spans="3:23" x14ac:dyDescent="0.25">
      <c r="C11" s="1"/>
      <c r="E11" s="1"/>
      <c r="F11" s="16"/>
    </row>
    <row r="12" spans="3:23" ht="15.75" x14ac:dyDescent="0.25">
      <c r="C12" s="9" t="s">
        <v>8</v>
      </c>
      <c r="D12" s="4" t="s">
        <v>9</v>
      </c>
      <c r="E12" s="20" t="s">
        <v>10</v>
      </c>
      <c r="F12" s="20" t="s">
        <v>11</v>
      </c>
      <c r="G12" s="4" t="s">
        <v>4</v>
      </c>
      <c r="H12" s="4" t="s">
        <v>12</v>
      </c>
      <c r="I12" s="4" t="s">
        <v>2</v>
      </c>
      <c r="J12" s="4" t="s">
        <v>13</v>
      </c>
      <c r="K12" s="4" t="s">
        <v>15</v>
      </c>
      <c r="L12" s="4" t="s">
        <v>16</v>
      </c>
      <c r="M12" s="4" t="s">
        <v>17</v>
      </c>
      <c r="N12" s="4" t="s">
        <v>18</v>
      </c>
      <c r="O12" s="4" t="s">
        <v>19</v>
      </c>
      <c r="P12" s="39" t="s">
        <v>204</v>
      </c>
      <c r="Q12" s="63" t="s">
        <v>295</v>
      </c>
      <c r="T12" s="101" t="s">
        <v>118</v>
      </c>
      <c r="U12" s="102"/>
      <c r="V12" s="102"/>
      <c r="W12" s="102"/>
    </row>
    <row r="13" spans="3:23" x14ac:dyDescent="0.25">
      <c r="C13" s="10">
        <v>1</v>
      </c>
      <c r="D13" s="11">
        <v>45231</v>
      </c>
      <c r="E13" s="10">
        <v>483</v>
      </c>
      <c r="F13" s="22" t="s">
        <v>336</v>
      </c>
      <c r="G13" s="7">
        <v>2000</v>
      </c>
      <c r="H13" s="12">
        <v>163</v>
      </c>
      <c r="I13" s="7"/>
      <c r="J13" s="7"/>
      <c r="K13" s="7"/>
      <c r="L13" s="7"/>
      <c r="M13" s="7">
        <v>2000</v>
      </c>
      <c r="N13" s="7"/>
      <c r="O13" s="7"/>
      <c r="P13" s="7"/>
      <c r="Q13" s="40"/>
      <c r="T13" s="97" t="s">
        <v>172</v>
      </c>
      <c r="U13" s="98"/>
      <c r="V13" s="98"/>
      <c r="W13" s="34"/>
    </row>
    <row r="14" spans="3:23" x14ac:dyDescent="0.25">
      <c r="C14" s="10">
        <v>2</v>
      </c>
      <c r="D14" s="11">
        <v>45231</v>
      </c>
      <c r="E14" s="10">
        <v>484</v>
      </c>
      <c r="F14" s="22" t="s">
        <v>44</v>
      </c>
      <c r="G14" s="7">
        <v>3000</v>
      </c>
      <c r="H14" s="12">
        <v>170</v>
      </c>
      <c r="I14" s="7"/>
      <c r="J14" s="7"/>
      <c r="K14" s="7"/>
      <c r="L14" s="7"/>
      <c r="M14" s="7"/>
      <c r="N14" s="7"/>
      <c r="O14" s="7">
        <v>3000</v>
      </c>
      <c r="P14" s="7"/>
      <c r="Q14" s="7"/>
      <c r="T14" s="10" t="s">
        <v>121</v>
      </c>
      <c r="U14" s="7" t="s">
        <v>9</v>
      </c>
      <c r="V14" s="7" t="s">
        <v>122</v>
      </c>
      <c r="W14" s="7" t="s">
        <v>4</v>
      </c>
    </row>
    <row r="15" spans="3:23" x14ac:dyDescent="0.25">
      <c r="C15" s="10">
        <v>3</v>
      </c>
      <c r="D15" s="11">
        <v>45231</v>
      </c>
      <c r="E15" s="10" t="s">
        <v>27</v>
      </c>
      <c r="F15" s="22" t="s">
        <v>69</v>
      </c>
      <c r="G15" s="7">
        <v>500</v>
      </c>
      <c r="H15" s="12">
        <v>119</v>
      </c>
      <c r="I15" s="7">
        <v>500</v>
      </c>
      <c r="J15" s="7"/>
      <c r="K15" s="7"/>
      <c r="L15" s="7"/>
      <c r="M15" s="7"/>
      <c r="N15" s="7"/>
      <c r="O15" s="7"/>
      <c r="P15" s="7"/>
      <c r="Q15" s="7"/>
      <c r="T15" s="10">
        <v>1</v>
      </c>
      <c r="U15" s="41"/>
      <c r="V15" s="7"/>
      <c r="W15" s="7"/>
    </row>
    <row r="16" spans="3:23" x14ac:dyDescent="0.25">
      <c r="C16" s="10">
        <v>4</v>
      </c>
      <c r="D16" s="11">
        <v>45231</v>
      </c>
      <c r="E16" s="10">
        <v>486</v>
      </c>
      <c r="F16" s="22" t="s">
        <v>71</v>
      </c>
      <c r="G16" s="7">
        <v>350</v>
      </c>
      <c r="H16" s="31">
        <v>163</v>
      </c>
      <c r="I16" s="7"/>
      <c r="J16" s="7"/>
      <c r="K16" s="7"/>
      <c r="L16" s="7"/>
      <c r="M16" s="7">
        <v>350</v>
      </c>
      <c r="N16" s="7"/>
      <c r="O16" s="7"/>
      <c r="P16" s="7"/>
      <c r="Q16" s="7"/>
      <c r="T16" s="10">
        <v>2</v>
      </c>
      <c r="U16" s="41"/>
      <c r="V16" s="7"/>
      <c r="W16" s="7"/>
    </row>
    <row r="17" spans="3:23" x14ac:dyDescent="0.25">
      <c r="C17" s="10">
        <v>5</v>
      </c>
      <c r="D17" s="11">
        <v>45231</v>
      </c>
      <c r="E17" s="10">
        <v>487</v>
      </c>
      <c r="F17" s="22" t="s">
        <v>48</v>
      </c>
      <c r="G17" s="7">
        <v>720</v>
      </c>
      <c r="H17" s="12" t="s">
        <v>337</v>
      </c>
      <c r="I17" s="7">
        <v>20</v>
      </c>
      <c r="J17" s="7"/>
      <c r="K17" s="7"/>
      <c r="L17" s="7"/>
      <c r="M17" s="7"/>
      <c r="N17" s="7">
        <v>700</v>
      </c>
      <c r="O17" s="7"/>
      <c r="P17" s="7"/>
      <c r="Q17" s="7"/>
      <c r="T17" s="10">
        <v>3</v>
      </c>
      <c r="U17" s="41"/>
      <c r="V17" s="7"/>
      <c r="W17" s="7"/>
    </row>
    <row r="18" spans="3:23" x14ac:dyDescent="0.25">
      <c r="C18" s="10">
        <v>6</v>
      </c>
      <c r="D18" s="11">
        <v>45232</v>
      </c>
      <c r="E18" s="10">
        <v>488</v>
      </c>
      <c r="F18" s="22" t="s">
        <v>71</v>
      </c>
      <c r="G18" s="7">
        <v>500</v>
      </c>
      <c r="H18" s="12">
        <v>163</v>
      </c>
      <c r="I18" s="7"/>
      <c r="J18" s="7"/>
      <c r="K18" s="7"/>
      <c r="L18" s="7"/>
      <c r="M18" s="7">
        <v>500</v>
      </c>
      <c r="N18" s="7"/>
      <c r="O18" s="7"/>
      <c r="P18" s="7"/>
      <c r="Q18" s="7"/>
      <c r="T18" s="10">
        <v>4</v>
      </c>
      <c r="U18" s="41"/>
      <c r="V18" s="7"/>
      <c r="W18" s="7"/>
    </row>
    <row r="19" spans="3:23" x14ac:dyDescent="0.25">
      <c r="C19" s="10">
        <v>7</v>
      </c>
      <c r="D19" s="11">
        <v>45232</v>
      </c>
      <c r="E19" s="10" t="s">
        <v>27</v>
      </c>
      <c r="F19" s="22" t="s">
        <v>73</v>
      </c>
      <c r="G19" s="7">
        <v>275</v>
      </c>
      <c r="H19" s="12">
        <v>169</v>
      </c>
      <c r="I19" s="7"/>
      <c r="J19" s="7"/>
      <c r="K19" s="7">
        <v>275</v>
      </c>
      <c r="L19" s="7"/>
      <c r="M19" s="7"/>
      <c r="N19" s="7"/>
      <c r="O19" s="7"/>
      <c r="P19" s="7"/>
      <c r="Q19" s="7"/>
      <c r="T19" s="10">
        <v>5</v>
      </c>
      <c r="U19" s="41"/>
      <c r="V19" s="7"/>
      <c r="W19" s="7"/>
    </row>
    <row r="20" spans="3:23" x14ac:dyDescent="0.25">
      <c r="C20" s="10">
        <v>8</v>
      </c>
      <c r="D20" s="11">
        <v>45232</v>
      </c>
      <c r="E20" s="10" t="s">
        <v>338</v>
      </c>
      <c r="F20" s="22" t="s">
        <v>49</v>
      </c>
      <c r="G20" s="7">
        <v>3000</v>
      </c>
      <c r="H20" s="12" t="s">
        <v>339</v>
      </c>
      <c r="I20" s="7"/>
      <c r="J20" s="7"/>
      <c r="K20" s="7">
        <v>2000</v>
      </c>
      <c r="L20" s="7">
        <v>1000</v>
      </c>
      <c r="M20" s="7"/>
      <c r="N20" s="7"/>
      <c r="O20" s="7"/>
      <c r="P20" s="7"/>
      <c r="Q20" s="7"/>
      <c r="T20" s="10">
        <v>6</v>
      </c>
      <c r="U20" s="41"/>
      <c r="V20" s="7"/>
      <c r="W20" s="7"/>
    </row>
    <row r="21" spans="3:23" ht="15.75" customHeight="1" x14ac:dyDescent="0.25">
      <c r="C21" s="10">
        <v>9</v>
      </c>
      <c r="D21" s="11">
        <v>45232</v>
      </c>
      <c r="E21" s="10" t="s">
        <v>340</v>
      </c>
      <c r="F21" s="22" t="s">
        <v>80</v>
      </c>
      <c r="G21" s="7">
        <v>1400</v>
      </c>
      <c r="H21" s="12" t="s">
        <v>341</v>
      </c>
      <c r="I21" s="7"/>
      <c r="J21" s="7">
        <v>1050</v>
      </c>
      <c r="K21" s="7"/>
      <c r="L21" s="7"/>
      <c r="M21" s="7"/>
      <c r="N21" s="7">
        <v>350</v>
      </c>
      <c r="O21" s="7"/>
      <c r="P21" s="7"/>
      <c r="Q21" s="7"/>
      <c r="T21" s="10">
        <v>7</v>
      </c>
      <c r="U21" s="41"/>
      <c r="V21" s="7"/>
      <c r="W21" s="7"/>
    </row>
    <row r="22" spans="3:23" ht="15.75" customHeight="1" x14ac:dyDescent="0.25">
      <c r="C22" s="10">
        <v>10</v>
      </c>
      <c r="D22" s="11">
        <v>45233</v>
      </c>
      <c r="E22" s="10">
        <v>491</v>
      </c>
      <c r="F22" s="22" t="s">
        <v>140</v>
      </c>
      <c r="G22" s="7">
        <v>300</v>
      </c>
      <c r="H22" s="12">
        <v>125</v>
      </c>
      <c r="I22" s="7">
        <v>300</v>
      </c>
      <c r="J22" s="7"/>
      <c r="K22" s="7" t="s">
        <v>84</v>
      </c>
      <c r="L22" s="7"/>
      <c r="M22" s="7"/>
      <c r="N22" s="7"/>
      <c r="O22" s="7"/>
      <c r="P22" s="7"/>
      <c r="Q22" s="7"/>
      <c r="T22" s="10">
        <v>8</v>
      </c>
      <c r="U22" s="11"/>
      <c r="V22" s="7"/>
      <c r="W22" s="7"/>
    </row>
    <row r="23" spans="3:23" ht="15.75" customHeight="1" x14ac:dyDescent="0.25">
      <c r="C23" s="10">
        <v>11</v>
      </c>
      <c r="D23" s="11">
        <v>45234</v>
      </c>
      <c r="E23" s="10">
        <v>493</v>
      </c>
      <c r="F23" s="22" t="s">
        <v>162</v>
      </c>
      <c r="G23" s="7">
        <v>1200</v>
      </c>
      <c r="H23" s="12">
        <v>113</v>
      </c>
      <c r="I23" s="7">
        <v>1200</v>
      </c>
      <c r="J23" s="7"/>
      <c r="K23" s="7"/>
      <c r="L23" s="7"/>
      <c r="M23" s="7"/>
      <c r="N23" s="7"/>
      <c r="O23" s="7"/>
      <c r="P23" s="7"/>
      <c r="Q23" s="7"/>
      <c r="T23" s="10"/>
      <c r="U23" s="7"/>
      <c r="V23" s="7"/>
      <c r="W23" s="7"/>
    </row>
    <row r="24" spans="3:23" ht="15.75" customHeight="1" x14ac:dyDescent="0.25">
      <c r="C24" s="10">
        <v>12</v>
      </c>
      <c r="D24" s="11">
        <v>45234</v>
      </c>
      <c r="E24" s="10">
        <v>494</v>
      </c>
      <c r="F24" s="22" t="s">
        <v>284</v>
      </c>
      <c r="G24" s="7">
        <v>1000</v>
      </c>
      <c r="H24" s="12">
        <v>184</v>
      </c>
      <c r="I24" s="7"/>
      <c r="J24" s="7"/>
      <c r="K24" s="7"/>
      <c r="L24" s="7">
        <v>1000</v>
      </c>
      <c r="M24" s="7"/>
      <c r="N24" s="7"/>
      <c r="O24" s="7"/>
      <c r="P24" s="7"/>
      <c r="Q24" s="7"/>
      <c r="T24" s="97" t="s">
        <v>181</v>
      </c>
      <c r="U24" s="98"/>
      <c r="V24" s="99"/>
      <c r="W24" s="7">
        <f>SUM(W15:W22)</f>
        <v>0</v>
      </c>
    </row>
    <row r="25" spans="3:23" ht="15.75" customHeight="1" x14ac:dyDescent="0.25">
      <c r="C25" s="10">
        <v>13</v>
      </c>
      <c r="D25" s="11">
        <v>45234</v>
      </c>
      <c r="E25" s="10">
        <v>495</v>
      </c>
      <c r="F25" s="22" t="s">
        <v>48</v>
      </c>
      <c r="G25" s="7">
        <v>600</v>
      </c>
      <c r="H25" s="12" t="s">
        <v>342</v>
      </c>
      <c r="I25" s="7">
        <v>300</v>
      </c>
      <c r="J25" s="7"/>
      <c r="K25" s="7"/>
      <c r="L25" s="7"/>
      <c r="M25" s="7"/>
      <c r="N25" s="7"/>
      <c r="O25" s="7"/>
      <c r="P25" s="7"/>
      <c r="Q25" s="7">
        <v>300</v>
      </c>
      <c r="T25" s="97" t="s">
        <v>183</v>
      </c>
      <c r="U25" s="98"/>
      <c r="V25" s="99"/>
      <c r="W25" s="7">
        <v>209193</v>
      </c>
    </row>
    <row r="26" spans="3:23" ht="15.75" customHeight="1" x14ac:dyDescent="0.25">
      <c r="C26" s="10">
        <v>14</v>
      </c>
      <c r="D26" s="11">
        <v>45234</v>
      </c>
      <c r="E26" s="10" t="s">
        <v>27</v>
      </c>
      <c r="F26" s="22" t="s">
        <v>255</v>
      </c>
      <c r="G26" s="7">
        <v>800</v>
      </c>
      <c r="H26" s="12" t="s">
        <v>343</v>
      </c>
      <c r="I26" s="7">
        <v>400</v>
      </c>
      <c r="J26" s="7">
        <v>300</v>
      </c>
      <c r="K26" s="7"/>
      <c r="L26" s="7"/>
      <c r="M26" s="7"/>
      <c r="N26" s="7"/>
      <c r="O26" s="7"/>
      <c r="P26" s="7"/>
      <c r="Q26" s="7">
        <v>100</v>
      </c>
      <c r="T26" s="97" t="s">
        <v>184</v>
      </c>
      <c r="U26" s="98"/>
      <c r="V26" s="99"/>
      <c r="W26" s="35">
        <f>SUM(W24,W25)</f>
        <v>209193</v>
      </c>
    </row>
    <row r="27" spans="3:23" ht="15.75" customHeight="1" x14ac:dyDescent="0.25">
      <c r="C27" s="10">
        <v>15</v>
      </c>
      <c r="D27" s="11">
        <v>45236</v>
      </c>
      <c r="E27" s="10" t="s">
        <v>344</v>
      </c>
      <c r="F27" s="22" t="s">
        <v>32</v>
      </c>
      <c r="G27" s="7">
        <v>500</v>
      </c>
      <c r="H27" s="12">
        <v>173</v>
      </c>
      <c r="I27" s="7"/>
      <c r="J27" s="7"/>
      <c r="K27" s="7"/>
      <c r="L27" s="7"/>
      <c r="M27" s="7"/>
      <c r="N27" s="7">
        <v>500</v>
      </c>
      <c r="O27" s="7"/>
      <c r="P27" s="7"/>
      <c r="Q27" s="7"/>
      <c r="T27" s="97" t="s">
        <v>186</v>
      </c>
      <c r="U27" s="98"/>
      <c r="V27" s="99"/>
      <c r="W27" s="7">
        <f>'Nov 2023'!$I$93</f>
        <v>14440</v>
      </c>
    </row>
    <row r="28" spans="3:23" ht="15.75" customHeight="1" x14ac:dyDescent="0.25">
      <c r="C28" s="10">
        <v>16</v>
      </c>
      <c r="D28" s="11">
        <v>45236</v>
      </c>
      <c r="E28" s="24" t="s">
        <v>345</v>
      </c>
      <c r="F28" s="22" t="s">
        <v>268</v>
      </c>
      <c r="G28" s="7">
        <v>1000</v>
      </c>
      <c r="H28" s="12" t="s">
        <v>346</v>
      </c>
      <c r="I28" s="7"/>
      <c r="J28" s="7">
        <v>500</v>
      </c>
      <c r="K28" s="7"/>
      <c r="L28" s="7"/>
      <c r="M28" s="7"/>
      <c r="N28" s="7"/>
      <c r="O28" s="7"/>
      <c r="P28" s="7"/>
      <c r="Q28" s="7">
        <v>500</v>
      </c>
      <c r="T28" s="97"/>
      <c r="U28" s="98"/>
      <c r="V28" s="99"/>
      <c r="W28" s="7"/>
    </row>
    <row r="29" spans="3:23" ht="15.75" customHeight="1" x14ac:dyDescent="0.25">
      <c r="C29" s="10">
        <v>17</v>
      </c>
      <c r="D29" s="11">
        <v>45237</v>
      </c>
      <c r="E29" s="10">
        <v>497</v>
      </c>
      <c r="F29" s="22" t="s">
        <v>333</v>
      </c>
      <c r="G29" s="7">
        <v>160</v>
      </c>
      <c r="H29" s="12">
        <v>115</v>
      </c>
      <c r="I29" s="7">
        <v>160</v>
      </c>
      <c r="J29" s="7"/>
      <c r="K29" s="7"/>
      <c r="L29" s="7"/>
      <c r="M29" s="7"/>
      <c r="N29" s="7"/>
      <c r="O29" s="7"/>
      <c r="P29" s="7"/>
      <c r="Q29" s="7"/>
      <c r="T29" s="100" t="s">
        <v>188</v>
      </c>
      <c r="U29" s="98"/>
      <c r="V29" s="99"/>
      <c r="W29" s="36">
        <f>SUM(W26-W27)</f>
        <v>194753</v>
      </c>
    </row>
    <row r="30" spans="3:23" ht="15.75" customHeight="1" x14ac:dyDescent="0.25">
      <c r="C30" s="10">
        <v>18</v>
      </c>
      <c r="D30" s="11">
        <v>45237</v>
      </c>
      <c r="E30" s="10">
        <v>497</v>
      </c>
      <c r="F30" s="22" t="s">
        <v>347</v>
      </c>
      <c r="G30" s="7">
        <v>300</v>
      </c>
      <c r="H30" s="12" t="s">
        <v>348</v>
      </c>
      <c r="I30" s="7">
        <v>200</v>
      </c>
      <c r="J30" s="7">
        <v>100</v>
      </c>
      <c r="K30" s="7"/>
      <c r="L30" s="7"/>
      <c r="M30" s="7"/>
      <c r="N30" s="7"/>
      <c r="O30" s="7"/>
      <c r="P30" s="7"/>
      <c r="Q30" s="7"/>
    </row>
    <row r="31" spans="3:23" ht="15.75" customHeight="1" x14ac:dyDescent="0.25">
      <c r="C31" s="10">
        <v>19</v>
      </c>
      <c r="D31" s="11">
        <v>45237</v>
      </c>
      <c r="E31" s="10">
        <v>499</v>
      </c>
      <c r="F31" s="22" t="s">
        <v>284</v>
      </c>
      <c r="G31" s="7">
        <v>3000</v>
      </c>
      <c r="H31" s="12">
        <v>120</v>
      </c>
      <c r="I31" s="7">
        <v>3000</v>
      </c>
      <c r="J31" s="7"/>
      <c r="K31" s="7"/>
      <c r="L31" s="7"/>
      <c r="M31" s="7"/>
      <c r="N31" s="7"/>
      <c r="O31" s="7"/>
      <c r="P31" s="7"/>
      <c r="Q31" s="7"/>
    </row>
    <row r="32" spans="3:23" ht="15.75" customHeight="1" x14ac:dyDescent="0.25">
      <c r="C32" s="10">
        <v>20</v>
      </c>
      <c r="D32" s="11">
        <v>45238</v>
      </c>
      <c r="E32" s="10">
        <v>502</v>
      </c>
      <c r="F32" s="22" t="s">
        <v>37</v>
      </c>
      <c r="G32" s="7">
        <v>500</v>
      </c>
      <c r="H32" s="12">
        <v>125</v>
      </c>
      <c r="I32" s="7">
        <v>500</v>
      </c>
      <c r="J32" s="7"/>
      <c r="K32" s="7"/>
      <c r="L32" s="7"/>
      <c r="M32" s="7"/>
      <c r="N32" s="7"/>
      <c r="O32" s="7"/>
      <c r="P32" s="7"/>
      <c r="Q32" s="7"/>
    </row>
    <row r="33" spans="3:19" ht="15.75" customHeight="1" x14ac:dyDescent="0.25">
      <c r="C33" s="10">
        <v>21</v>
      </c>
      <c r="D33" s="11">
        <v>45241</v>
      </c>
      <c r="E33" s="10">
        <v>505</v>
      </c>
      <c r="F33" s="22" t="s">
        <v>90</v>
      </c>
      <c r="G33" s="7">
        <v>4000</v>
      </c>
      <c r="H33" s="12" t="s">
        <v>349</v>
      </c>
      <c r="I33" s="7">
        <v>3000</v>
      </c>
      <c r="J33" s="7">
        <v>400</v>
      </c>
      <c r="K33" s="7"/>
      <c r="L33" s="7"/>
      <c r="M33" s="7"/>
      <c r="N33" s="7">
        <v>200</v>
      </c>
      <c r="O33" s="7">
        <v>400</v>
      </c>
      <c r="P33" s="7"/>
      <c r="Q33" s="7"/>
    </row>
    <row r="34" spans="3:19" ht="15.75" customHeight="1" x14ac:dyDescent="0.25">
      <c r="C34" s="10">
        <v>22</v>
      </c>
      <c r="D34" s="11">
        <v>45237</v>
      </c>
      <c r="E34" s="10" t="s">
        <v>350</v>
      </c>
      <c r="F34" s="22" t="s">
        <v>139</v>
      </c>
      <c r="G34" s="7">
        <v>700</v>
      </c>
      <c r="H34" s="12">
        <v>169</v>
      </c>
      <c r="I34" s="7"/>
      <c r="J34" s="7"/>
      <c r="K34" s="7"/>
      <c r="L34" s="7"/>
      <c r="M34" s="7">
        <v>700</v>
      </c>
      <c r="N34" s="7"/>
      <c r="O34" s="7"/>
      <c r="P34" s="7"/>
      <c r="Q34" s="7"/>
    </row>
    <row r="35" spans="3:19" ht="15.75" customHeight="1" x14ac:dyDescent="0.25">
      <c r="C35" s="10">
        <v>23</v>
      </c>
      <c r="D35" s="11">
        <v>45245</v>
      </c>
      <c r="E35" s="10">
        <v>506</v>
      </c>
      <c r="F35" s="22" t="s">
        <v>269</v>
      </c>
      <c r="G35" s="7">
        <v>2000</v>
      </c>
      <c r="H35" s="12">
        <v>174</v>
      </c>
      <c r="I35" s="7"/>
      <c r="J35" s="7"/>
      <c r="K35" s="7"/>
      <c r="L35" s="7"/>
      <c r="M35" s="7"/>
      <c r="N35" s="7">
        <v>2000</v>
      </c>
      <c r="O35" s="7"/>
      <c r="P35" s="7"/>
      <c r="Q35" s="7"/>
    </row>
    <row r="36" spans="3:19" ht="15.75" customHeight="1" x14ac:dyDescent="0.25">
      <c r="C36" s="10">
        <v>24</v>
      </c>
      <c r="D36" s="11">
        <v>45246</v>
      </c>
      <c r="E36" s="10">
        <v>508</v>
      </c>
      <c r="F36" s="22" t="s">
        <v>89</v>
      </c>
      <c r="G36" s="7">
        <v>1000</v>
      </c>
      <c r="H36" s="12">
        <v>116</v>
      </c>
      <c r="I36" s="7">
        <v>1000</v>
      </c>
      <c r="J36" s="7"/>
      <c r="K36" s="7"/>
      <c r="L36" s="7"/>
      <c r="M36" s="7"/>
      <c r="N36" s="7"/>
      <c r="O36" s="7"/>
      <c r="P36" s="7"/>
      <c r="Q36" s="7"/>
    </row>
    <row r="37" spans="3:19" ht="15.75" customHeight="1" x14ac:dyDescent="0.25">
      <c r="C37" s="10">
        <v>26</v>
      </c>
      <c r="D37" s="11">
        <v>45247</v>
      </c>
      <c r="E37" s="10">
        <v>509</v>
      </c>
      <c r="F37" s="22" t="s">
        <v>333</v>
      </c>
      <c r="G37" s="7">
        <v>160</v>
      </c>
      <c r="H37" s="12">
        <v>115</v>
      </c>
      <c r="I37" s="7">
        <v>160</v>
      </c>
      <c r="J37" s="7"/>
      <c r="K37" s="7"/>
      <c r="L37" s="7"/>
      <c r="M37" s="7"/>
      <c r="N37" s="7"/>
      <c r="O37" s="7"/>
      <c r="P37" s="7"/>
      <c r="Q37" s="7"/>
    </row>
    <row r="38" spans="3:19" ht="15.75" customHeight="1" x14ac:dyDescent="0.25">
      <c r="C38" s="10">
        <v>27</v>
      </c>
      <c r="D38" s="11">
        <v>45247</v>
      </c>
      <c r="E38" s="10">
        <v>511</v>
      </c>
      <c r="F38" s="22" t="s">
        <v>48</v>
      </c>
      <c r="G38" s="7">
        <v>1000</v>
      </c>
      <c r="H38" s="12">
        <v>170</v>
      </c>
      <c r="I38" s="7"/>
      <c r="J38" s="7"/>
      <c r="K38" s="7"/>
      <c r="L38" s="7"/>
      <c r="M38" s="7"/>
      <c r="N38" s="7">
        <v>1000</v>
      </c>
      <c r="O38" s="7"/>
      <c r="P38" s="7"/>
      <c r="Q38" s="7"/>
    </row>
    <row r="39" spans="3:19" ht="15.75" customHeight="1" x14ac:dyDescent="0.25">
      <c r="C39" s="10">
        <v>28</v>
      </c>
      <c r="D39" s="11">
        <v>45247</v>
      </c>
      <c r="E39" s="10">
        <v>512</v>
      </c>
      <c r="F39" s="22" t="s">
        <v>269</v>
      </c>
      <c r="G39" s="7">
        <v>1000</v>
      </c>
      <c r="H39" s="12">
        <v>151</v>
      </c>
      <c r="I39" s="7"/>
      <c r="J39" s="7">
        <v>1000</v>
      </c>
      <c r="K39" s="7"/>
      <c r="L39" s="7"/>
      <c r="M39" s="7"/>
      <c r="N39" s="7"/>
      <c r="O39" s="7"/>
      <c r="P39" s="7"/>
      <c r="Q39" s="7"/>
    </row>
    <row r="40" spans="3:19" ht="15.75" customHeight="1" x14ac:dyDescent="0.25">
      <c r="C40" s="10">
        <v>29</v>
      </c>
      <c r="D40" s="11">
        <v>45251</v>
      </c>
      <c r="E40" s="10" t="s">
        <v>27</v>
      </c>
      <c r="F40" s="22" t="s">
        <v>73</v>
      </c>
      <c r="G40" s="7">
        <v>500</v>
      </c>
      <c r="H40" s="12">
        <v>170</v>
      </c>
      <c r="I40" s="7"/>
      <c r="J40" s="7"/>
      <c r="K40" s="7"/>
      <c r="L40" s="7"/>
      <c r="M40" s="7"/>
      <c r="N40" s="7"/>
      <c r="O40" s="7"/>
      <c r="P40" s="7">
        <v>500</v>
      </c>
      <c r="Q40" s="7"/>
      <c r="S40" s="1"/>
    </row>
    <row r="41" spans="3:19" ht="15.75" customHeight="1" x14ac:dyDescent="0.25">
      <c r="C41" s="10">
        <v>30</v>
      </c>
      <c r="D41" s="11">
        <v>45251</v>
      </c>
      <c r="E41" s="10">
        <v>515</v>
      </c>
      <c r="F41" s="22" t="s">
        <v>71</v>
      </c>
      <c r="G41" s="7">
        <v>500</v>
      </c>
      <c r="H41" s="12">
        <v>163</v>
      </c>
      <c r="I41" s="7"/>
      <c r="J41" s="7"/>
      <c r="K41" s="7"/>
      <c r="L41" s="7"/>
      <c r="M41" s="7"/>
      <c r="N41" s="7">
        <v>500</v>
      </c>
      <c r="O41" s="7"/>
      <c r="P41" s="7"/>
      <c r="Q41" s="7"/>
      <c r="S41" s="1"/>
    </row>
    <row r="42" spans="3:19" ht="15.75" customHeight="1" x14ac:dyDescent="0.25">
      <c r="C42" s="10">
        <v>31</v>
      </c>
      <c r="D42" s="11">
        <v>45251</v>
      </c>
      <c r="E42" s="10" t="s">
        <v>351</v>
      </c>
      <c r="F42" s="22" t="s">
        <v>80</v>
      </c>
      <c r="G42" s="7">
        <v>25</v>
      </c>
      <c r="H42" s="12">
        <v>168</v>
      </c>
      <c r="I42" s="7"/>
      <c r="J42" s="7"/>
      <c r="K42" s="7"/>
      <c r="L42" s="7"/>
      <c r="M42" s="7"/>
      <c r="N42" s="7">
        <v>25</v>
      </c>
      <c r="O42" s="7"/>
      <c r="P42" s="7"/>
      <c r="Q42" s="7"/>
      <c r="S42" s="1"/>
    </row>
    <row r="43" spans="3:19" ht="15.75" customHeight="1" x14ac:dyDescent="0.25">
      <c r="C43" s="10">
        <v>32</v>
      </c>
      <c r="D43" s="11">
        <v>45251</v>
      </c>
      <c r="E43" s="10" t="s">
        <v>352</v>
      </c>
      <c r="F43" s="22" t="s">
        <v>268</v>
      </c>
      <c r="G43" s="7">
        <v>1000</v>
      </c>
      <c r="H43" s="12" t="s">
        <v>346</v>
      </c>
      <c r="I43" s="7"/>
      <c r="J43" s="7">
        <v>500</v>
      </c>
      <c r="K43" s="7"/>
      <c r="L43" s="7"/>
      <c r="M43" s="7"/>
      <c r="N43" s="7"/>
      <c r="O43" s="7"/>
      <c r="P43" s="7"/>
      <c r="Q43" s="7">
        <v>500</v>
      </c>
      <c r="S43" s="1"/>
    </row>
    <row r="44" spans="3:19" ht="15.75" customHeight="1" x14ac:dyDescent="0.25">
      <c r="C44" s="10">
        <v>33</v>
      </c>
      <c r="D44" s="11">
        <v>45251</v>
      </c>
      <c r="E44" s="10">
        <v>516</v>
      </c>
      <c r="F44" s="22" t="s">
        <v>37</v>
      </c>
      <c r="G44" s="7">
        <v>500</v>
      </c>
      <c r="H44" s="12">
        <v>125</v>
      </c>
      <c r="I44" s="7">
        <v>500</v>
      </c>
      <c r="J44" s="7"/>
      <c r="K44" s="7"/>
      <c r="L44" s="7"/>
      <c r="M44" s="7"/>
      <c r="N44" s="7"/>
      <c r="O44" s="7"/>
      <c r="P44" s="7"/>
      <c r="Q44" s="7"/>
      <c r="S44" s="1"/>
    </row>
    <row r="45" spans="3:19" ht="15.75" customHeight="1" x14ac:dyDescent="0.25">
      <c r="C45" s="10">
        <v>34</v>
      </c>
      <c r="D45" s="11">
        <v>45251</v>
      </c>
      <c r="E45" s="10" t="s">
        <v>353</v>
      </c>
      <c r="F45" s="22" t="s">
        <v>202</v>
      </c>
      <c r="G45" s="7">
        <v>1000</v>
      </c>
      <c r="H45" s="12">
        <v>171</v>
      </c>
      <c r="I45" s="7"/>
      <c r="J45" s="7"/>
      <c r="K45" s="7"/>
      <c r="L45" s="7"/>
      <c r="M45" s="7"/>
      <c r="N45" s="7">
        <v>1000</v>
      </c>
      <c r="O45" s="7"/>
      <c r="P45" s="7"/>
      <c r="Q45" s="7"/>
      <c r="S45" s="1"/>
    </row>
    <row r="46" spans="3:19" ht="15.75" customHeight="1" x14ac:dyDescent="0.25">
      <c r="C46" s="10">
        <v>35</v>
      </c>
      <c r="D46" s="11">
        <v>45251</v>
      </c>
      <c r="E46" s="10">
        <v>517</v>
      </c>
      <c r="F46" s="22" t="s">
        <v>284</v>
      </c>
      <c r="G46" s="7">
        <v>1800</v>
      </c>
      <c r="H46" s="12" t="s">
        <v>354</v>
      </c>
      <c r="I46" s="7"/>
      <c r="J46" s="7"/>
      <c r="K46" s="7"/>
      <c r="L46" s="7">
        <v>600</v>
      </c>
      <c r="M46" s="7"/>
      <c r="N46" s="7"/>
      <c r="O46" s="7">
        <v>500</v>
      </c>
      <c r="P46" s="7"/>
      <c r="Q46" s="7">
        <v>700</v>
      </c>
      <c r="S46" s="1"/>
    </row>
    <row r="47" spans="3:19" ht="15.75" customHeight="1" x14ac:dyDescent="0.25">
      <c r="C47" s="10">
        <v>36</v>
      </c>
      <c r="D47" s="11">
        <v>45252</v>
      </c>
      <c r="E47" s="10">
        <v>519</v>
      </c>
      <c r="F47" s="22" t="s">
        <v>355</v>
      </c>
      <c r="G47" s="7">
        <v>1000</v>
      </c>
      <c r="H47" s="12">
        <v>185</v>
      </c>
      <c r="I47" s="7"/>
      <c r="J47" s="7"/>
      <c r="K47" s="7"/>
      <c r="L47" s="7"/>
      <c r="M47" s="7"/>
      <c r="N47" s="7"/>
      <c r="O47" s="7"/>
      <c r="P47" s="7"/>
      <c r="Q47" s="7">
        <v>1000</v>
      </c>
      <c r="S47" s="1"/>
    </row>
    <row r="48" spans="3:19" ht="15.75" customHeight="1" x14ac:dyDescent="0.25">
      <c r="C48" s="10">
        <v>37</v>
      </c>
      <c r="D48" s="11">
        <v>45252</v>
      </c>
      <c r="E48" s="10">
        <v>520</v>
      </c>
      <c r="F48" s="22" t="s">
        <v>333</v>
      </c>
      <c r="G48" s="7">
        <v>200</v>
      </c>
      <c r="H48" s="12">
        <v>115</v>
      </c>
      <c r="I48" s="7">
        <v>200</v>
      </c>
      <c r="J48" s="7"/>
      <c r="K48" s="7"/>
      <c r="L48" s="7"/>
      <c r="M48" s="7"/>
      <c r="N48" s="7"/>
      <c r="O48" s="7"/>
      <c r="P48" s="7"/>
      <c r="Q48" s="7"/>
      <c r="S48" s="1"/>
    </row>
    <row r="49" spans="3:19" ht="15.75" customHeight="1" x14ac:dyDescent="0.25">
      <c r="C49" s="10">
        <v>38</v>
      </c>
      <c r="D49" s="11">
        <v>45253</v>
      </c>
      <c r="E49" s="10">
        <v>521</v>
      </c>
      <c r="F49" s="22" t="s">
        <v>44</v>
      </c>
      <c r="G49" s="7">
        <v>2800</v>
      </c>
      <c r="H49" s="12" t="s">
        <v>356</v>
      </c>
      <c r="I49" s="7"/>
      <c r="J49" s="7">
        <v>500</v>
      </c>
      <c r="K49" s="7"/>
      <c r="L49" s="7"/>
      <c r="M49" s="7"/>
      <c r="N49" s="7"/>
      <c r="O49" s="7">
        <v>2300</v>
      </c>
      <c r="P49" s="7"/>
      <c r="Q49" s="7"/>
      <c r="S49" s="1"/>
    </row>
    <row r="50" spans="3:19" ht="15.75" customHeight="1" x14ac:dyDescent="0.25">
      <c r="C50" s="10">
        <v>39</v>
      </c>
      <c r="D50" s="11">
        <v>45253</v>
      </c>
      <c r="E50" s="10">
        <v>522</v>
      </c>
      <c r="F50" s="22" t="s">
        <v>193</v>
      </c>
      <c r="G50" s="7">
        <v>2000</v>
      </c>
      <c r="H50" s="12">
        <v>120</v>
      </c>
      <c r="I50" s="7">
        <v>2000</v>
      </c>
      <c r="J50" s="7"/>
      <c r="K50" s="7"/>
      <c r="L50" s="7"/>
      <c r="M50" s="7"/>
      <c r="N50" s="7"/>
      <c r="O50" s="7"/>
      <c r="P50" s="7"/>
      <c r="Q50" s="7"/>
      <c r="S50" s="1"/>
    </row>
    <row r="51" spans="3:19" ht="15.75" customHeight="1" x14ac:dyDescent="0.25">
      <c r="C51" s="10">
        <v>40</v>
      </c>
      <c r="D51" s="11">
        <v>45253</v>
      </c>
      <c r="E51" s="10" t="s">
        <v>357</v>
      </c>
      <c r="F51" s="22" t="s">
        <v>268</v>
      </c>
      <c r="G51" s="7">
        <v>500</v>
      </c>
      <c r="H51" s="12">
        <v>158</v>
      </c>
      <c r="I51" s="7"/>
      <c r="J51" s="7">
        <v>500</v>
      </c>
      <c r="K51" s="7"/>
      <c r="L51" s="7"/>
      <c r="M51" s="7"/>
      <c r="N51" s="7"/>
      <c r="O51" s="7"/>
      <c r="P51" s="7"/>
      <c r="Q51" s="7"/>
      <c r="S51" s="1"/>
    </row>
    <row r="52" spans="3:19" ht="15.75" customHeight="1" x14ac:dyDescent="0.25">
      <c r="C52" s="10">
        <v>41</v>
      </c>
      <c r="D52" s="11">
        <v>45254</v>
      </c>
      <c r="E52" s="10">
        <v>523</v>
      </c>
      <c r="F52" s="22" t="s">
        <v>358</v>
      </c>
      <c r="G52" s="7">
        <v>500</v>
      </c>
      <c r="H52" s="31">
        <v>167</v>
      </c>
      <c r="I52" s="7"/>
      <c r="J52" s="7"/>
      <c r="K52" s="7"/>
      <c r="L52" s="7"/>
      <c r="M52" s="7"/>
      <c r="N52" s="7"/>
      <c r="O52" s="7"/>
      <c r="P52" s="7">
        <v>500</v>
      </c>
      <c r="Q52" s="7"/>
      <c r="S52" s="1"/>
    </row>
    <row r="53" spans="3:19" ht="15.75" customHeight="1" x14ac:dyDescent="0.25">
      <c r="C53" s="10">
        <v>42</v>
      </c>
      <c r="D53" s="11">
        <v>45254</v>
      </c>
      <c r="E53" s="10">
        <v>525</v>
      </c>
      <c r="F53" s="22" t="s">
        <v>359</v>
      </c>
      <c r="G53" s="7">
        <v>200</v>
      </c>
      <c r="H53" s="12">
        <v>174</v>
      </c>
      <c r="I53" s="7"/>
      <c r="J53" s="7"/>
      <c r="K53" s="7"/>
      <c r="L53" s="7">
        <v>200</v>
      </c>
      <c r="M53" s="7"/>
      <c r="N53" s="7"/>
      <c r="O53" s="7"/>
      <c r="P53" s="7"/>
      <c r="Q53" s="7"/>
      <c r="S53" s="1"/>
    </row>
    <row r="54" spans="3:19" ht="15.75" customHeight="1" x14ac:dyDescent="0.25">
      <c r="C54" s="10">
        <v>43</v>
      </c>
      <c r="D54" s="11">
        <v>45254</v>
      </c>
      <c r="E54" s="10">
        <v>526</v>
      </c>
      <c r="F54" s="22" t="s">
        <v>44</v>
      </c>
      <c r="G54" s="7">
        <v>150</v>
      </c>
      <c r="H54" s="12">
        <v>170</v>
      </c>
      <c r="I54" s="7"/>
      <c r="J54" s="7"/>
      <c r="K54" s="7"/>
      <c r="L54" s="7"/>
      <c r="M54" s="7"/>
      <c r="N54" s="7"/>
      <c r="O54" s="7">
        <v>150</v>
      </c>
      <c r="P54" s="7"/>
      <c r="Q54" s="7"/>
      <c r="S54" s="1"/>
    </row>
    <row r="55" spans="3:19" ht="15.75" customHeight="1" x14ac:dyDescent="0.25">
      <c r="C55" s="10">
        <v>44</v>
      </c>
      <c r="D55" s="11">
        <v>45254</v>
      </c>
      <c r="E55" s="10" t="s">
        <v>360</v>
      </c>
      <c r="F55" s="22" t="s">
        <v>80</v>
      </c>
      <c r="G55" s="7">
        <v>1250</v>
      </c>
      <c r="H55" s="12" t="s">
        <v>361</v>
      </c>
      <c r="I55" s="7"/>
      <c r="J55" s="7">
        <v>1000</v>
      </c>
      <c r="K55" s="7"/>
      <c r="L55" s="7"/>
      <c r="M55" s="7">
        <v>250</v>
      </c>
      <c r="N55" s="7"/>
      <c r="O55" s="7"/>
      <c r="P55" s="7"/>
      <c r="Q55" s="7"/>
      <c r="S55" s="1"/>
    </row>
    <row r="56" spans="3:19" ht="15.75" customHeight="1" x14ac:dyDescent="0.25">
      <c r="C56" s="10">
        <v>45</v>
      </c>
      <c r="D56" s="11">
        <v>45255</v>
      </c>
      <c r="E56" s="10">
        <v>527</v>
      </c>
      <c r="F56" s="22" t="s">
        <v>76</v>
      </c>
      <c r="G56" s="7">
        <v>250</v>
      </c>
      <c r="H56" s="12">
        <v>184</v>
      </c>
      <c r="I56" s="7"/>
      <c r="J56" s="7"/>
      <c r="K56" s="7"/>
      <c r="L56" s="7"/>
      <c r="M56" s="7"/>
      <c r="N56" s="7"/>
      <c r="O56" s="7">
        <v>250</v>
      </c>
      <c r="P56" s="7"/>
      <c r="Q56" s="7"/>
      <c r="S56" s="1"/>
    </row>
    <row r="57" spans="3:19" ht="15.75" customHeight="1" x14ac:dyDescent="0.25">
      <c r="C57" s="10">
        <v>46</v>
      </c>
      <c r="D57" s="11">
        <v>45257</v>
      </c>
      <c r="E57" s="10">
        <v>528</v>
      </c>
      <c r="F57" s="22" t="s">
        <v>362</v>
      </c>
      <c r="G57" s="7">
        <v>600</v>
      </c>
      <c r="H57" s="12">
        <v>162</v>
      </c>
      <c r="I57" s="7"/>
      <c r="J57" s="7"/>
      <c r="K57" s="7"/>
      <c r="L57" s="7"/>
      <c r="M57" s="7"/>
      <c r="N57" s="7"/>
      <c r="O57" s="7"/>
      <c r="P57" s="7">
        <v>600</v>
      </c>
      <c r="Q57" s="7"/>
      <c r="S57" s="1"/>
    </row>
    <row r="58" spans="3:19" ht="15.75" customHeight="1" x14ac:dyDescent="0.25">
      <c r="C58" s="10">
        <v>47</v>
      </c>
      <c r="D58" s="11">
        <v>45257</v>
      </c>
      <c r="E58" s="10">
        <v>529</v>
      </c>
      <c r="F58" s="22" t="s">
        <v>37</v>
      </c>
      <c r="G58" s="7">
        <v>1000</v>
      </c>
      <c r="H58" s="12">
        <v>125</v>
      </c>
      <c r="I58" s="7">
        <v>1000</v>
      </c>
      <c r="J58" s="7"/>
      <c r="K58" s="7"/>
      <c r="L58" s="7"/>
      <c r="M58" s="7"/>
      <c r="N58" s="7"/>
      <c r="O58" s="7"/>
      <c r="P58" s="7"/>
      <c r="Q58" s="7"/>
      <c r="S58" s="1"/>
    </row>
    <row r="59" spans="3:19" ht="15.75" customHeight="1" x14ac:dyDescent="0.25">
      <c r="C59" s="10">
        <v>48</v>
      </c>
      <c r="D59" s="11">
        <v>45258</v>
      </c>
      <c r="E59" s="10" t="s">
        <v>27</v>
      </c>
      <c r="F59" s="22" t="s">
        <v>255</v>
      </c>
      <c r="G59" s="7">
        <v>200</v>
      </c>
      <c r="H59" s="12">
        <v>188</v>
      </c>
      <c r="I59" s="7"/>
      <c r="J59" s="7"/>
      <c r="K59" s="7"/>
      <c r="L59" s="7"/>
      <c r="M59" s="7"/>
      <c r="N59" s="7"/>
      <c r="O59" s="7"/>
      <c r="P59" s="7"/>
      <c r="Q59" s="7">
        <v>200</v>
      </c>
      <c r="S59" s="1"/>
    </row>
    <row r="60" spans="3:19" ht="15.75" customHeight="1" x14ac:dyDescent="0.25">
      <c r="C60" s="10">
        <v>49</v>
      </c>
      <c r="D60" s="11">
        <v>45260</v>
      </c>
      <c r="E60" s="10" t="s">
        <v>27</v>
      </c>
      <c r="F60" s="22" t="s">
        <v>73</v>
      </c>
      <c r="G60" s="7">
        <v>1000</v>
      </c>
      <c r="H60" s="12">
        <v>164</v>
      </c>
      <c r="I60" s="7"/>
      <c r="J60" s="7"/>
      <c r="K60" s="7">
        <v>1000</v>
      </c>
      <c r="L60" s="7"/>
      <c r="M60" s="7"/>
      <c r="N60" s="7"/>
      <c r="O60" s="7"/>
      <c r="P60" s="7"/>
      <c r="Q60" s="7"/>
      <c r="S60" s="1"/>
    </row>
    <row r="61" spans="3:19" ht="15.75" customHeight="1" x14ac:dyDescent="0.25">
      <c r="C61" s="10">
        <v>50</v>
      </c>
      <c r="D61" s="11">
        <v>45260</v>
      </c>
      <c r="E61" s="10" t="s">
        <v>363</v>
      </c>
      <c r="F61" s="22" t="s">
        <v>202</v>
      </c>
      <c r="G61" s="7">
        <v>1000</v>
      </c>
      <c r="H61" s="12">
        <v>166</v>
      </c>
      <c r="I61" s="7"/>
      <c r="J61" s="7"/>
      <c r="K61" s="7">
        <v>1000</v>
      </c>
      <c r="L61" s="7"/>
      <c r="M61" s="7"/>
      <c r="N61" s="7"/>
      <c r="O61" s="7"/>
      <c r="P61" s="7"/>
      <c r="Q61" s="7"/>
      <c r="S61" s="1"/>
    </row>
    <row r="62" spans="3:19" ht="15.75" customHeight="1" x14ac:dyDescent="0.25">
      <c r="C62" s="10">
        <v>51</v>
      </c>
      <c r="D62" s="11"/>
      <c r="E62" s="10"/>
      <c r="F62" s="22" t="s">
        <v>80</v>
      </c>
      <c r="G62" s="7">
        <v>1000</v>
      </c>
      <c r="H62" s="12">
        <v>149</v>
      </c>
      <c r="I62" s="7"/>
      <c r="J62" s="7"/>
      <c r="K62" s="7"/>
      <c r="L62" s="7"/>
      <c r="M62" s="7"/>
      <c r="N62" s="7"/>
      <c r="O62" s="7"/>
      <c r="P62" s="7"/>
      <c r="Q62" s="7"/>
      <c r="S62" s="1"/>
    </row>
    <row r="63" spans="3:19" ht="15.75" customHeight="1" x14ac:dyDescent="0.25">
      <c r="C63" s="10">
        <v>52</v>
      </c>
      <c r="D63" s="11"/>
      <c r="E63" s="10"/>
      <c r="F63" s="22" t="s">
        <v>80</v>
      </c>
      <c r="G63" s="7">
        <v>100</v>
      </c>
      <c r="H63" s="31">
        <v>125</v>
      </c>
      <c r="I63" s="7"/>
      <c r="J63" s="7"/>
      <c r="K63" s="7"/>
      <c r="L63" s="7"/>
      <c r="M63" s="7"/>
      <c r="N63" s="7"/>
      <c r="O63" s="7"/>
      <c r="P63" s="7"/>
      <c r="Q63" s="7"/>
      <c r="S63" s="1"/>
    </row>
    <row r="64" spans="3:19" ht="15.75" customHeight="1" x14ac:dyDescent="0.25">
      <c r="C64" s="10">
        <v>53</v>
      </c>
      <c r="D64" s="11"/>
      <c r="E64" s="10"/>
      <c r="F64" s="22" t="s">
        <v>269</v>
      </c>
      <c r="G64" s="7">
        <v>350</v>
      </c>
      <c r="H64" s="12">
        <v>175</v>
      </c>
      <c r="I64" s="7"/>
      <c r="J64" s="7"/>
      <c r="K64" s="7"/>
      <c r="L64" s="7"/>
      <c r="M64" s="7"/>
      <c r="N64" s="7"/>
      <c r="O64" s="7"/>
      <c r="P64" s="7"/>
      <c r="Q64" s="7"/>
      <c r="S64" s="1"/>
    </row>
    <row r="65" spans="3:19" ht="15.75" customHeight="1" x14ac:dyDescent="0.25">
      <c r="C65" s="10">
        <v>54</v>
      </c>
      <c r="D65" s="11"/>
      <c r="E65" s="10"/>
      <c r="F65" s="22" t="s">
        <v>317</v>
      </c>
      <c r="G65" s="7">
        <v>245</v>
      </c>
      <c r="H65" s="12" t="s">
        <v>318</v>
      </c>
      <c r="I65" s="7"/>
      <c r="J65" s="7"/>
      <c r="K65" s="7"/>
      <c r="L65" s="7"/>
      <c r="M65" s="7"/>
      <c r="N65" s="7"/>
      <c r="O65" s="7"/>
      <c r="P65" s="7"/>
      <c r="Q65" s="7"/>
      <c r="S65" s="1"/>
    </row>
    <row r="66" spans="3:19" ht="15.75" customHeight="1" x14ac:dyDescent="0.25">
      <c r="C66" s="10">
        <v>55</v>
      </c>
      <c r="D66" s="11"/>
      <c r="E66" s="10"/>
      <c r="F66" s="22" t="s">
        <v>43</v>
      </c>
      <c r="G66" s="7">
        <v>6680</v>
      </c>
      <c r="H66" s="12">
        <v>325</v>
      </c>
      <c r="I66" s="7"/>
      <c r="J66" s="7"/>
      <c r="K66" s="7"/>
      <c r="L66" s="7"/>
      <c r="M66" s="7"/>
      <c r="N66" s="7"/>
      <c r="O66" s="7"/>
      <c r="P66" s="7"/>
      <c r="Q66" s="7"/>
      <c r="S66" s="1"/>
    </row>
    <row r="67" spans="3:19" ht="15.75" customHeight="1" x14ac:dyDescent="0.25">
      <c r="C67" s="10">
        <v>56</v>
      </c>
      <c r="D67" s="11"/>
      <c r="E67" s="10"/>
      <c r="F67" s="22" t="s">
        <v>43</v>
      </c>
      <c r="G67" s="7">
        <v>200</v>
      </c>
      <c r="H67" s="12">
        <v>120</v>
      </c>
      <c r="I67" s="7"/>
      <c r="J67" s="7"/>
      <c r="K67" s="7"/>
      <c r="L67" s="7"/>
      <c r="M67" s="7"/>
      <c r="N67" s="7"/>
      <c r="O67" s="7"/>
      <c r="P67" s="7"/>
      <c r="Q67" s="7"/>
      <c r="S67" s="1"/>
    </row>
    <row r="68" spans="3:19" ht="15.75" customHeight="1" x14ac:dyDescent="0.25">
      <c r="C68" s="10">
        <v>57</v>
      </c>
      <c r="D68" s="11"/>
      <c r="E68" s="10"/>
      <c r="F68" s="22" t="s">
        <v>80</v>
      </c>
      <c r="G68" s="7">
        <v>500</v>
      </c>
      <c r="H68" s="12">
        <v>150</v>
      </c>
      <c r="I68" s="7"/>
      <c r="J68" s="7"/>
      <c r="K68" s="7"/>
      <c r="L68" s="7"/>
      <c r="M68" s="7"/>
      <c r="N68" s="7"/>
      <c r="O68" s="7"/>
      <c r="P68" s="7"/>
      <c r="Q68" s="7"/>
      <c r="S68" s="1"/>
    </row>
    <row r="69" spans="3:19" ht="15.75" customHeight="1" x14ac:dyDescent="0.25">
      <c r="C69" s="10">
        <v>58</v>
      </c>
      <c r="D69" s="11"/>
      <c r="E69" s="10"/>
      <c r="F69" s="22" t="s">
        <v>284</v>
      </c>
      <c r="G69" s="7">
        <v>700</v>
      </c>
      <c r="H69" s="12">
        <v>159</v>
      </c>
      <c r="I69" s="7"/>
      <c r="J69" s="7"/>
      <c r="K69" s="7"/>
      <c r="L69" s="7"/>
      <c r="M69" s="7"/>
      <c r="N69" s="7"/>
      <c r="O69" s="7"/>
      <c r="P69" s="7"/>
      <c r="Q69" s="7"/>
      <c r="S69" s="1"/>
    </row>
    <row r="70" spans="3:19" ht="15.75" customHeight="1" x14ac:dyDescent="0.25">
      <c r="C70" s="10">
        <v>59</v>
      </c>
      <c r="D70" s="11"/>
      <c r="E70" s="10"/>
      <c r="F70" s="22" t="s">
        <v>71</v>
      </c>
      <c r="G70" s="7">
        <v>500</v>
      </c>
      <c r="H70" s="12">
        <v>166</v>
      </c>
      <c r="I70" s="7"/>
      <c r="J70" s="7"/>
      <c r="K70" s="7"/>
      <c r="L70" s="7"/>
      <c r="M70" s="7"/>
      <c r="N70" s="7"/>
      <c r="O70" s="7"/>
      <c r="P70" s="7"/>
      <c r="Q70" s="7"/>
      <c r="S70" s="1"/>
    </row>
    <row r="71" spans="3:19" ht="15.75" customHeight="1" x14ac:dyDescent="0.25">
      <c r="C71" s="10">
        <v>60</v>
      </c>
      <c r="D71" s="11"/>
      <c r="E71" s="10"/>
      <c r="F71" s="22" t="s">
        <v>112</v>
      </c>
      <c r="G71" s="7">
        <v>10000</v>
      </c>
      <c r="H71" s="12">
        <v>162</v>
      </c>
      <c r="I71" s="7"/>
      <c r="J71" s="7"/>
      <c r="K71" s="7"/>
      <c r="L71" s="7"/>
      <c r="M71" s="7"/>
      <c r="N71" s="7"/>
      <c r="O71" s="7"/>
      <c r="P71" s="7"/>
      <c r="Q71" s="7"/>
      <c r="S71" s="1"/>
    </row>
    <row r="72" spans="3:19" ht="15.75" customHeight="1" x14ac:dyDescent="0.25">
      <c r="C72" s="10">
        <v>61</v>
      </c>
      <c r="D72" s="11"/>
      <c r="E72" s="10"/>
      <c r="F72" s="22" t="s">
        <v>190</v>
      </c>
      <c r="G72" s="7">
        <v>1500</v>
      </c>
      <c r="H72" s="12">
        <v>164</v>
      </c>
      <c r="I72" s="7"/>
      <c r="J72" s="7"/>
      <c r="K72" s="7"/>
      <c r="L72" s="7"/>
      <c r="M72" s="7"/>
      <c r="N72" s="7"/>
      <c r="O72" s="7"/>
      <c r="P72" s="7"/>
      <c r="Q72" s="7"/>
      <c r="S72" s="1"/>
    </row>
    <row r="73" spans="3:19" ht="15.75" customHeight="1" x14ac:dyDescent="0.25">
      <c r="C73" s="10">
        <v>62</v>
      </c>
      <c r="D73" s="11"/>
      <c r="E73" s="10"/>
      <c r="F73" s="22" t="s">
        <v>40</v>
      </c>
      <c r="G73" s="7">
        <v>300</v>
      </c>
      <c r="H73" s="12">
        <v>168</v>
      </c>
      <c r="I73" s="7"/>
      <c r="J73" s="7"/>
      <c r="K73" s="7"/>
      <c r="L73" s="7"/>
      <c r="M73" s="7"/>
      <c r="N73" s="7"/>
      <c r="O73" s="7"/>
      <c r="P73" s="7"/>
      <c r="Q73" s="7"/>
      <c r="S73" s="1"/>
    </row>
    <row r="74" spans="3:19" ht="15.75" customHeight="1" x14ac:dyDescent="0.25">
      <c r="C74" s="10">
        <v>63</v>
      </c>
      <c r="D74" s="11"/>
      <c r="E74" s="10"/>
      <c r="F74" s="22" t="s">
        <v>37</v>
      </c>
      <c r="G74" s="7">
        <v>500</v>
      </c>
      <c r="H74" s="12">
        <v>125</v>
      </c>
      <c r="I74" s="7"/>
      <c r="J74" s="7"/>
      <c r="K74" s="7"/>
      <c r="L74" s="7"/>
      <c r="M74" s="7"/>
      <c r="N74" s="7"/>
      <c r="O74" s="7"/>
      <c r="P74" s="7"/>
      <c r="Q74" s="7"/>
    </row>
    <row r="75" spans="3:19" ht="15.75" customHeight="1" x14ac:dyDescent="0.25">
      <c r="C75" s="10">
        <v>64</v>
      </c>
      <c r="D75" s="11"/>
      <c r="E75" s="10"/>
      <c r="F75" s="22" t="s">
        <v>193</v>
      </c>
      <c r="G75" s="7">
        <v>1600</v>
      </c>
      <c r="H75" s="12">
        <v>120</v>
      </c>
      <c r="I75" s="7"/>
      <c r="J75" s="7"/>
      <c r="K75" s="7"/>
      <c r="L75" s="7"/>
      <c r="M75" s="7"/>
      <c r="N75" s="7"/>
      <c r="O75" s="7"/>
      <c r="P75" s="7"/>
      <c r="Q75" s="7"/>
    </row>
    <row r="76" spans="3:19" ht="15.75" customHeight="1" x14ac:dyDescent="0.25">
      <c r="C76" s="10">
        <v>65</v>
      </c>
      <c r="D76" s="11"/>
      <c r="E76" s="10"/>
      <c r="F76" s="22" t="s">
        <v>49</v>
      </c>
      <c r="G76" s="7">
        <v>2000</v>
      </c>
      <c r="H76" s="12">
        <v>165</v>
      </c>
      <c r="I76" s="7"/>
      <c r="J76" s="7"/>
      <c r="K76" s="7"/>
      <c r="L76" s="7"/>
      <c r="M76" s="7"/>
      <c r="N76" s="7"/>
      <c r="O76" s="7"/>
      <c r="P76" s="7"/>
      <c r="Q76" s="7"/>
    </row>
    <row r="77" spans="3:19" ht="15.75" customHeight="1" x14ac:dyDescent="0.25">
      <c r="C77" s="10">
        <v>66</v>
      </c>
      <c r="D77" s="11"/>
      <c r="E77" s="10"/>
      <c r="F77" s="22" t="s">
        <v>248</v>
      </c>
      <c r="G77" s="7">
        <v>1510</v>
      </c>
      <c r="H77" s="12" t="s">
        <v>321</v>
      </c>
      <c r="I77" s="7"/>
      <c r="J77" s="7"/>
      <c r="K77" s="7"/>
      <c r="L77" s="7"/>
      <c r="M77" s="7"/>
      <c r="N77" s="7"/>
      <c r="O77" s="7"/>
      <c r="P77" s="7"/>
      <c r="Q77" s="7"/>
    </row>
    <row r="78" spans="3:19" ht="15.75" customHeight="1" x14ac:dyDescent="0.25">
      <c r="C78" s="10">
        <v>67</v>
      </c>
      <c r="D78" s="11"/>
      <c r="E78" s="10"/>
      <c r="F78" s="22" t="s">
        <v>268</v>
      </c>
      <c r="G78" s="7">
        <v>500</v>
      </c>
      <c r="H78" s="12">
        <v>158</v>
      </c>
      <c r="I78" s="7"/>
      <c r="J78" s="7"/>
      <c r="K78" s="7"/>
      <c r="L78" s="7"/>
      <c r="M78" s="7"/>
      <c r="N78" s="7"/>
      <c r="O78" s="7"/>
      <c r="P78" s="7"/>
      <c r="Q78" s="7"/>
    </row>
    <row r="79" spans="3:19" ht="15.75" customHeight="1" x14ac:dyDescent="0.25">
      <c r="C79" s="10">
        <v>68</v>
      </c>
      <c r="D79" s="11"/>
      <c r="E79" s="10"/>
      <c r="F79" s="22" t="s">
        <v>32</v>
      </c>
      <c r="G79" s="7">
        <v>700</v>
      </c>
      <c r="H79" s="12">
        <v>200</v>
      </c>
      <c r="I79" s="7"/>
      <c r="J79" s="7"/>
      <c r="K79" s="7"/>
      <c r="L79" s="7"/>
      <c r="M79" s="7"/>
      <c r="N79" s="7"/>
      <c r="O79" s="7"/>
      <c r="P79" s="7"/>
      <c r="Q79" s="7"/>
    </row>
    <row r="80" spans="3:19" ht="15.75" customHeight="1" x14ac:dyDescent="0.25">
      <c r="C80" s="10">
        <v>69</v>
      </c>
      <c r="D80" s="11"/>
      <c r="E80" s="10"/>
      <c r="F80" s="22" t="s">
        <v>112</v>
      </c>
      <c r="G80" s="7">
        <v>8000</v>
      </c>
      <c r="H80" s="12" t="s">
        <v>324</v>
      </c>
      <c r="I80" s="7"/>
      <c r="J80" s="7"/>
      <c r="K80" s="7"/>
      <c r="L80" s="7"/>
      <c r="M80" s="7"/>
      <c r="N80" s="7"/>
      <c r="O80" s="7"/>
      <c r="P80" s="7"/>
      <c r="Q80" s="7"/>
    </row>
    <row r="81" spans="3:17" ht="15.75" customHeight="1" x14ac:dyDescent="0.25">
      <c r="C81" s="10">
        <v>70</v>
      </c>
      <c r="D81" s="11"/>
      <c r="E81" s="10"/>
      <c r="F81" s="22" t="s">
        <v>325</v>
      </c>
      <c r="G81" s="7">
        <v>500</v>
      </c>
      <c r="H81" s="12">
        <v>209</v>
      </c>
      <c r="I81" s="7"/>
      <c r="J81" s="7"/>
      <c r="K81" s="7"/>
      <c r="L81" s="7"/>
      <c r="M81" s="7"/>
      <c r="N81" s="7"/>
      <c r="O81" s="7"/>
      <c r="P81" s="7"/>
      <c r="Q81" s="7"/>
    </row>
    <row r="82" spans="3:17" ht="15.75" customHeight="1" x14ac:dyDescent="0.25">
      <c r="C82" s="10">
        <v>71</v>
      </c>
      <c r="D82" s="11"/>
      <c r="E82" s="10"/>
      <c r="F82" s="22" t="s">
        <v>284</v>
      </c>
      <c r="G82" s="7">
        <v>520</v>
      </c>
      <c r="H82" s="12" t="s">
        <v>326</v>
      </c>
      <c r="I82" s="7"/>
      <c r="J82" s="7"/>
      <c r="K82" s="7"/>
      <c r="L82" s="7"/>
      <c r="M82" s="7"/>
      <c r="N82" s="7"/>
      <c r="O82" s="7"/>
      <c r="P82" s="7"/>
      <c r="Q82" s="14"/>
    </row>
    <row r="83" spans="3:17" ht="15.75" customHeight="1" x14ac:dyDescent="0.25">
      <c r="C83" s="10">
        <v>72</v>
      </c>
      <c r="D83" s="11"/>
      <c r="E83" s="10"/>
      <c r="F83" s="22" t="s">
        <v>43</v>
      </c>
      <c r="G83" s="7">
        <v>1000</v>
      </c>
      <c r="H83" s="12">
        <v>162</v>
      </c>
      <c r="I83" s="7"/>
      <c r="J83" s="7"/>
      <c r="K83" s="7"/>
      <c r="L83" s="7"/>
      <c r="M83" s="7"/>
      <c r="N83" s="7"/>
      <c r="O83" s="7"/>
      <c r="P83" s="7"/>
      <c r="Q83" s="7"/>
    </row>
    <row r="84" spans="3:17" ht="15.75" customHeight="1" x14ac:dyDescent="0.25">
      <c r="C84" s="10">
        <v>73</v>
      </c>
      <c r="D84" s="11"/>
      <c r="E84" s="10"/>
      <c r="F84" s="22" t="s">
        <v>268</v>
      </c>
      <c r="G84" s="7">
        <v>500</v>
      </c>
      <c r="H84" s="12">
        <v>200</v>
      </c>
      <c r="I84" s="7"/>
      <c r="J84" s="7"/>
      <c r="K84" s="7"/>
      <c r="L84" s="7"/>
      <c r="M84" s="7"/>
      <c r="N84" s="7"/>
      <c r="O84" s="7"/>
      <c r="P84" s="7"/>
      <c r="Q84" s="7"/>
    </row>
    <row r="85" spans="3:17" ht="15.75" customHeight="1" x14ac:dyDescent="0.25">
      <c r="C85" s="10">
        <v>74</v>
      </c>
      <c r="D85" s="11"/>
      <c r="E85" s="10"/>
      <c r="F85" s="22" t="s">
        <v>30</v>
      </c>
      <c r="G85" s="7">
        <v>300</v>
      </c>
      <c r="H85" s="12" t="s">
        <v>329</v>
      </c>
      <c r="I85" s="7"/>
      <c r="J85" s="7"/>
      <c r="K85" s="7"/>
      <c r="L85" s="7"/>
      <c r="M85" s="7"/>
      <c r="N85" s="7"/>
      <c r="O85" s="7"/>
      <c r="P85" s="7"/>
      <c r="Q85" s="7"/>
    </row>
    <row r="86" spans="3:17" ht="15.75" customHeight="1" x14ac:dyDescent="0.25">
      <c r="C86" s="10">
        <v>75</v>
      </c>
      <c r="D86" s="11"/>
      <c r="E86" s="10"/>
      <c r="F86" s="22" t="s">
        <v>190</v>
      </c>
      <c r="G86" s="7">
        <v>1100</v>
      </c>
      <c r="H86" s="12" t="s">
        <v>330</v>
      </c>
      <c r="I86" s="7"/>
      <c r="J86" s="7"/>
      <c r="K86" s="7"/>
      <c r="L86" s="7"/>
      <c r="M86" s="7"/>
      <c r="N86" s="7"/>
      <c r="O86" s="7"/>
      <c r="P86" s="7"/>
      <c r="Q86" s="7"/>
    </row>
    <row r="87" spans="3:17" ht="15.75" customHeight="1" x14ac:dyDescent="0.25">
      <c r="C87" s="10">
        <v>76</v>
      </c>
      <c r="D87" s="11"/>
      <c r="E87" s="10"/>
      <c r="F87" s="22" t="s">
        <v>331</v>
      </c>
      <c r="G87" s="7">
        <v>40</v>
      </c>
      <c r="H87" s="12">
        <v>195</v>
      </c>
      <c r="I87" s="7"/>
      <c r="J87" s="7"/>
      <c r="K87" s="7"/>
      <c r="L87" s="7"/>
      <c r="M87" s="7"/>
      <c r="N87" s="7"/>
      <c r="O87" s="7"/>
      <c r="P87" s="7"/>
      <c r="Q87" s="7"/>
    </row>
    <row r="88" spans="3:17" ht="15.75" customHeight="1" x14ac:dyDescent="0.25">
      <c r="C88" s="10">
        <v>77</v>
      </c>
      <c r="D88" s="11"/>
      <c r="E88" s="10"/>
      <c r="F88" s="22" t="s">
        <v>69</v>
      </c>
      <c r="G88" s="7">
        <v>340</v>
      </c>
      <c r="H88" s="12">
        <v>205</v>
      </c>
      <c r="I88" s="7"/>
      <c r="J88" s="7"/>
      <c r="K88" s="7"/>
      <c r="L88" s="7"/>
      <c r="M88" s="7"/>
      <c r="N88" s="7"/>
      <c r="O88" s="7"/>
      <c r="P88" s="7"/>
      <c r="Q88" s="7"/>
    </row>
    <row r="89" spans="3:17" ht="15.75" customHeight="1" x14ac:dyDescent="0.25">
      <c r="C89" s="10">
        <v>78</v>
      </c>
      <c r="D89" s="11"/>
      <c r="E89" s="10"/>
      <c r="F89" s="22" t="s">
        <v>52</v>
      </c>
      <c r="G89" s="7">
        <v>4000</v>
      </c>
      <c r="H89" s="12" t="s">
        <v>332</v>
      </c>
      <c r="I89" s="7"/>
      <c r="J89" s="7"/>
      <c r="K89" s="7"/>
      <c r="L89" s="7"/>
      <c r="M89" s="7"/>
      <c r="N89" s="7"/>
      <c r="O89" s="7"/>
      <c r="P89" s="7"/>
      <c r="Q89" s="7"/>
    </row>
    <row r="90" spans="3:17" ht="15.75" customHeight="1" x14ac:dyDescent="0.25">
      <c r="C90" s="10">
        <v>79</v>
      </c>
      <c r="D90" s="11"/>
      <c r="E90" s="10"/>
      <c r="F90" s="22" t="s">
        <v>37</v>
      </c>
      <c r="G90" s="7">
        <v>500</v>
      </c>
      <c r="H90" s="12">
        <v>125</v>
      </c>
      <c r="I90" s="7"/>
      <c r="J90" s="7"/>
      <c r="K90" s="7"/>
      <c r="L90" s="7"/>
      <c r="M90" s="7"/>
      <c r="N90" s="7"/>
      <c r="O90" s="7"/>
      <c r="P90" s="7"/>
      <c r="Q90" s="7"/>
    </row>
    <row r="91" spans="3:17" ht="15.75" customHeight="1" x14ac:dyDescent="0.25">
      <c r="C91" s="10">
        <v>80</v>
      </c>
      <c r="D91" s="11"/>
      <c r="E91" s="10"/>
      <c r="F91" s="22" t="s">
        <v>220</v>
      </c>
      <c r="G91" s="7">
        <v>1000</v>
      </c>
      <c r="H91" s="12">
        <v>163</v>
      </c>
      <c r="I91" s="7"/>
      <c r="J91" s="7"/>
      <c r="K91" s="7"/>
      <c r="L91" s="7"/>
      <c r="M91" s="7"/>
      <c r="N91" s="7"/>
      <c r="O91" s="7"/>
      <c r="P91" s="7"/>
      <c r="Q91" s="7"/>
    </row>
    <row r="92" spans="3:17" ht="15.75" customHeight="1" x14ac:dyDescent="0.25">
      <c r="C92" s="10">
        <v>81</v>
      </c>
      <c r="D92" s="11"/>
      <c r="E92" s="10"/>
      <c r="F92" s="22" t="s">
        <v>333</v>
      </c>
      <c r="G92" s="7">
        <v>1000</v>
      </c>
      <c r="H92" s="12">
        <v>147</v>
      </c>
      <c r="I92" s="7"/>
      <c r="J92" s="7"/>
      <c r="K92" s="7"/>
      <c r="L92" s="7"/>
      <c r="M92" s="7"/>
      <c r="N92" s="7"/>
      <c r="O92" s="7"/>
      <c r="P92" s="7"/>
      <c r="Q92" s="7"/>
    </row>
    <row r="93" spans="3:17" ht="15.75" customHeight="1" x14ac:dyDescent="0.25">
      <c r="C93" s="13" t="s">
        <v>3</v>
      </c>
      <c r="D93" s="14"/>
      <c r="E93" s="13"/>
      <c r="F93" s="25"/>
      <c r="G93" s="14">
        <f>SUM(G13:G92)</f>
        <v>96625</v>
      </c>
      <c r="H93" s="14"/>
      <c r="I93" s="14">
        <f t="shared" ref="I93:Q93" si="6">SUM(I13:I92)</f>
        <v>14440</v>
      </c>
      <c r="J93" s="14">
        <f t="shared" si="6"/>
        <v>5850</v>
      </c>
      <c r="K93" s="14">
        <f t="shared" si="6"/>
        <v>4275</v>
      </c>
      <c r="L93" s="14">
        <f t="shared" si="6"/>
        <v>2800</v>
      </c>
      <c r="M93" s="14">
        <f t="shared" si="6"/>
        <v>3800</v>
      </c>
      <c r="N93" s="14">
        <f t="shared" si="6"/>
        <v>6275</v>
      </c>
      <c r="O93" s="14">
        <f t="shared" si="6"/>
        <v>6600</v>
      </c>
      <c r="P93" s="14">
        <f t="shared" si="6"/>
        <v>1600</v>
      </c>
      <c r="Q93" s="14">
        <f t="shared" si="6"/>
        <v>3300</v>
      </c>
    </row>
    <row r="94" spans="3:17" ht="15.75" customHeight="1" x14ac:dyDescent="0.25">
      <c r="C94" s="1"/>
      <c r="E94" s="1"/>
      <c r="F94" s="16"/>
    </row>
    <row r="95" spans="3:17" ht="15.75" customHeight="1" x14ac:dyDescent="0.25">
      <c r="C95" s="1"/>
      <c r="D95" s="1"/>
      <c r="E95" s="1"/>
      <c r="F95" s="16"/>
      <c r="I95" s="33">
        <f>SUM('Nov 2023'!$I$93:'Nov 2023'!$Q$93)</f>
        <v>48940</v>
      </c>
    </row>
    <row r="96" spans="3:17" ht="15.75" customHeight="1" x14ac:dyDescent="0.25">
      <c r="E96" s="1"/>
      <c r="F96" s="16"/>
    </row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T27:V27"/>
    <mergeCell ref="T28:V28"/>
    <mergeCell ref="T29:V29"/>
    <mergeCell ref="T12:W12"/>
    <mergeCell ref="T13:V13"/>
    <mergeCell ref="T24:V24"/>
    <mergeCell ref="T25:V25"/>
    <mergeCell ref="T26:V26"/>
  </mergeCells>
  <pageMargins left="0.7" right="0.7" top="0.75" bottom="0.75" header="0" footer="0"/>
  <pageSetup paperSize="9" orientation="portrait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C4:W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8" customWidth="1"/>
    <col min="3" max="3" width="9.85546875" customWidth="1"/>
    <col min="4" max="4" width="13.140625" customWidth="1"/>
    <col min="5" max="5" width="10.42578125" customWidth="1"/>
    <col min="6" max="6" width="9.42578125" customWidth="1"/>
    <col min="7" max="14" width="8.7109375" customWidth="1"/>
    <col min="15" max="15" width="11.7109375" customWidth="1"/>
    <col min="16" max="16" width="11.42578125" customWidth="1"/>
    <col min="17" max="17" width="11.85546875" customWidth="1"/>
    <col min="18" max="20" width="8.7109375" customWidth="1"/>
    <col min="21" max="21" width="10.7109375" customWidth="1"/>
    <col min="22" max="26" width="8.7109375" customWidth="1"/>
  </cols>
  <sheetData>
    <row r="4" spans="3:17" ht="15.75" x14ac:dyDescent="0.25">
      <c r="C4" s="1"/>
      <c r="D4" s="2" t="s">
        <v>364</v>
      </c>
      <c r="E4" s="17"/>
      <c r="F4" s="18"/>
      <c r="G4" s="2"/>
      <c r="H4" s="2"/>
      <c r="I4" s="2"/>
      <c r="J4" s="2"/>
      <c r="K4" s="8"/>
      <c r="L4" s="2"/>
      <c r="M4" s="3"/>
      <c r="N4" s="3"/>
      <c r="O4" s="65" t="s">
        <v>88</v>
      </c>
      <c r="P4" s="60" t="s">
        <v>2</v>
      </c>
      <c r="Q4" s="66" t="s">
        <v>117</v>
      </c>
    </row>
    <row r="5" spans="3:17" ht="15.75" x14ac:dyDescent="0.25">
      <c r="C5" s="1"/>
      <c r="D5" s="67" t="s">
        <v>1</v>
      </c>
      <c r="E5" s="44" t="s">
        <v>2</v>
      </c>
      <c r="F5" s="45">
        <v>1799</v>
      </c>
      <c r="G5" s="46">
        <v>2699</v>
      </c>
      <c r="H5" s="46">
        <v>588</v>
      </c>
      <c r="I5" s="46">
        <v>2088</v>
      </c>
      <c r="J5" s="46">
        <v>2488</v>
      </c>
      <c r="K5" s="46">
        <v>2688</v>
      </c>
      <c r="L5" s="45">
        <v>3099</v>
      </c>
      <c r="M5" s="62" t="s">
        <v>295</v>
      </c>
      <c r="N5" s="45" t="s">
        <v>3</v>
      </c>
      <c r="O5" s="47"/>
      <c r="P5" s="42"/>
      <c r="Q5" s="42"/>
    </row>
    <row r="6" spans="3:17" ht="18.75" x14ac:dyDescent="0.3">
      <c r="C6" s="1"/>
      <c r="D6" s="6" t="s">
        <v>259</v>
      </c>
      <c r="E6" s="7">
        <v>194753</v>
      </c>
      <c r="F6" s="7">
        <v>38075</v>
      </c>
      <c r="G6" s="7">
        <v>16000</v>
      </c>
      <c r="H6" s="7">
        <v>5200</v>
      </c>
      <c r="I6" s="7">
        <v>0</v>
      </c>
      <c r="J6" s="7">
        <v>11725</v>
      </c>
      <c r="K6" s="7">
        <v>9250</v>
      </c>
      <c r="L6" s="7">
        <v>16400</v>
      </c>
      <c r="M6" s="7">
        <v>10520</v>
      </c>
      <c r="N6" s="7">
        <f>SUM(E6:M6)</f>
        <v>301923</v>
      </c>
      <c r="O6" s="68">
        <f t="shared" ref="O6:O9" si="0">SUM(F6:M6)</f>
        <v>107170</v>
      </c>
      <c r="P6" s="69">
        <f t="shared" ref="P6:P9" si="1">E6</f>
        <v>194753</v>
      </c>
      <c r="Q6" s="70">
        <f t="shared" ref="Q6:Q7" si="2">O6+P6</f>
        <v>301923</v>
      </c>
    </row>
    <row r="7" spans="3:17" ht="18.75" x14ac:dyDescent="0.3">
      <c r="C7" s="1"/>
      <c r="D7" s="6" t="s">
        <v>365</v>
      </c>
      <c r="E7" s="7">
        <f>W32</f>
        <v>60360</v>
      </c>
      <c r="F7" s="7">
        <f t="shared" ref="F7:N7" si="3">F18</f>
        <v>0</v>
      </c>
      <c r="G7" s="7">
        <f t="shared" si="3"/>
        <v>9000</v>
      </c>
      <c r="H7" s="7">
        <f t="shared" si="3"/>
        <v>27000</v>
      </c>
      <c r="I7" s="7">
        <f t="shared" si="3"/>
        <v>36000</v>
      </c>
      <c r="J7" s="7">
        <f t="shared" si="3"/>
        <v>36000</v>
      </c>
      <c r="K7" s="7">
        <f t="shared" si="3"/>
        <v>18000</v>
      </c>
      <c r="L7" s="7">
        <f t="shared" si="3"/>
        <v>18000</v>
      </c>
      <c r="M7" s="7">
        <f t="shared" si="3"/>
        <v>19000</v>
      </c>
      <c r="N7" s="7">
        <f t="shared" si="3"/>
        <v>163000</v>
      </c>
      <c r="O7" s="68">
        <f t="shared" si="0"/>
        <v>163000</v>
      </c>
      <c r="P7" s="69">
        <f t="shared" si="1"/>
        <v>60360</v>
      </c>
      <c r="Q7" s="70">
        <f t="shared" si="2"/>
        <v>223360</v>
      </c>
    </row>
    <row r="8" spans="3:17" ht="21" x14ac:dyDescent="0.35">
      <c r="C8" s="1"/>
      <c r="D8" s="71" t="s">
        <v>366</v>
      </c>
      <c r="E8" s="48">
        <f>'Dec 2023'!$I$101</f>
        <v>69540</v>
      </c>
      <c r="F8" s="48">
        <f>'Dec 2023'!$J$101</f>
        <v>21450</v>
      </c>
      <c r="G8" s="49">
        <f>'Dec 2023'!$K$101</f>
        <v>12625</v>
      </c>
      <c r="H8" s="49">
        <f>'Dec 2023'!$L$101</f>
        <v>6120</v>
      </c>
      <c r="I8" s="49">
        <f>'Dec 2023'!$M$101</f>
        <v>22500</v>
      </c>
      <c r="J8" s="49">
        <f>'Dec 2023'!$N$101</f>
        <v>12025</v>
      </c>
      <c r="K8" s="49">
        <f>'Dec 2023'!$O$101</f>
        <v>4650</v>
      </c>
      <c r="L8" s="49">
        <f>'Dec 2023'!$P$101</f>
        <v>1000</v>
      </c>
      <c r="M8" s="49">
        <f>'Dec 2023'!$Q$101</f>
        <v>3560</v>
      </c>
      <c r="N8" s="72">
        <f>SUM(E8:M8)</f>
        <v>153470</v>
      </c>
      <c r="O8" s="73">
        <f t="shared" si="0"/>
        <v>83930</v>
      </c>
      <c r="P8" s="74">
        <f t="shared" si="1"/>
        <v>69540</v>
      </c>
      <c r="Q8" s="75">
        <f t="shared" ref="Q8:Q9" si="4">SUM(O8,P8)</f>
        <v>153470</v>
      </c>
    </row>
    <row r="9" spans="3:17" ht="17.25" x14ac:dyDescent="0.3">
      <c r="C9" s="1"/>
      <c r="D9" s="6" t="s">
        <v>261</v>
      </c>
      <c r="E9" s="12">
        <f t="shared" ref="E9:N9" si="5">SUM(E6,E7-E8)</f>
        <v>185573</v>
      </c>
      <c r="F9" s="12">
        <f t="shared" si="5"/>
        <v>16625</v>
      </c>
      <c r="G9" s="12">
        <f t="shared" si="5"/>
        <v>12375</v>
      </c>
      <c r="H9" s="12">
        <f t="shared" si="5"/>
        <v>26080</v>
      </c>
      <c r="I9" s="12">
        <f t="shared" si="5"/>
        <v>13500</v>
      </c>
      <c r="J9" s="12">
        <f t="shared" si="5"/>
        <v>35700</v>
      </c>
      <c r="K9" s="12">
        <f t="shared" si="5"/>
        <v>22600</v>
      </c>
      <c r="L9" s="12">
        <f t="shared" si="5"/>
        <v>33400</v>
      </c>
      <c r="M9" s="12">
        <f t="shared" si="5"/>
        <v>25960</v>
      </c>
      <c r="N9" s="12">
        <f t="shared" si="5"/>
        <v>311453</v>
      </c>
      <c r="O9" s="55">
        <f t="shared" si="0"/>
        <v>186240</v>
      </c>
      <c r="P9" s="56">
        <f t="shared" si="1"/>
        <v>185573</v>
      </c>
      <c r="Q9" s="57">
        <f t="shared" si="4"/>
        <v>371813</v>
      </c>
    </row>
    <row r="10" spans="3:17" x14ac:dyDescent="0.25">
      <c r="C10" s="1"/>
      <c r="E10" s="1"/>
      <c r="F10" s="16"/>
    </row>
    <row r="11" spans="3:17" ht="15.75" x14ac:dyDescent="0.25">
      <c r="C11" s="103" t="s">
        <v>367</v>
      </c>
      <c r="D11" s="99"/>
      <c r="E11" s="10" t="s">
        <v>368</v>
      </c>
      <c r="F11" s="45">
        <v>1799</v>
      </c>
      <c r="G11" s="46">
        <v>2699</v>
      </c>
      <c r="H11" s="46">
        <v>588</v>
      </c>
      <c r="I11" s="46">
        <v>2088</v>
      </c>
      <c r="J11" s="46">
        <v>2488</v>
      </c>
      <c r="K11" s="46">
        <v>2688</v>
      </c>
      <c r="L11" s="45">
        <v>3099</v>
      </c>
      <c r="M11" s="62" t="s">
        <v>295</v>
      </c>
      <c r="N11" s="45" t="s">
        <v>3</v>
      </c>
      <c r="O11" s="76" t="s">
        <v>369</v>
      </c>
      <c r="P11" s="76" t="s">
        <v>370</v>
      </c>
    </row>
    <row r="12" spans="3:17" x14ac:dyDescent="0.25">
      <c r="C12" s="10" t="s">
        <v>371</v>
      </c>
      <c r="D12" s="77" t="s">
        <v>372</v>
      </c>
      <c r="E12" s="10" t="s">
        <v>373</v>
      </c>
      <c r="F12" s="22"/>
      <c r="G12" s="7"/>
      <c r="H12" s="7"/>
      <c r="I12" s="7"/>
      <c r="J12" s="7"/>
      <c r="K12" s="7"/>
      <c r="L12" s="7"/>
      <c r="M12" s="7"/>
      <c r="N12" s="7">
        <f t="shared" ref="N12:N18" si="6">SUM(F12:M12)</f>
        <v>0</v>
      </c>
      <c r="O12" s="10"/>
      <c r="P12" s="10"/>
    </row>
    <row r="13" spans="3:17" x14ac:dyDescent="0.25">
      <c r="C13" s="10">
        <v>1</v>
      </c>
      <c r="D13" s="7" t="s">
        <v>374</v>
      </c>
      <c r="E13" s="78">
        <v>45261</v>
      </c>
      <c r="F13" s="22"/>
      <c r="G13" s="7"/>
      <c r="H13" s="7"/>
      <c r="I13" s="7">
        <v>18000</v>
      </c>
      <c r="J13" s="7"/>
      <c r="K13" s="7"/>
      <c r="L13" s="7"/>
      <c r="M13" s="7"/>
      <c r="N13" s="7">
        <f t="shared" si="6"/>
        <v>18000</v>
      </c>
      <c r="O13" s="10" t="s">
        <v>375</v>
      </c>
      <c r="P13" s="10">
        <v>12</v>
      </c>
    </row>
    <row r="14" spans="3:17" x14ac:dyDescent="0.25">
      <c r="C14" s="10">
        <v>2</v>
      </c>
      <c r="D14" s="7" t="s">
        <v>376</v>
      </c>
      <c r="E14" s="78">
        <v>45268</v>
      </c>
      <c r="F14" s="22"/>
      <c r="G14" s="7">
        <v>9000</v>
      </c>
      <c r="H14" s="7">
        <v>9000</v>
      </c>
      <c r="I14" s="7">
        <v>9000</v>
      </c>
      <c r="J14" s="7">
        <v>18000</v>
      </c>
      <c r="K14" s="7">
        <v>9000</v>
      </c>
      <c r="L14" s="7"/>
      <c r="M14" s="7"/>
      <c r="N14" s="7">
        <f t="shared" si="6"/>
        <v>54000</v>
      </c>
      <c r="O14" s="10" t="s">
        <v>375</v>
      </c>
      <c r="P14" s="10">
        <v>10</v>
      </c>
    </row>
    <row r="15" spans="3:17" x14ac:dyDescent="0.25">
      <c r="C15" s="10">
        <v>3</v>
      </c>
      <c r="D15" s="7" t="s">
        <v>376</v>
      </c>
      <c r="E15" s="78">
        <v>45282</v>
      </c>
      <c r="F15" s="22"/>
      <c r="G15" s="7"/>
      <c r="H15" s="7">
        <v>18000</v>
      </c>
      <c r="I15" s="7">
        <v>9000</v>
      </c>
      <c r="J15" s="7">
        <v>18000</v>
      </c>
      <c r="K15" s="7">
        <v>9000</v>
      </c>
      <c r="L15" s="7"/>
      <c r="M15" s="7"/>
      <c r="N15" s="7">
        <f t="shared" si="6"/>
        <v>54000</v>
      </c>
      <c r="O15" s="10" t="s">
        <v>375</v>
      </c>
      <c r="P15" s="10">
        <v>13</v>
      </c>
    </row>
    <row r="16" spans="3:17" x14ac:dyDescent="0.25">
      <c r="C16" s="10">
        <v>4</v>
      </c>
      <c r="D16" s="7" t="s">
        <v>374</v>
      </c>
      <c r="E16" s="78">
        <v>45282</v>
      </c>
      <c r="F16" s="22"/>
      <c r="G16" s="7"/>
      <c r="H16" s="7"/>
      <c r="I16" s="7"/>
      <c r="J16" s="7"/>
      <c r="K16" s="7"/>
      <c r="L16" s="7">
        <v>18000</v>
      </c>
      <c r="M16" s="7"/>
      <c r="N16" s="7">
        <f t="shared" si="6"/>
        <v>18000</v>
      </c>
      <c r="O16" s="10" t="s">
        <v>377</v>
      </c>
      <c r="P16" s="10">
        <v>45</v>
      </c>
    </row>
    <row r="17" spans="3:23" x14ac:dyDescent="0.25">
      <c r="C17" s="10">
        <v>5</v>
      </c>
      <c r="D17" s="7" t="s">
        <v>378</v>
      </c>
      <c r="E17" s="11">
        <v>45269</v>
      </c>
      <c r="F17" s="7" t="s">
        <v>84</v>
      </c>
      <c r="G17" s="7"/>
      <c r="H17" s="7"/>
      <c r="I17" s="7"/>
      <c r="J17" s="7"/>
      <c r="K17" s="7"/>
      <c r="L17" s="7"/>
      <c r="M17" s="7">
        <v>19000</v>
      </c>
      <c r="N17" s="7">
        <f t="shared" si="6"/>
        <v>19000</v>
      </c>
      <c r="O17" s="10" t="s">
        <v>377</v>
      </c>
      <c r="P17" s="10">
        <v>47</v>
      </c>
    </row>
    <row r="18" spans="3:23" x14ac:dyDescent="0.25">
      <c r="C18" s="104" t="s">
        <v>3</v>
      </c>
      <c r="D18" s="98"/>
      <c r="E18" s="99"/>
      <c r="F18" s="7">
        <f t="shared" ref="F18:M18" si="7">SUM(F12:F17)</f>
        <v>0</v>
      </c>
      <c r="G18" s="7">
        <f t="shared" si="7"/>
        <v>9000</v>
      </c>
      <c r="H18" s="7">
        <f t="shared" si="7"/>
        <v>27000</v>
      </c>
      <c r="I18" s="7">
        <f t="shared" si="7"/>
        <v>36000</v>
      </c>
      <c r="J18" s="7">
        <f t="shared" si="7"/>
        <v>36000</v>
      </c>
      <c r="K18" s="7">
        <f t="shared" si="7"/>
        <v>18000</v>
      </c>
      <c r="L18" s="7">
        <f t="shared" si="7"/>
        <v>18000</v>
      </c>
      <c r="M18" s="7">
        <f t="shared" si="7"/>
        <v>19000</v>
      </c>
      <c r="N18" s="7">
        <f t="shared" si="6"/>
        <v>163000</v>
      </c>
      <c r="O18" s="10"/>
      <c r="P18" s="10"/>
    </row>
    <row r="19" spans="3:23" x14ac:dyDescent="0.25">
      <c r="C19" s="1"/>
      <c r="E19" s="1"/>
      <c r="F19" s="16"/>
    </row>
    <row r="20" spans="3:23" ht="15.75" x14ac:dyDescent="0.25">
      <c r="C20" s="9" t="s">
        <v>8</v>
      </c>
      <c r="D20" s="4" t="s">
        <v>9</v>
      </c>
      <c r="E20" s="20" t="s">
        <v>10</v>
      </c>
      <c r="F20" s="20" t="s">
        <v>11</v>
      </c>
      <c r="G20" s="4" t="s">
        <v>4</v>
      </c>
      <c r="H20" s="4" t="s">
        <v>12</v>
      </c>
      <c r="I20" s="4" t="s">
        <v>2</v>
      </c>
      <c r="J20" s="4" t="s">
        <v>13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19</v>
      </c>
      <c r="P20" s="39" t="s">
        <v>204</v>
      </c>
      <c r="Q20" s="63" t="s">
        <v>295</v>
      </c>
      <c r="T20" s="101" t="s">
        <v>118</v>
      </c>
      <c r="U20" s="102"/>
      <c r="V20" s="102"/>
      <c r="W20" s="102"/>
    </row>
    <row r="21" spans="3:23" ht="15.75" customHeight="1" x14ac:dyDescent="0.25">
      <c r="C21" s="10">
        <v>1</v>
      </c>
      <c r="D21" s="11">
        <v>45261</v>
      </c>
      <c r="E21" s="10">
        <v>533</v>
      </c>
      <c r="F21" s="22" t="s">
        <v>20</v>
      </c>
      <c r="G21" s="7">
        <v>240</v>
      </c>
      <c r="H21" s="12">
        <v>115</v>
      </c>
      <c r="I21" s="7">
        <v>240</v>
      </c>
      <c r="J21" s="7"/>
      <c r="K21" s="7"/>
      <c r="L21" s="7"/>
      <c r="M21" s="7"/>
      <c r="N21" s="7"/>
      <c r="O21" s="7"/>
      <c r="P21" s="7"/>
      <c r="Q21" s="40"/>
      <c r="T21" s="97" t="s">
        <v>172</v>
      </c>
      <c r="U21" s="98"/>
      <c r="V21" s="98"/>
      <c r="W21" s="34"/>
    </row>
    <row r="22" spans="3:23" ht="15.75" customHeight="1" x14ac:dyDescent="0.25">
      <c r="C22" s="10">
        <v>2</v>
      </c>
      <c r="D22" s="11">
        <v>45261</v>
      </c>
      <c r="E22" s="10">
        <v>534</v>
      </c>
      <c r="F22" s="22" t="s">
        <v>269</v>
      </c>
      <c r="G22" s="7">
        <v>300</v>
      </c>
      <c r="H22" s="12">
        <v>169</v>
      </c>
      <c r="I22" s="7"/>
      <c r="J22" s="7"/>
      <c r="K22" s="7"/>
      <c r="L22" s="7"/>
      <c r="M22" s="7"/>
      <c r="N22" s="7">
        <v>300</v>
      </c>
      <c r="O22" s="7"/>
      <c r="P22" s="7"/>
      <c r="Q22" s="7"/>
      <c r="T22" s="10" t="s">
        <v>121</v>
      </c>
      <c r="U22" s="7" t="s">
        <v>9</v>
      </c>
      <c r="V22" s="7" t="s">
        <v>122</v>
      </c>
      <c r="W22" s="7" t="s">
        <v>4</v>
      </c>
    </row>
    <row r="23" spans="3:23" ht="15.75" customHeight="1" x14ac:dyDescent="0.25">
      <c r="C23" s="10">
        <v>3</v>
      </c>
      <c r="D23" s="11">
        <v>45262</v>
      </c>
      <c r="E23" s="10">
        <v>535</v>
      </c>
      <c r="F23" s="22" t="s">
        <v>269</v>
      </c>
      <c r="G23" s="7">
        <v>6000</v>
      </c>
      <c r="H23" s="12">
        <v>172</v>
      </c>
      <c r="I23" s="7"/>
      <c r="J23" s="7"/>
      <c r="K23" s="7"/>
      <c r="L23" s="7"/>
      <c r="M23" s="7">
        <v>6000</v>
      </c>
      <c r="N23" s="7"/>
      <c r="O23" s="7"/>
      <c r="P23" s="7"/>
      <c r="Q23" s="7"/>
      <c r="T23" s="10">
        <v>1</v>
      </c>
      <c r="U23" s="41">
        <v>45265</v>
      </c>
      <c r="V23" s="7" t="s">
        <v>379</v>
      </c>
      <c r="W23" s="7">
        <v>17810</v>
      </c>
    </row>
    <row r="24" spans="3:23" ht="15.75" customHeight="1" x14ac:dyDescent="0.25">
      <c r="C24" s="10">
        <v>4</v>
      </c>
      <c r="D24" s="11">
        <v>45262</v>
      </c>
      <c r="E24" s="10">
        <v>536</v>
      </c>
      <c r="F24" s="22" t="s">
        <v>48</v>
      </c>
      <c r="G24" s="7">
        <v>1000</v>
      </c>
      <c r="H24" s="31">
        <v>171</v>
      </c>
      <c r="I24" s="7"/>
      <c r="J24" s="7"/>
      <c r="K24" s="7"/>
      <c r="L24" s="7"/>
      <c r="M24" s="7"/>
      <c r="N24" s="7">
        <v>1000</v>
      </c>
      <c r="O24" s="7"/>
      <c r="P24" s="7"/>
      <c r="Q24" s="7"/>
      <c r="T24" s="10">
        <v>2</v>
      </c>
      <c r="U24" s="41">
        <v>45266</v>
      </c>
      <c r="V24" s="7" t="s">
        <v>379</v>
      </c>
      <c r="W24" s="7">
        <v>15590</v>
      </c>
    </row>
    <row r="25" spans="3:23" ht="15.75" customHeight="1" x14ac:dyDescent="0.25">
      <c r="C25" s="10">
        <v>5</v>
      </c>
      <c r="D25" s="11">
        <v>45262</v>
      </c>
      <c r="E25" s="10" t="s">
        <v>27</v>
      </c>
      <c r="F25" s="22" t="s">
        <v>255</v>
      </c>
      <c r="G25" s="7">
        <v>500</v>
      </c>
      <c r="H25" s="12">
        <v>117</v>
      </c>
      <c r="I25" s="7">
        <v>500</v>
      </c>
      <c r="J25" s="7"/>
      <c r="K25" s="7"/>
      <c r="L25" s="7"/>
      <c r="M25" s="7"/>
      <c r="N25" s="7"/>
      <c r="O25" s="7"/>
      <c r="P25" s="7"/>
      <c r="Q25" s="7"/>
      <c r="T25" s="10">
        <v>3</v>
      </c>
      <c r="U25" s="41">
        <v>45274</v>
      </c>
      <c r="V25" s="7" t="s">
        <v>380</v>
      </c>
      <c r="W25" s="7">
        <v>10000</v>
      </c>
    </row>
    <row r="26" spans="3:23" ht="15.75" customHeight="1" x14ac:dyDescent="0.25">
      <c r="C26" s="10">
        <v>6</v>
      </c>
      <c r="D26" s="11">
        <v>45262</v>
      </c>
      <c r="E26" s="10" t="s">
        <v>381</v>
      </c>
      <c r="F26" s="22" t="s">
        <v>268</v>
      </c>
      <c r="G26" s="7">
        <v>880</v>
      </c>
      <c r="H26" s="12" t="s">
        <v>346</v>
      </c>
      <c r="I26" s="7"/>
      <c r="J26" s="7">
        <v>500</v>
      </c>
      <c r="K26" s="7"/>
      <c r="L26" s="7"/>
      <c r="M26" s="7"/>
      <c r="N26" s="7"/>
      <c r="O26" s="7"/>
      <c r="P26" s="7"/>
      <c r="Q26" s="7">
        <v>380</v>
      </c>
      <c r="T26" s="10">
        <v>4</v>
      </c>
      <c r="U26" s="41">
        <v>45291</v>
      </c>
      <c r="V26" s="7" t="s">
        <v>382</v>
      </c>
      <c r="W26" s="7">
        <v>16960</v>
      </c>
    </row>
    <row r="27" spans="3:23" ht="15.75" customHeight="1" x14ac:dyDescent="0.25">
      <c r="C27" s="10">
        <v>7</v>
      </c>
      <c r="D27" s="11">
        <v>45264</v>
      </c>
      <c r="E27" s="10" t="s">
        <v>383</v>
      </c>
      <c r="F27" s="22" t="s">
        <v>49</v>
      </c>
      <c r="G27" s="7">
        <v>6000</v>
      </c>
      <c r="H27" s="12" t="s">
        <v>384</v>
      </c>
      <c r="I27" s="7"/>
      <c r="J27" s="7">
        <v>4000</v>
      </c>
      <c r="K27" s="7">
        <v>2000</v>
      </c>
      <c r="L27" s="7"/>
      <c r="M27" s="7"/>
      <c r="N27" s="7"/>
      <c r="O27" s="7"/>
      <c r="P27" s="7"/>
      <c r="Q27" s="7"/>
      <c r="T27" s="10">
        <v>5</v>
      </c>
      <c r="U27" s="41"/>
      <c r="V27" s="7"/>
      <c r="W27" s="7"/>
    </row>
    <row r="28" spans="3:23" ht="15.75" customHeight="1" x14ac:dyDescent="0.25">
      <c r="C28" s="10">
        <v>8</v>
      </c>
      <c r="D28" s="11">
        <v>45264</v>
      </c>
      <c r="E28" s="10" t="s">
        <v>385</v>
      </c>
      <c r="F28" s="22" t="s">
        <v>32</v>
      </c>
      <c r="G28" s="7">
        <v>1340</v>
      </c>
      <c r="H28" s="12" t="s">
        <v>386</v>
      </c>
      <c r="I28" s="7"/>
      <c r="J28" s="7"/>
      <c r="K28" s="7"/>
      <c r="L28" s="7"/>
      <c r="M28" s="7"/>
      <c r="N28" s="7">
        <v>500</v>
      </c>
      <c r="O28" s="7"/>
      <c r="P28" s="7"/>
      <c r="Q28" s="7">
        <v>840</v>
      </c>
      <c r="T28" s="10">
        <v>6</v>
      </c>
      <c r="U28" s="41"/>
      <c r="V28" s="7"/>
      <c r="W28" s="7"/>
    </row>
    <row r="29" spans="3:23" ht="15.75" customHeight="1" x14ac:dyDescent="0.25">
      <c r="C29" s="10">
        <v>9</v>
      </c>
      <c r="D29" s="11">
        <v>45264</v>
      </c>
      <c r="E29" s="10" t="s">
        <v>27</v>
      </c>
      <c r="F29" s="22" t="s">
        <v>69</v>
      </c>
      <c r="G29" s="7">
        <v>1000</v>
      </c>
      <c r="H29" s="12" t="s">
        <v>387</v>
      </c>
      <c r="I29" s="7">
        <v>700</v>
      </c>
      <c r="J29" s="7"/>
      <c r="K29" s="7"/>
      <c r="L29" s="7"/>
      <c r="M29" s="7"/>
      <c r="N29" s="7"/>
      <c r="O29" s="7"/>
      <c r="P29" s="7"/>
      <c r="Q29" s="7">
        <v>300</v>
      </c>
      <c r="T29" s="10">
        <v>7</v>
      </c>
      <c r="U29" s="41"/>
      <c r="V29" s="7"/>
      <c r="W29" s="7"/>
    </row>
    <row r="30" spans="3:23" ht="15.75" customHeight="1" x14ac:dyDescent="0.25">
      <c r="C30" s="10">
        <v>10</v>
      </c>
      <c r="D30" s="11">
        <v>45264</v>
      </c>
      <c r="E30" s="10">
        <v>539</v>
      </c>
      <c r="F30" s="22" t="s">
        <v>26</v>
      </c>
      <c r="G30" s="7">
        <v>200</v>
      </c>
      <c r="H30" s="12">
        <v>185</v>
      </c>
      <c r="I30" s="7"/>
      <c r="J30" s="7"/>
      <c r="K30" s="7"/>
      <c r="L30" s="7"/>
      <c r="M30" s="7"/>
      <c r="N30" s="7"/>
      <c r="O30" s="7">
        <v>200</v>
      </c>
      <c r="P30" s="7"/>
      <c r="Q30" s="7"/>
      <c r="T30" s="10">
        <v>8</v>
      </c>
      <c r="U30" s="11"/>
      <c r="V30" s="7"/>
      <c r="W30" s="7"/>
    </row>
    <row r="31" spans="3:23" ht="15.75" customHeight="1" x14ac:dyDescent="0.25">
      <c r="C31" s="10">
        <v>11</v>
      </c>
      <c r="D31" s="11">
        <v>45264</v>
      </c>
      <c r="E31" s="10">
        <v>540</v>
      </c>
      <c r="F31" s="22" t="s">
        <v>248</v>
      </c>
      <c r="G31" s="7">
        <v>1000</v>
      </c>
      <c r="H31" s="12">
        <v>165</v>
      </c>
      <c r="I31" s="7"/>
      <c r="J31" s="7"/>
      <c r="K31" s="7">
        <v>1000</v>
      </c>
      <c r="L31" s="7"/>
      <c r="M31" s="7"/>
      <c r="N31" s="7"/>
      <c r="O31" s="7"/>
      <c r="P31" s="7"/>
      <c r="Q31" s="7"/>
      <c r="T31" s="10"/>
      <c r="U31" s="7"/>
      <c r="V31" s="7"/>
      <c r="W31" s="7"/>
    </row>
    <row r="32" spans="3:23" ht="15.75" customHeight="1" x14ac:dyDescent="0.25">
      <c r="C32" s="10">
        <v>12</v>
      </c>
      <c r="D32" s="11">
        <v>37961</v>
      </c>
      <c r="E32" s="10" t="s">
        <v>27</v>
      </c>
      <c r="F32" s="22" t="s">
        <v>30</v>
      </c>
      <c r="G32" s="7">
        <v>100</v>
      </c>
      <c r="H32" s="12">
        <v>200</v>
      </c>
      <c r="I32" s="7"/>
      <c r="J32" s="7"/>
      <c r="K32" s="7"/>
      <c r="L32" s="7"/>
      <c r="M32" s="7"/>
      <c r="N32" s="7"/>
      <c r="O32" s="7"/>
      <c r="P32" s="7"/>
      <c r="Q32" s="7">
        <v>100</v>
      </c>
      <c r="T32" s="97" t="s">
        <v>181</v>
      </c>
      <c r="U32" s="98"/>
      <c r="V32" s="99"/>
      <c r="W32" s="7">
        <f>SUM(W23:W30)</f>
        <v>60360</v>
      </c>
    </row>
    <row r="33" spans="3:23" ht="15.75" customHeight="1" x14ac:dyDescent="0.25">
      <c r="C33" s="10">
        <v>13</v>
      </c>
      <c r="D33" s="11">
        <v>45265</v>
      </c>
      <c r="E33" s="10" t="s">
        <v>388</v>
      </c>
      <c r="F33" s="22" t="s">
        <v>49</v>
      </c>
      <c r="G33" s="7">
        <v>5500</v>
      </c>
      <c r="H33" s="12" t="s">
        <v>389</v>
      </c>
      <c r="I33" s="7"/>
      <c r="J33" s="7"/>
      <c r="K33" s="7"/>
      <c r="L33" s="7"/>
      <c r="M33" s="7">
        <v>3000</v>
      </c>
      <c r="N33" s="7">
        <v>2000</v>
      </c>
      <c r="O33" s="7">
        <v>500</v>
      </c>
      <c r="P33" s="7"/>
      <c r="Q33" s="7"/>
      <c r="T33" s="97" t="s">
        <v>183</v>
      </c>
      <c r="U33" s="98"/>
      <c r="V33" s="99"/>
      <c r="W33" s="7">
        <v>194753</v>
      </c>
    </row>
    <row r="34" spans="3:23" ht="15.75" customHeight="1" x14ac:dyDescent="0.25">
      <c r="C34" s="10">
        <v>14</v>
      </c>
      <c r="D34" s="11">
        <v>45267</v>
      </c>
      <c r="E34" s="10">
        <v>544</v>
      </c>
      <c r="F34" s="22" t="s">
        <v>80</v>
      </c>
      <c r="G34" s="7">
        <v>1000</v>
      </c>
      <c r="H34" s="12" t="s">
        <v>390</v>
      </c>
      <c r="I34" s="7"/>
      <c r="J34" s="7">
        <v>500</v>
      </c>
      <c r="K34" s="7"/>
      <c r="L34" s="7"/>
      <c r="M34" s="7"/>
      <c r="N34" s="7">
        <v>500</v>
      </c>
      <c r="O34" s="7"/>
      <c r="P34" s="7"/>
      <c r="Q34" s="7"/>
      <c r="T34" s="97" t="s">
        <v>184</v>
      </c>
      <c r="U34" s="98"/>
      <c r="V34" s="99"/>
      <c r="W34" s="35">
        <f>SUM(W32,W33)</f>
        <v>255113</v>
      </c>
    </row>
    <row r="35" spans="3:23" ht="15.75" customHeight="1" x14ac:dyDescent="0.25">
      <c r="C35" s="10">
        <v>15</v>
      </c>
      <c r="D35" s="11">
        <v>45267</v>
      </c>
      <c r="E35" s="10">
        <v>545</v>
      </c>
      <c r="F35" s="22" t="s">
        <v>391</v>
      </c>
      <c r="G35" s="7">
        <v>6000</v>
      </c>
      <c r="H35" s="12" t="s">
        <v>392</v>
      </c>
      <c r="I35" s="7">
        <v>4000</v>
      </c>
      <c r="J35" s="7">
        <v>2000</v>
      </c>
      <c r="K35" s="7"/>
      <c r="L35" s="7"/>
      <c r="M35" s="7"/>
      <c r="N35" s="7"/>
      <c r="O35" s="7"/>
      <c r="P35" s="7"/>
      <c r="Q35" s="7"/>
      <c r="T35" s="97" t="s">
        <v>186</v>
      </c>
      <c r="U35" s="98"/>
      <c r="V35" s="99"/>
      <c r="W35" s="7">
        <f>'Dec 2023'!$I$101</f>
        <v>69540</v>
      </c>
    </row>
    <row r="36" spans="3:23" ht="15.75" customHeight="1" x14ac:dyDescent="0.25">
      <c r="C36" s="10">
        <v>16</v>
      </c>
      <c r="D36" s="11">
        <v>45268</v>
      </c>
      <c r="E36" s="24">
        <v>546</v>
      </c>
      <c r="F36" s="22" t="s">
        <v>362</v>
      </c>
      <c r="G36" s="7">
        <v>1000</v>
      </c>
      <c r="H36" s="12">
        <v>160</v>
      </c>
      <c r="I36" s="7"/>
      <c r="J36" s="7"/>
      <c r="K36" s="7"/>
      <c r="L36" s="7"/>
      <c r="M36" s="7"/>
      <c r="N36" s="7"/>
      <c r="O36" s="7"/>
      <c r="P36" s="7">
        <v>1000</v>
      </c>
      <c r="Q36" s="7"/>
      <c r="T36" s="97"/>
      <c r="U36" s="98"/>
      <c r="V36" s="99"/>
      <c r="W36" s="7"/>
    </row>
    <row r="37" spans="3:23" ht="15.75" customHeight="1" x14ac:dyDescent="0.25">
      <c r="C37" s="10">
        <v>17</v>
      </c>
      <c r="D37" s="11">
        <v>45268</v>
      </c>
      <c r="E37" s="10">
        <v>547</v>
      </c>
      <c r="F37" s="22" t="s">
        <v>336</v>
      </c>
      <c r="G37" s="7">
        <v>3000</v>
      </c>
      <c r="H37" s="12">
        <v>163</v>
      </c>
      <c r="I37" s="7"/>
      <c r="J37" s="7"/>
      <c r="K37" s="7"/>
      <c r="L37" s="7">
        <v>3000</v>
      </c>
      <c r="M37" s="7"/>
      <c r="N37" s="7"/>
      <c r="O37" s="7"/>
      <c r="P37" s="7"/>
      <c r="Q37" s="7"/>
      <c r="T37" s="100" t="s">
        <v>188</v>
      </c>
      <c r="U37" s="98"/>
      <c r="V37" s="99"/>
      <c r="W37" s="36">
        <f>SUM(W34-W35)</f>
        <v>185573</v>
      </c>
    </row>
    <row r="38" spans="3:23" ht="15.75" customHeight="1" x14ac:dyDescent="0.25">
      <c r="C38" s="10">
        <v>18</v>
      </c>
      <c r="D38" s="11">
        <v>45269</v>
      </c>
      <c r="E38" s="10" t="s">
        <v>393</v>
      </c>
      <c r="F38" s="22" t="s">
        <v>139</v>
      </c>
      <c r="G38" s="7">
        <v>2000</v>
      </c>
      <c r="H38" s="12">
        <v>169</v>
      </c>
      <c r="I38" s="7"/>
      <c r="J38" s="7"/>
      <c r="K38" s="7"/>
      <c r="L38" s="7"/>
      <c r="M38" s="7">
        <v>2000</v>
      </c>
      <c r="N38" s="7"/>
      <c r="O38" s="7"/>
      <c r="P38" s="7"/>
      <c r="Q38" s="7"/>
    </row>
    <row r="39" spans="3:23" ht="15.75" customHeight="1" x14ac:dyDescent="0.25">
      <c r="C39" s="10">
        <v>19</v>
      </c>
      <c r="D39" s="11">
        <v>45269</v>
      </c>
      <c r="E39" s="10">
        <v>548</v>
      </c>
      <c r="F39" s="22" t="s">
        <v>71</v>
      </c>
      <c r="G39" s="7">
        <v>500</v>
      </c>
      <c r="H39" s="12">
        <v>161</v>
      </c>
      <c r="I39" s="7"/>
      <c r="J39" s="7"/>
      <c r="K39" s="7"/>
      <c r="L39" s="7"/>
      <c r="M39" s="7"/>
      <c r="N39" s="7">
        <v>500</v>
      </c>
      <c r="O39" s="7"/>
      <c r="P39" s="7"/>
      <c r="Q39" s="7"/>
    </row>
    <row r="40" spans="3:23" ht="15.75" customHeight="1" x14ac:dyDescent="0.25">
      <c r="C40" s="10">
        <v>20</v>
      </c>
      <c r="D40" s="11">
        <v>45269</v>
      </c>
      <c r="E40" s="10">
        <v>550</v>
      </c>
      <c r="F40" s="22" t="s">
        <v>268</v>
      </c>
      <c r="G40" s="7">
        <v>100</v>
      </c>
      <c r="H40" s="12">
        <v>172</v>
      </c>
      <c r="I40" s="7"/>
      <c r="J40" s="7"/>
      <c r="K40" s="7"/>
      <c r="L40" s="7"/>
      <c r="M40" s="7"/>
      <c r="N40" s="7">
        <v>100</v>
      </c>
      <c r="O40" s="7"/>
      <c r="P40" s="7"/>
      <c r="Q40" s="7"/>
    </row>
    <row r="41" spans="3:23" ht="15.75" customHeight="1" x14ac:dyDescent="0.25">
      <c r="C41" s="10">
        <v>21</v>
      </c>
      <c r="D41" s="11">
        <v>45269</v>
      </c>
      <c r="E41" s="10">
        <v>551</v>
      </c>
      <c r="F41" s="22" t="s">
        <v>359</v>
      </c>
      <c r="G41" s="7">
        <v>3000</v>
      </c>
      <c r="H41" s="12">
        <v>157</v>
      </c>
      <c r="I41" s="7"/>
      <c r="J41" s="7"/>
      <c r="K41" s="7">
        <v>3000</v>
      </c>
      <c r="L41" s="7"/>
      <c r="M41" s="7"/>
      <c r="N41" s="7"/>
      <c r="O41" s="7"/>
      <c r="P41" s="7"/>
      <c r="Q41" s="7"/>
    </row>
    <row r="42" spans="3:23" ht="15.75" customHeight="1" x14ac:dyDescent="0.25">
      <c r="C42" s="10">
        <v>22</v>
      </c>
      <c r="D42" s="11">
        <v>45269</v>
      </c>
      <c r="E42" s="10">
        <v>552</v>
      </c>
      <c r="F42" s="22" t="s">
        <v>394</v>
      </c>
      <c r="G42" s="7">
        <v>10000</v>
      </c>
      <c r="H42" s="12">
        <v>104</v>
      </c>
      <c r="I42" s="7">
        <v>10000</v>
      </c>
      <c r="J42" s="7"/>
      <c r="K42" s="7"/>
      <c r="L42" s="7"/>
      <c r="M42" s="7"/>
      <c r="N42" s="7"/>
      <c r="O42" s="7"/>
      <c r="P42" s="7"/>
      <c r="Q42" s="7"/>
    </row>
    <row r="43" spans="3:23" ht="15.75" customHeight="1" x14ac:dyDescent="0.25">
      <c r="C43" s="10">
        <v>23</v>
      </c>
      <c r="D43" s="11">
        <v>45271</v>
      </c>
      <c r="E43" s="10" t="s">
        <v>395</v>
      </c>
      <c r="F43" s="22" t="s">
        <v>202</v>
      </c>
      <c r="G43" s="7">
        <v>1000</v>
      </c>
      <c r="H43" s="12">
        <v>161</v>
      </c>
      <c r="I43" s="7"/>
      <c r="J43" s="7"/>
      <c r="K43" s="7">
        <v>1000</v>
      </c>
      <c r="L43" s="7"/>
      <c r="M43" s="7"/>
      <c r="N43" s="7"/>
      <c r="O43" s="7"/>
      <c r="P43" s="7"/>
      <c r="Q43" s="7"/>
    </row>
    <row r="44" spans="3:23" ht="15.75" customHeight="1" x14ac:dyDescent="0.25">
      <c r="C44" s="10">
        <v>24</v>
      </c>
      <c r="D44" s="11">
        <v>45271</v>
      </c>
      <c r="E44" s="10" t="s">
        <v>396</v>
      </c>
      <c r="F44" s="22" t="s">
        <v>268</v>
      </c>
      <c r="G44" s="7">
        <v>1000</v>
      </c>
      <c r="H44" s="12">
        <v>200</v>
      </c>
      <c r="I44" s="7"/>
      <c r="J44" s="7"/>
      <c r="K44" s="7"/>
      <c r="L44" s="7"/>
      <c r="M44" s="7"/>
      <c r="N44" s="7"/>
      <c r="O44" s="7"/>
      <c r="P44" s="7"/>
      <c r="Q44" s="7">
        <v>1000</v>
      </c>
    </row>
    <row r="45" spans="3:23" ht="15.75" customHeight="1" x14ac:dyDescent="0.25">
      <c r="C45" s="10">
        <v>26</v>
      </c>
      <c r="D45" s="11">
        <v>45271</v>
      </c>
      <c r="E45" s="10">
        <v>553</v>
      </c>
      <c r="F45" s="22" t="s">
        <v>284</v>
      </c>
      <c r="G45" s="7">
        <v>1500</v>
      </c>
      <c r="H45" s="12" t="s">
        <v>397</v>
      </c>
      <c r="I45" s="7"/>
      <c r="J45" s="7"/>
      <c r="K45" s="7"/>
      <c r="L45" s="7">
        <v>500</v>
      </c>
      <c r="M45" s="7">
        <v>500</v>
      </c>
      <c r="N45" s="7"/>
      <c r="O45" s="7">
        <v>500</v>
      </c>
      <c r="P45" s="7"/>
      <c r="Q45" s="7"/>
    </row>
    <row r="46" spans="3:23" ht="15.75" customHeight="1" x14ac:dyDescent="0.25">
      <c r="C46" s="10">
        <v>27</v>
      </c>
      <c r="D46" s="11">
        <v>45271</v>
      </c>
      <c r="E46" s="10">
        <v>554</v>
      </c>
      <c r="F46" s="22" t="s">
        <v>269</v>
      </c>
      <c r="G46" s="7">
        <v>600</v>
      </c>
      <c r="H46" s="12" t="s">
        <v>398</v>
      </c>
      <c r="I46" s="7"/>
      <c r="J46" s="7"/>
      <c r="K46" s="7"/>
      <c r="L46" s="7"/>
      <c r="M46" s="7"/>
      <c r="N46" s="7">
        <v>200</v>
      </c>
      <c r="O46" s="7">
        <v>200</v>
      </c>
      <c r="P46" s="7"/>
      <c r="Q46" s="7">
        <v>200</v>
      </c>
    </row>
    <row r="47" spans="3:23" ht="15.75" customHeight="1" x14ac:dyDescent="0.25">
      <c r="C47" s="10">
        <v>28</v>
      </c>
      <c r="D47" s="11">
        <v>45241</v>
      </c>
      <c r="E47" s="10">
        <v>555</v>
      </c>
      <c r="F47" s="22" t="s">
        <v>359</v>
      </c>
      <c r="G47" s="7">
        <v>2000</v>
      </c>
      <c r="H47" s="12">
        <v>139</v>
      </c>
      <c r="I47" s="7"/>
      <c r="J47" s="7">
        <v>2000</v>
      </c>
      <c r="K47" s="7"/>
      <c r="L47" s="7"/>
      <c r="M47" s="7"/>
      <c r="N47" s="7"/>
      <c r="O47" s="7"/>
      <c r="P47" s="7"/>
      <c r="Q47" s="7"/>
    </row>
    <row r="48" spans="3:23" ht="15.75" customHeight="1" x14ac:dyDescent="0.25">
      <c r="C48" s="10">
        <v>29</v>
      </c>
      <c r="D48" s="11">
        <v>45241</v>
      </c>
      <c r="E48" s="10" t="s">
        <v>399</v>
      </c>
      <c r="F48" s="22" t="s">
        <v>220</v>
      </c>
      <c r="G48" s="7">
        <v>4000</v>
      </c>
      <c r="H48" s="12">
        <v>139</v>
      </c>
      <c r="I48" s="7"/>
      <c r="J48" s="7">
        <v>4000</v>
      </c>
      <c r="K48" s="7"/>
      <c r="L48" s="7"/>
      <c r="M48" s="7"/>
      <c r="N48" s="7"/>
      <c r="O48" s="7"/>
      <c r="P48" s="7"/>
      <c r="Q48" s="7"/>
      <c r="S48" s="1"/>
    </row>
    <row r="49" spans="3:19" ht="15.75" customHeight="1" x14ac:dyDescent="0.25">
      <c r="C49" s="10">
        <v>30</v>
      </c>
      <c r="D49" s="11">
        <v>45241</v>
      </c>
      <c r="E49" s="10">
        <v>558</v>
      </c>
      <c r="F49" s="22" t="s">
        <v>162</v>
      </c>
      <c r="G49" s="7">
        <v>3000</v>
      </c>
      <c r="H49" s="12">
        <v>159</v>
      </c>
      <c r="I49" s="7"/>
      <c r="J49" s="7"/>
      <c r="K49" s="7">
        <v>3000</v>
      </c>
      <c r="L49" s="7"/>
      <c r="M49" s="7"/>
      <c r="N49" s="7"/>
      <c r="O49" s="7"/>
      <c r="P49" s="7"/>
      <c r="Q49" s="7"/>
      <c r="S49" s="1"/>
    </row>
    <row r="50" spans="3:19" ht="15.75" customHeight="1" x14ac:dyDescent="0.25">
      <c r="C50" s="10">
        <v>31</v>
      </c>
      <c r="D50" s="11">
        <v>45241</v>
      </c>
      <c r="E50" s="10">
        <v>559</v>
      </c>
      <c r="F50" s="22" t="s">
        <v>333</v>
      </c>
      <c r="G50" s="7">
        <v>420</v>
      </c>
      <c r="H50" s="12">
        <v>115</v>
      </c>
      <c r="I50" s="7">
        <v>420</v>
      </c>
      <c r="J50" s="7"/>
      <c r="K50" s="7"/>
      <c r="L50" s="7"/>
      <c r="M50" s="7"/>
      <c r="N50" s="7"/>
      <c r="O50" s="7"/>
      <c r="P50" s="7"/>
      <c r="Q50" s="7"/>
      <c r="S50" s="1"/>
    </row>
    <row r="51" spans="3:19" ht="15.75" customHeight="1" x14ac:dyDescent="0.25">
      <c r="C51" s="10">
        <v>32</v>
      </c>
      <c r="D51" s="11">
        <v>45272</v>
      </c>
      <c r="E51" s="10">
        <v>560</v>
      </c>
      <c r="F51" s="22" t="s">
        <v>333</v>
      </c>
      <c r="G51" s="7">
        <v>1000</v>
      </c>
      <c r="H51" s="12">
        <v>141</v>
      </c>
      <c r="I51" s="7"/>
      <c r="J51" s="7">
        <v>1000</v>
      </c>
      <c r="K51" s="7"/>
      <c r="L51" s="7"/>
      <c r="M51" s="7"/>
      <c r="N51" s="7"/>
      <c r="O51" s="7"/>
      <c r="P51" s="7"/>
      <c r="Q51" s="7"/>
      <c r="S51" s="1"/>
    </row>
    <row r="52" spans="3:19" ht="15.75" customHeight="1" x14ac:dyDescent="0.25">
      <c r="C52" s="10">
        <v>33</v>
      </c>
      <c r="D52" s="11">
        <v>45272</v>
      </c>
      <c r="E52" s="10">
        <v>562</v>
      </c>
      <c r="F52" s="22" t="s">
        <v>333</v>
      </c>
      <c r="G52" s="7">
        <v>960</v>
      </c>
      <c r="H52" s="12">
        <v>115</v>
      </c>
      <c r="I52" s="7">
        <v>960</v>
      </c>
      <c r="J52" s="7"/>
      <c r="K52" s="7"/>
      <c r="L52" s="7"/>
      <c r="M52" s="7"/>
      <c r="N52" s="7"/>
      <c r="O52" s="7"/>
      <c r="P52" s="7"/>
      <c r="Q52" s="7"/>
      <c r="S52" s="1"/>
    </row>
    <row r="53" spans="3:19" ht="15.75" customHeight="1" x14ac:dyDescent="0.25">
      <c r="C53" s="10">
        <v>34</v>
      </c>
      <c r="D53" s="11">
        <v>45272</v>
      </c>
      <c r="E53" s="10" t="s">
        <v>400</v>
      </c>
      <c r="F53" s="22" t="s">
        <v>139</v>
      </c>
      <c r="G53" s="7">
        <v>275</v>
      </c>
      <c r="H53" s="12">
        <v>146</v>
      </c>
      <c r="I53" s="7"/>
      <c r="J53" s="7">
        <v>275</v>
      </c>
      <c r="K53" s="7"/>
      <c r="L53" s="7"/>
      <c r="M53" s="7"/>
      <c r="N53" s="7"/>
      <c r="O53" s="7"/>
      <c r="P53" s="7"/>
      <c r="Q53" s="7"/>
      <c r="S53" s="1"/>
    </row>
    <row r="54" spans="3:19" ht="15.75" customHeight="1" x14ac:dyDescent="0.25">
      <c r="C54" s="10">
        <v>35</v>
      </c>
      <c r="D54" s="11">
        <v>45274</v>
      </c>
      <c r="E54" s="10">
        <v>564</v>
      </c>
      <c r="F54" s="22" t="s">
        <v>248</v>
      </c>
      <c r="G54" s="7">
        <v>1040</v>
      </c>
      <c r="H54" s="12" t="s">
        <v>401</v>
      </c>
      <c r="I54" s="7">
        <v>1000</v>
      </c>
      <c r="J54" s="7"/>
      <c r="K54" s="7"/>
      <c r="L54" s="7"/>
      <c r="M54" s="7"/>
      <c r="N54" s="7"/>
      <c r="O54" s="7"/>
      <c r="P54" s="7"/>
      <c r="Q54" s="7">
        <v>40</v>
      </c>
      <c r="S54" s="1"/>
    </row>
    <row r="55" spans="3:19" ht="15.75" customHeight="1" x14ac:dyDescent="0.25">
      <c r="C55" s="10">
        <v>36</v>
      </c>
      <c r="D55" s="11">
        <v>45274</v>
      </c>
      <c r="E55" s="10">
        <v>565</v>
      </c>
      <c r="F55" s="22" t="s">
        <v>402</v>
      </c>
      <c r="G55" s="7">
        <v>120</v>
      </c>
      <c r="H55" s="12">
        <v>164</v>
      </c>
      <c r="I55" s="7"/>
      <c r="J55" s="7"/>
      <c r="K55" s="7"/>
      <c r="L55" s="7">
        <v>120</v>
      </c>
      <c r="M55" s="7"/>
      <c r="N55" s="7"/>
      <c r="O55" s="7"/>
      <c r="P55" s="7"/>
      <c r="Q55" s="7"/>
      <c r="S55" s="1"/>
    </row>
    <row r="56" spans="3:19" ht="15.75" customHeight="1" x14ac:dyDescent="0.25">
      <c r="C56" s="10">
        <v>37</v>
      </c>
      <c r="D56" s="11">
        <v>45274</v>
      </c>
      <c r="E56" s="10">
        <v>566</v>
      </c>
      <c r="F56" s="22" t="s">
        <v>37</v>
      </c>
      <c r="G56" s="7">
        <v>1000</v>
      </c>
      <c r="H56" s="12">
        <v>125</v>
      </c>
      <c r="I56" s="7">
        <v>1000</v>
      </c>
      <c r="J56" s="7"/>
      <c r="K56" s="7"/>
      <c r="L56" s="7"/>
      <c r="M56" s="7"/>
      <c r="N56" s="7"/>
      <c r="O56" s="7"/>
      <c r="P56" s="7"/>
      <c r="Q56" s="7"/>
      <c r="S56" s="1"/>
    </row>
    <row r="57" spans="3:19" ht="15.75" customHeight="1" x14ac:dyDescent="0.25">
      <c r="C57" s="10">
        <v>38</v>
      </c>
      <c r="D57" s="11">
        <v>45275</v>
      </c>
      <c r="E57" s="10">
        <v>568</v>
      </c>
      <c r="F57" s="22" t="s">
        <v>317</v>
      </c>
      <c r="G57" s="7">
        <v>165</v>
      </c>
      <c r="H57" s="12" t="s">
        <v>285</v>
      </c>
      <c r="I57" s="7">
        <v>120</v>
      </c>
      <c r="J57" s="7"/>
      <c r="K57" s="7">
        <v>25</v>
      </c>
      <c r="L57" s="7"/>
      <c r="M57" s="7"/>
      <c r="N57" s="7"/>
      <c r="O57" s="7"/>
      <c r="P57" s="7"/>
      <c r="Q57" s="7"/>
      <c r="S57" s="1"/>
    </row>
    <row r="58" spans="3:19" ht="15.75" customHeight="1" x14ac:dyDescent="0.25">
      <c r="C58" s="10">
        <v>39</v>
      </c>
      <c r="D58" s="11">
        <v>45275</v>
      </c>
      <c r="E58" s="10" t="s">
        <v>27</v>
      </c>
      <c r="F58" s="22" t="s">
        <v>255</v>
      </c>
      <c r="G58" s="7">
        <v>300</v>
      </c>
      <c r="H58" s="12">
        <v>147</v>
      </c>
      <c r="I58" s="7"/>
      <c r="J58" s="7">
        <v>300</v>
      </c>
      <c r="K58" s="7"/>
      <c r="L58" s="7"/>
      <c r="M58" s="7"/>
      <c r="N58" s="7"/>
      <c r="O58" s="7"/>
      <c r="P58" s="7"/>
      <c r="Q58" s="7"/>
      <c r="S58" s="1"/>
    </row>
    <row r="59" spans="3:19" ht="15.75" customHeight="1" x14ac:dyDescent="0.25">
      <c r="C59" s="10">
        <v>40</v>
      </c>
      <c r="D59" s="11">
        <v>45275</v>
      </c>
      <c r="E59" s="10">
        <v>570</v>
      </c>
      <c r="F59" s="22" t="s">
        <v>49</v>
      </c>
      <c r="G59" s="7">
        <v>4500</v>
      </c>
      <c r="H59" s="12">
        <v>320</v>
      </c>
      <c r="I59" s="7">
        <v>4500</v>
      </c>
      <c r="J59" s="7"/>
      <c r="K59" s="7"/>
      <c r="L59" s="7"/>
      <c r="M59" s="7"/>
      <c r="N59" s="7"/>
      <c r="O59" s="7"/>
      <c r="P59" s="7"/>
      <c r="Q59" s="7"/>
      <c r="S59" s="1"/>
    </row>
    <row r="60" spans="3:19" ht="15.75" customHeight="1" x14ac:dyDescent="0.25">
      <c r="C60" s="10">
        <v>41</v>
      </c>
      <c r="D60" s="11">
        <v>45276</v>
      </c>
      <c r="E60" s="10">
        <v>571</v>
      </c>
      <c r="F60" s="22" t="s">
        <v>104</v>
      </c>
      <c r="G60" s="7">
        <v>300</v>
      </c>
      <c r="H60" s="31" t="s">
        <v>403</v>
      </c>
      <c r="I60" s="7">
        <v>200</v>
      </c>
      <c r="J60" s="7">
        <v>100</v>
      </c>
      <c r="K60" s="7"/>
      <c r="L60" s="7"/>
      <c r="M60" s="7"/>
      <c r="N60" s="7"/>
      <c r="O60" s="7"/>
      <c r="P60" s="7"/>
      <c r="Q60" s="7"/>
      <c r="S60" s="1"/>
    </row>
    <row r="61" spans="3:19" ht="15.75" customHeight="1" x14ac:dyDescent="0.25">
      <c r="C61" s="10">
        <v>42</v>
      </c>
      <c r="D61" s="11">
        <v>45277</v>
      </c>
      <c r="E61" s="10">
        <v>573</v>
      </c>
      <c r="F61" s="22" t="s">
        <v>394</v>
      </c>
      <c r="G61" s="7">
        <v>10000</v>
      </c>
      <c r="H61" s="12">
        <v>104</v>
      </c>
      <c r="I61" s="7">
        <v>10000</v>
      </c>
      <c r="J61" s="7"/>
      <c r="K61" s="7"/>
      <c r="L61" s="7"/>
      <c r="M61" s="7"/>
      <c r="N61" s="7"/>
      <c r="O61" s="7"/>
      <c r="P61" s="7"/>
      <c r="Q61" s="7"/>
      <c r="S61" s="1"/>
    </row>
    <row r="62" spans="3:19" ht="15.75" customHeight="1" x14ac:dyDescent="0.25">
      <c r="C62" s="10">
        <v>43</v>
      </c>
      <c r="D62" s="11">
        <v>45275</v>
      </c>
      <c r="E62" s="10" t="s">
        <v>404</v>
      </c>
      <c r="F62" s="22" t="s">
        <v>269</v>
      </c>
      <c r="G62" s="7">
        <v>2000</v>
      </c>
      <c r="H62" s="12">
        <v>164</v>
      </c>
      <c r="I62" s="7"/>
      <c r="J62" s="7"/>
      <c r="K62" s="7"/>
      <c r="L62" s="7"/>
      <c r="M62" s="7"/>
      <c r="N62" s="7"/>
      <c r="O62" s="7">
        <v>2000</v>
      </c>
      <c r="P62" s="7"/>
      <c r="Q62" s="7"/>
      <c r="S62" s="1"/>
    </row>
    <row r="63" spans="3:19" ht="15.75" customHeight="1" x14ac:dyDescent="0.25">
      <c r="C63" s="10">
        <v>44</v>
      </c>
      <c r="D63" s="11">
        <v>45278</v>
      </c>
      <c r="E63" s="10" t="s">
        <v>405</v>
      </c>
      <c r="F63" s="22" t="s">
        <v>269</v>
      </c>
      <c r="G63" s="7">
        <v>6000</v>
      </c>
      <c r="H63" s="12">
        <v>170</v>
      </c>
      <c r="I63" s="7"/>
      <c r="J63" s="7"/>
      <c r="K63" s="7"/>
      <c r="L63" s="7"/>
      <c r="M63" s="7">
        <v>6000</v>
      </c>
      <c r="N63" s="7"/>
      <c r="O63" s="7"/>
      <c r="P63" s="7"/>
      <c r="Q63" s="7"/>
      <c r="S63" s="1"/>
    </row>
    <row r="64" spans="3:19" ht="15.75" customHeight="1" x14ac:dyDescent="0.25">
      <c r="C64" s="10">
        <v>45</v>
      </c>
      <c r="D64" s="11">
        <v>45278</v>
      </c>
      <c r="E64" s="10">
        <v>574</v>
      </c>
      <c r="F64" s="22" t="s">
        <v>358</v>
      </c>
      <c r="G64" s="7">
        <v>2000</v>
      </c>
      <c r="H64" s="12">
        <v>155</v>
      </c>
      <c r="I64" s="7"/>
      <c r="J64" s="7"/>
      <c r="K64" s="7"/>
      <c r="L64" s="7"/>
      <c r="M64" s="7"/>
      <c r="N64" s="7">
        <v>2000</v>
      </c>
      <c r="O64" s="7"/>
      <c r="P64" s="7"/>
      <c r="Q64" s="7"/>
      <c r="S64" s="1"/>
    </row>
    <row r="65" spans="3:19" ht="15.75" customHeight="1" x14ac:dyDescent="0.25">
      <c r="C65" s="10">
        <v>46</v>
      </c>
      <c r="D65" s="11">
        <v>45278</v>
      </c>
      <c r="E65" s="10">
        <v>575</v>
      </c>
      <c r="F65" s="22" t="s">
        <v>406</v>
      </c>
      <c r="G65" s="7">
        <v>2000</v>
      </c>
      <c r="H65" s="12">
        <v>155</v>
      </c>
      <c r="I65" s="7"/>
      <c r="J65" s="7"/>
      <c r="K65" s="7"/>
      <c r="L65" s="7"/>
      <c r="M65" s="7"/>
      <c r="N65" s="7">
        <v>2000</v>
      </c>
      <c r="O65" s="7"/>
      <c r="P65" s="7"/>
      <c r="Q65" s="7"/>
      <c r="S65" s="1"/>
    </row>
    <row r="66" spans="3:19" ht="15.75" customHeight="1" x14ac:dyDescent="0.25">
      <c r="C66" s="10">
        <v>47</v>
      </c>
      <c r="D66" s="11">
        <v>45278</v>
      </c>
      <c r="E66" s="10">
        <v>576</v>
      </c>
      <c r="F66" s="22" t="s">
        <v>407</v>
      </c>
      <c r="G66" s="7">
        <v>2400</v>
      </c>
      <c r="H66" s="12">
        <v>155</v>
      </c>
      <c r="I66" s="7"/>
      <c r="J66" s="7"/>
      <c r="K66" s="7"/>
      <c r="L66" s="7"/>
      <c r="M66" s="7"/>
      <c r="N66" s="7">
        <v>2400</v>
      </c>
      <c r="O66" s="7"/>
      <c r="P66" s="7"/>
      <c r="Q66" s="7"/>
      <c r="S66" s="1"/>
    </row>
    <row r="67" spans="3:19" ht="15.75" customHeight="1" x14ac:dyDescent="0.25">
      <c r="C67" s="10">
        <v>48</v>
      </c>
      <c r="D67" s="11">
        <v>45279</v>
      </c>
      <c r="E67" s="10">
        <v>577</v>
      </c>
      <c r="F67" s="22" t="s">
        <v>52</v>
      </c>
      <c r="G67" s="7">
        <v>16500</v>
      </c>
      <c r="H67" s="12" t="s">
        <v>408</v>
      </c>
      <c r="I67" s="7">
        <v>16500</v>
      </c>
      <c r="J67" s="7"/>
      <c r="K67" s="7"/>
      <c r="L67" s="7"/>
      <c r="M67" s="7"/>
      <c r="N67" s="7"/>
      <c r="O67" s="7"/>
      <c r="P67" s="7"/>
      <c r="Q67" s="7"/>
      <c r="S67" s="1"/>
    </row>
    <row r="68" spans="3:19" ht="15.75" customHeight="1" x14ac:dyDescent="0.25">
      <c r="C68" s="10">
        <v>49</v>
      </c>
      <c r="D68" s="11">
        <v>45279</v>
      </c>
      <c r="E68" s="10">
        <v>578</v>
      </c>
      <c r="F68" s="22" t="s">
        <v>409</v>
      </c>
      <c r="G68" s="7">
        <v>200</v>
      </c>
      <c r="H68" s="12">
        <v>320</v>
      </c>
      <c r="I68" s="7">
        <v>200</v>
      </c>
      <c r="J68" s="7"/>
      <c r="K68" s="7"/>
      <c r="L68" s="7"/>
      <c r="M68" s="7"/>
      <c r="N68" s="7"/>
      <c r="O68" s="7"/>
      <c r="P68" s="7"/>
      <c r="Q68" s="7"/>
      <c r="S68" s="1"/>
    </row>
    <row r="69" spans="3:19" ht="15.75" customHeight="1" x14ac:dyDescent="0.25">
      <c r="C69" s="10">
        <v>50</v>
      </c>
      <c r="D69" s="11">
        <v>45280</v>
      </c>
      <c r="E69" s="10" t="s">
        <v>410</v>
      </c>
      <c r="F69" s="22" t="s">
        <v>43</v>
      </c>
      <c r="G69" s="7">
        <v>7000</v>
      </c>
      <c r="H69" s="12" t="s">
        <v>411</v>
      </c>
      <c r="I69" s="7"/>
      <c r="J69" s="7">
        <v>6000</v>
      </c>
      <c r="K69" s="7"/>
      <c r="L69" s="7">
        <v>1000</v>
      </c>
      <c r="M69" s="7"/>
      <c r="N69" s="7"/>
      <c r="O69" s="7"/>
      <c r="P69" s="7"/>
      <c r="Q69" s="7"/>
      <c r="S69" s="1"/>
    </row>
    <row r="70" spans="3:19" ht="15.75" customHeight="1" x14ac:dyDescent="0.25">
      <c r="C70" s="10">
        <v>51</v>
      </c>
      <c r="D70" s="11">
        <v>45280</v>
      </c>
      <c r="E70" s="10" t="s">
        <v>412</v>
      </c>
      <c r="F70" s="22" t="s">
        <v>49</v>
      </c>
      <c r="G70" s="7">
        <v>1500</v>
      </c>
      <c r="H70" s="12">
        <v>165</v>
      </c>
      <c r="I70" s="7"/>
      <c r="J70" s="7"/>
      <c r="K70" s="7"/>
      <c r="L70" s="7">
        <v>1500</v>
      </c>
      <c r="M70" s="7"/>
      <c r="N70" s="7"/>
      <c r="O70" s="7"/>
      <c r="P70" s="7"/>
      <c r="Q70" s="7"/>
      <c r="S70" s="1"/>
    </row>
    <row r="71" spans="3:19" ht="15.75" customHeight="1" x14ac:dyDescent="0.25">
      <c r="C71" s="10">
        <v>52</v>
      </c>
      <c r="D71" s="11">
        <v>45280</v>
      </c>
      <c r="E71" s="10" t="s">
        <v>413</v>
      </c>
      <c r="F71" s="22" t="s">
        <v>49</v>
      </c>
      <c r="G71" s="7">
        <v>1500</v>
      </c>
      <c r="H71" s="31">
        <v>158</v>
      </c>
      <c r="I71" s="7"/>
      <c r="J71" s="7"/>
      <c r="K71" s="7">
        <v>1500</v>
      </c>
      <c r="L71" s="7"/>
      <c r="M71" s="7"/>
      <c r="N71" s="7"/>
      <c r="O71" s="7"/>
      <c r="P71" s="7"/>
      <c r="Q71" s="7"/>
      <c r="S71" s="1"/>
    </row>
    <row r="72" spans="3:19" ht="15.75" customHeight="1" x14ac:dyDescent="0.25">
      <c r="C72" s="10">
        <v>53</v>
      </c>
      <c r="D72" s="11">
        <v>45280</v>
      </c>
      <c r="E72" s="10" t="s">
        <v>414</v>
      </c>
      <c r="F72" s="22" t="s">
        <v>80</v>
      </c>
      <c r="G72" s="7">
        <v>25</v>
      </c>
      <c r="H72" s="12">
        <v>145</v>
      </c>
      <c r="I72" s="7"/>
      <c r="J72" s="7">
        <v>25</v>
      </c>
      <c r="K72" s="7"/>
      <c r="L72" s="7"/>
      <c r="M72" s="7"/>
      <c r="N72" s="7"/>
      <c r="O72" s="7"/>
      <c r="P72" s="7"/>
      <c r="Q72" s="7"/>
      <c r="S72" s="1"/>
    </row>
    <row r="73" spans="3:19" ht="15.75" customHeight="1" x14ac:dyDescent="0.25">
      <c r="C73" s="10">
        <v>54</v>
      </c>
      <c r="D73" s="11">
        <v>45280</v>
      </c>
      <c r="E73" s="10" t="s">
        <v>415</v>
      </c>
      <c r="F73" s="22" t="s">
        <v>268</v>
      </c>
      <c r="G73" s="7">
        <v>500</v>
      </c>
      <c r="H73" s="12">
        <v>152</v>
      </c>
      <c r="I73" s="7"/>
      <c r="J73" s="7">
        <v>500</v>
      </c>
      <c r="K73" s="7"/>
      <c r="L73" s="7"/>
      <c r="M73" s="7"/>
      <c r="N73" s="7"/>
      <c r="O73" s="7"/>
      <c r="P73" s="7"/>
      <c r="Q73" s="7"/>
      <c r="S73" s="1"/>
    </row>
    <row r="74" spans="3:19" ht="15.75" customHeight="1" x14ac:dyDescent="0.25">
      <c r="C74" s="10">
        <v>55</v>
      </c>
      <c r="D74" s="11">
        <v>45281</v>
      </c>
      <c r="E74" s="10">
        <v>579</v>
      </c>
      <c r="F74" s="22" t="s">
        <v>71</v>
      </c>
      <c r="G74" s="7">
        <v>25</v>
      </c>
      <c r="H74" s="12">
        <v>162</v>
      </c>
      <c r="I74" s="7"/>
      <c r="J74" s="7"/>
      <c r="K74" s="7"/>
      <c r="L74" s="7"/>
      <c r="M74" s="7"/>
      <c r="N74" s="7">
        <v>25</v>
      </c>
      <c r="O74" s="7"/>
      <c r="P74" s="7"/>
      <c r="Q74" s="7"/>
      <c r="S74" s="1"/>
    </row>
    <row r="75" spans="3:19" ht="15.75" customHeight="1" x14ac:dyDescent="0.25">
      <c r="C75" s="10">
        <v>56</v>
      </c>
      <c r="D75" s="11">
        <v>45282</v>
      </c>
      <c r="E75" s="10">
        <v>584</v>
      </c>
      <c r="F75" s="22" t="s">
        <v>284</v>
      </c>
      <c r="G75" s="7">
        <v>1200</v>
      </c>
      <c r="H75" s="12" t="s">
        <v>416</v>
      </c>
      <c r="I75" s="7">
        <v>200</v>
      </c>
      <c r="J75" s="7"/>
      <c r="K75" s="7"/>
      <c r="L75" s="7"/>
      <c r="M75" s="7"/>
      <c r="N75" s="7"/>
      <c r="O75" s="7">
        <v>1000</v>
      </c>
      <c r="P75" s="7"/>
      <c r="Q75" s="7"/>
      <c r="S75" s="1"/>
    </row>
    <row r="76" spans="3:19" ht="15.75" customHeight="1" x14ac:dyDescent="0.25">
      <c r="C76" s="10">
        <v>57</v>
      </c>
      <c r="D76" s="11">
        <v>45283</v>
      </c>
      <c r="E76" s="10">
        <v>585</v>
      </c>
      <c r="F76" s="22" t="s">
        <v>71</v>
      </c>
      <c r="G76" s="7">
        <v>500</v>
      </c>
      <c r="H76" s="12">
        <v>162</v>
      </c>
      <c r="I76" s="7"/>
      <c r="J76" s="7"/>
      <c r="K76" s="7"/>
      <c r="L76" s="7"/>
      <c r="M76" s="7"/>
      <c r="N76" s="7">
        <v>500</v>
      </c>
      <c r="O76" s="7"/>
      <c r="P76" s="7"/>
      <c r="Q76" s="7"/>
      <c r="S76" s="1"/>
    </row>
    <row r="77" spans="3:19" ht="15.75" customHeight="1" x14ac:dyDescent="0.25">
      <c r="C77" s="10">
        <v>58</v>
      </c>
      <c r="D77" s="11">
        <v>45284</v>
      </c>
      <c r="E77" s="10">
        <v>587</v>
      </c>
      <c r="F77" s="22" t="s">
        <v>51</v>
      </c>
      <c r="G77" s="7">
        <v>5000</v>
      </c>
      <c r="H77" s="12">
        <v>170</v>
      </c>
      <c r="I77" s="7"/>
      <c r="J77" s="7"/>
      <c r="K77" s="7"/>
      <c r="L77" s="7"/>
      <c r="M77" s="7">
        <v>5000</v>
      </c>
      <c r="N77" s="7"/>
      <c r="O77" s="7"/>
      <c r="P77" s="7"/>
      <c r="Q77" s="7"/>
      <c r="S77" s="1"/>
    </row>
    <row r="78" spans="3:19" ht="15.75" customHeight="1" x14ac:dyDescent="0.25">
      <c r="C78" s="10">
        <v>59</v>
      </c>
      <c r="D78" s="11">
        <v>45285</v>
      </c>
      <c r="E78" s="10">
        <v>588</v>
      </c>
      <c r="F78" s="22" t="s">
        <v>362</v>
      </c>
      <c r="G78" s="7">
        <v>1000</v>
      </c>
      <c r="H78" s="12">
        <v>156</v>
      </c>
      <c r="I78" s="7"/>
      <c r="J78" s="7"/>
      <c r="K78" s="7">
        <v>1000</v>
      </c>
      <c r="L78" s="7"/>
      <c r="M78" s="7"/>
      <c r="N78" s="7"/>
      <c r="O78" s="7"/>
      <c r="P78" s="7"/>
      <c r="Q78" s="7"/>
      <c r="S78" s="1"/>
    </row>
    <row r="79" spans="3:19" ht="15.75" customHeight="1" x14ac:dyDescent="0.25">
      <c r="C79" s="10">
        <v>60</v>
      </c>
      <c r="D79" s="11">
        <v>45285</v>
      </c>
      <c r="E79" s="10">
        <v>589</v>
      </c>
      <c r="F79" s="22" t="s">
        <v>193</v>
      </c>
      <c r="G79" s="7">
        <v>2000</v>
      </c>
      <c r="H79" s="12">
        <v>119</v>
      </c>
      <c r="I79" s="7">
        <v>2000</v>
      </c>
      <c r="J79" s="7"/>
      <c r="K79" s="7"/>
      <c r="L79" s="7"/>
      <c r="M79" s="7"/>
      <c r="N79" s="7"/>
      <c r="O79" s="7"/>
      <c r="P79" s="7"/>
      <c r="Q79" s="7"/>
      <c r="S79" s="1"/>
    </row>
    <row r="80" spans="3:19" ht="15.75" customHeight="1" x14ac:dyDescent="0.25">
      <c r="C80" s="10">
        <v>61</v>
      </c>
      <c r="D80" s="11">
        <v>45285</v>
      </c>
      <c r="E80" s="10">
        <v>592</v>
      </c>
      <c r="F80" s="22" t="s">
        <v>90</v>
      </c>
      <c r="G80" s="7">
        <v>4500</v>
      </c>
      <c r="H80" s="12">
        <v>113</v>
      </c>
      <c r="I80" s="7">
        <v>4500</v>
      </c>
      <c r="J80" s="7"/>
      <c r="K80" s="7"/>
      <c r="L80" s="7"/>
      <c r="M80" s="7"/>
      <c r="N80" s="7"/>
      <c r="O80" s="7"/>
      <c r="P80" s="7"/>
      <c r="Q80" s="7"/>
      <c r="S80" s="1"/>
    </row>
    <row r="81" spans="3:19" ht="15.75" customHeight="1" x14ac:dyDescent="0.25">
      <c r="C81" s="10">
        <v>62</v>
      </c>
      <c r="D81" s="11">
        <v>45286</v>
      </c>
      <c r="E81" s="10">
        <v>593</v>
      </c>
      <c r="F81" s="22" t="s">
        <v>394</v>
      </c>
      <c r="G81" s="7">
        <v>10000</v>
      </c>
      <c r="H81" s="12">
        <v>104</v>
      </c>
      <c r="I81" s="7">
        <v>10000</v>
      </c>
      <c r="J81" s="7"/>
      <c r="K81" s="7"/>
      <c r="L81" s="7"/>
      <c r="M81" s="7"/>
      <c r="N81" s="7"/>
      <c r="O81" s="7"/>
      <c r="P81" s="7"/>
      <c r="Q81" s="7"/>
      <c r="S81" s="1"/>
    </row>
    <row r="82" spans="3:19" ht="15.75" customHeight="1" x14ac:dyDescent="0.25">
      <c r="C82" s="10">
        <v>63</v>
      </c>
      <c r="D82" s="11">
        <v>45286</v>
      </c>
      <c r="E82" s="10" t="s">
        <v>27</v>
      </c>
      <c r="F82" s="22" t="s">
        <v>30</v>
      </c>
      <c r="G82" s="7">
        <v>300</v>
      </c>
      <c r="H82" s="12" t="s">
        <v>417</v>
      </c>
      <c r="I82" s="7"/>
      <c r="J82" s="7"/>
      <c r="K82" s="7">
        <v>100</v>
      </c>
      <c r="L82" s="7"/>
      <c r="M82" s="7"/>
      <c r="N82" s="7"/>
      <c r="O82" s="7"/>
      <c r="P82" s="7"/>
      <c r="Q82" s="7">
        <v>200</v>
      </c>
    </row>
    <row r="83" spans="3:19" ht="15.75" customHeight="1" x14ac:dyDescent="0.25">
      <c r="C83" s="10">
        <v>64</v>
      </c>
      <c r="D83" s="11">
        <v>45285</v>
      </c>
      <c r="E83" s="10" t="s">
        <v>418</v>
      </c>
      <c r="F83" s="22" t="s">
        <v>80</v>
      </c>
      <c r="G83" s="7">
        <v>250</v>
      </c>
      <c r="H83" s="12">
        <v>144</v>
      </c>
      <c r="I83" s="7"/>
      <c r="J83" s="7">
        <v>250</v>
      </c>
      <c r="K83" s="7"/>
      <c r="L83" s="7"/>
      <c r="M83" s="7"/>
      <c r="N83" s="7"/>
      <c r="O83" s="7"/>
      <c r="P83" s="7"/>
      <c r="Q83" s="7"/>
    </row>
    <row r="84" spans="3:19" ht="15.75" customHeight="1" x14ac:dyDescent="0.25">
      <c r="C84" s="10">
        <v>65</v>
      </c>
      <c r="D84" s="11">
        <v>45287</v>
      </c>
      <c r="E84" s="10">
        <v>595</v>
      </c>
      <c r="F84" s="22" t="s">
        <v>139</v>
      </c>
      <c r="G84" s="7">
        <v>1000</v>
      </c>
      <c r="H84" s="12">
        <v>117</v>
      </c>
      <c r="I84" s="7">
        <v>1000</v>
      </c>
      <c r="J84" s="7"/>
      <c r="K84" s="7"/>
      <c r="L84" s="7"/>
      <c r="M84" s="7"/>
      <c r="N84" s="7"/>
      <c r="O84" s="7"/>
      <c r="P84" s="7"/>
      <c r="Q84" s="7"/>
    </row>
    <row r="85" spans="3:19" ht="15.75" customHeight="1" x14ac:dyDescent="0.25">
      <c r="C85" s="10">
        <v>66</v>
      </c>
      <c r="D85" s="11">
        <v>45289</v>
      </c>
      <c r="E85" s="10">
        <v>596</v>
      </c>
      <c r="F85" s="22" t="s">
        <v>255</v>
      </c>
      <c r="G85" s="7">
        <v>800</v>
      </c>
      <c r="H85" s="12" t="s">
        <v>419</v>
      </c>
      <c r="I85" s="7">
        <v>500</v>
      </c>
      <c r="J85" s="7"/>
      <c r="K85" s="7"/>
      <c r="L85" s="7"/>
      <c r="M85" s="7"/>
      <c r="N85" s="7"/>
      <c r="O85" s="7"/>
      <c r="P85" s="7"/>
      <c r="Q85" s="7">
        <v>300</v>
      </c>
    </row>
    <row r="86" spans="3:19" ht="15.75" customHeight="1" x14ac:dyDescent="0.25">
      <c r="C86" s="10">
        <v>67</v>
      </c>
      <c r="D86" s="11">
        <v>45289</v>
      </c>
      <c r="E86" s="10" t="s">
        <v>420</v>
      </c>
      <c r="F86" s="22" t="s">
        <v>269</v>
      </c>
      <c r="G86" s="7">
        <v>450</v>
      </c>
      <c r="H86" s="12" t="s">
        <v>421</v>
      </c>
      <c r="I86" s="7"/>
      <c r="J86" s="7"/>
      <c r="K86" s="7"/>
      <c r="L86" s="7"/>
      <c r="M86" s="7"/>
      <c r="N86" s="7"/>
      <c r="O86" s="7">
        <v>250</v>
      </c>
      <c r="P86" s="7"/>
      <c r="Q86" s="7">
        <v>200</v>
      </c>
    </row>
    <row r="87" spans="3:19" ht="15.75" customHeight="1" x14ac:dyDescent="0.25">
      <c r="C87" s="10">
        <v>68</v>
      </c>
      <c r="D87" s="11">
        <v>45290</v>
      </c>
      <c r="E87" s="10">
        <v>597</v>
      </c>
      <c r="F87" s="22" t="s">
        <v>37</v>
      </c>
      <c r="G87" s="7">
        <v>597</v>
      </c>
      <c r="H87" s="12">
        <v>125</v>
      </c>
      <c r="I87" s="7">
        <v>1000</v>
      </c>
      <c r="J87" s="7"/>
      <c r="K87" s="7"/>
      <c r="L87" s="7"/>
      <c r="M87" s="7"/>
      <c r="N87" s="7"/>
      <c r="O87" s="7"/>
      <c r="P87" s="7"/>
      <c r="Q87" s="7"/>
    </row>
    <row r="88" spans="3:19" ht="15.75" customHeight="1" x14ac:dyDescent="0.25">
      <c r="C88" s="10">
        <v>69</v>
      </c>
      <c r="D88" s="11"/>
      <c r="E88" s="10"/>
      <c r="F88" s="22" t="s">
        <v>112</v>
      </c>
      <c r="G88" s="7">
        <v>8000</v>
      </c>
      <c r="H88" s="12" t="s">
        <v>324</v>
      </c>
      <c r="I88" s="7"/>
      <c r="J88" s="7"/>
      <c r="K88" s="7"/>
      <c r="L88" s="7"/>
      <c r="M88" s="7"/>
      <c r="N88" s="7"/>
      <c r="O88" s="7"/>
      <c r="P88" s="7"/>
      <c r="Q88" s="7"/>
    </row>
    <row r="89" spans="3:19" ht="15.75" customHeight="1" x14ac:dyDescent="0.25">
      <c r="C89" s="10">
        <v>70</v>
      </c>
      <c r="D89" s="11"/>
      <c r="E89" s="10"/>
      <c r="F89" s="22" t="s">
        <v>325</v>
      </c>
      <c r="G89" s="7">
        <v>500</v>
      </c>
      <c r="H89" s="12">
        <v>209</v>
      </c>
      <c r="I89" s="7"/>
      <c r="J89" s="7"/>
      <c r="K89" s="7"/>
      <c r="L89" s="7"/>
      <c r="M89" s="7"/>
      <c r="N89" s="7"/>
      <c r="O89" s="7"/>
      <c r="P89" s="7"/>
      <c r="Q89" s="7"/>
    </row>
    <row r="90" spans="3:19" ht="15.75" customHeight="1" x14ac:dyDescent="0.25">
      <c r="C90" s="10">
        <v>71</v>
      </c>
      <c r="D90" s="11"/>
      <c r="E90" s="10"/>
      <c r="F90" s="22" t="s">
        <v>284</v>
      </c>
      <c r="G90" s="7">
        <v>520</v>
      </c>
      <c r="H90" s="12" t="s">
        <v>326</v>
      </c>
      <c r="I90" s="7"/>
      <c r="J90" s="7"/>
      <c r="K90" s="7"/>
      <c r="L90" s="7"/>
      <c r="M90" s="7"/>
      <c r="N90" s="7"/>
      <c r="O90" s="7"/>
      <c r="P90" s="7"/>
      <c r="Q90" s="14"/>
    </row>
    <row r="91" spans="3:19" ht="15.75" customHeight="1" x14ac:dyDescent="0.25">
      <c r="C91" s="10">
        <v>72</v>
      </c>
      <c r="D91" s="11"/>
      <c r="E91" s="10"/>
      <c r="F91" s="22" t="s">
        <v>43</v>
      </c>
      <c r="G91" s="7">
        <v>1000</v>
      </c>
      <c r="H91" s="12">
        <v>162</v>
      </c>
      <c r="I91" s="7"/>
      <c r="J91" s="7"/>
      <c r="K91" s="7"/>
      <c r="L91" s="7"/>
      <c r="M91" s="7"/>
      <c r="N91" s="7"/>
      <c r="O91" s="7"/>
      <c r="P91" s="7"/>
      <c r="Q91" s="7"/>
    </row>
    <row r="92" spans="3:19" ht="15.75" customHeight="1" x14ac:dyDescent="0.25">
      <c r="C92" s="10">
        <v>73</v>
      </c>
      <c r="D92" s="11"/>
      <c r="E92" s="10"/>
      <c r="F92" s="22" t="s">
        <v>268</v>
      </c>
      <c r="G92" s="7">
        <v>500</v>
      </c>
      <c r="H92" s="12">
        <v>200</v>
      </c>
      <c r="I92" s="7"/>
      <c r="J92" s="7"/>
      <c r="K92" s="7"/>
      <c r="L92" s="7"/>
      <c r="M92" s="7"/>
      <c r="N92" s="7"/>
      <c r="O92" s="7"/>
      <c r="P92" s="7"/>
      <c r="Q92" s="7"/>
    </row>
    <row r="93" spans="3:19" ht="15.75" customHeight="1" x14ac:dyDescent="0.25">
      <c r="C93" s="10">
        <v>74</v>
      </c>
      <c r="D93" s="11"/>
      <c r="E93" s="10"/>
      <c r="F93" s="22" t="s">
        <v>30</v>
      </c>
      <c r="G93" s="7">
        <v>300</v>
      </c>
      <c r="H93" s="12" t="s">
        <v>329</v>
      </c>
      <c r="I93" s="7"/>
      <c r="J93" s="7"/>
      <c r="K93" s="7"/>
      <c r="L93" s="7"/>
      <c r="M93" s="7"/>
      <c r="N93" s="7"/>
      <c r="O93" s="7"/>
      <c r="P93" s="7"/>
      <c r="Q93" s="7"/>
    </row>
    <row r="94" spans="3:19" ht="15.75" customHeight="1" x14ac:dyDescent="0.25">
      <c r="C94" s="10">
        <v>75</v>
      </c>
      <c r="D94" s="11"/>
      <c r="E94" s="10"/>
      <c r="F94" s="22" t="s">
        <v>190</v>
      </c>
      <c r="G94" s="7">
        <v>1100</v>
      </c>
      <c r="H94" s="12" t="s">
        <v>330</v>
      </c>
      <c r="I94" s="7"/>
      <c r="J94" s="7"/>
      <c r="K94" s="7"/>
      <c r="L94" s="7"/>
      <c r="M94" s="7"/>
      <c r="N94" s="7"/>
      <c r="O94" s="7"/>
      <c r="P94" s="7"/>
      <c r="Q94" s="7"/>
    </row>
    <row r="95" spans="3:19" ht="15.75" customHeight="1" x14ac:dyDescent="0.25">
      <c r="C95" s="10">
        <v>76</v>
      </c>
      <c r="D95" s="11"/>
      <c r="E95" s="10"/>
      <c r="F95" s="22" t="s">
        <v>331</v>
      </c>
      <c r="G95" s="7">
        <v>40</v>
      </c>
      <c r="H95" s="12">
        <v>195</v>
      </c>
      <c r="I95" s="7"/>
      <c r="J95" s="7"/>
      <c r="K95" s="7"/>
      <c r="L95" s="7"/>
      <c r="M95" s="7"/>
      <c r="N95" s="7"/>
      <c r="O95" s="7"/>
      <c r="P95" s="7"/>
      <c r="Q95" s="7"/>
    </row>
    <row r="96" spans="3:19" ht="15.75" customHeight="1" x14ac:dyDescent="0.25">
      <c r="C96" s="10">
        <v>77</v>
      </c>
      <c r="D96" s="11"/>
      <c r="E96" s="10"/>
      <c r="F96" s="22" t="s">
        <v>69</v>
      </c>
      <c r="G96" s="7">
        <v>340</v>
      </c>
      <c r="H96" s="12">
        <v>205</v>
      </c>
      <c r="I96" s="7"/>
      <c r="J96" s="7"/>
      <c r="K96" s="7"/>
      <c r="L96" s="7"/>
      <c r="M96" s="7"/>
      <c r="N96" s="7"/>
      <c r="O96" s="7"/>
      <c r="P96" s="7"/>
      <c r="Q96" s="7"/>
    </row>
    <row r="97" spans="3:17" ht="15.75" customHeight="1" x14ac:dyDescent="0.25">
      <c r="C97" s="10">
        <v>78</v>
      </c>
      <c r="D97" s="11"/>
      <c r="E97" s="10"/>
      <c r="F97" s="22" t="s">
        <v>52</v>
      </c>
      <c r="G97" s="7">
        <v>4000</v>
      </c>
      <c r="H97" s="12" t="s">
        <v>332</v>
      </c>
      <c r="I97" s="7"/>
      <c r="J97" s="7"/>
      <c r="K97" s="7"/>
      <c r="L97" s="7"/>
      <c r="M97" s="7"/>
      <c r="N97" s="7"/>
      <c r="O97" s="7"/>
      <c r="P97" s="7"/>
      <c r="Q97" s="7"/>
    </row>
    <row r="98" spans="3:17" ht="15.75" customHeight="1" x14ac:dyDescent="0.25">
      <c r="C98" s="10">
        <v>79</v>
      </c>
      <c r="D98" s="11"/>
      <c r="E98" s="10"/>
      <c r="F98" s="22" t="s">
        <v>37</v>
      </c>
      <c r="G98" s="7">
        <v>500</v>
      </c>
      <c r="H98" s="12">
        <v>125</v>
      </c>
      <c r="I98" s="7"/>
      <c r="J98" s="7"/>
      <c r="K98" s="7"/>
      <c r="L98" s="7"/>
      <c r="M98" s="7"/>
      <c r="N98" s="7"/>
      <c r="O98" s="7"/>
      <c r="P98" s="7"/>
      <c r="Q98" s="7"/>
    </row>
    <row r="99" spans="3:17" ht="15.75" customHeight="1" x14ac:dyDescent="0.25">
      <c r="C99" s="10">
        <v>80</v>
      </c>
      <c r="D99" s="11"/>
      <c r="E99" s="10"/>
      <c r="F99" s="22" t="s">
        <v>220</v>
      </c>
      <c r="G99" s="7">
        <v>1000</v>
      </c>
      <c r="H99" s="12">
        <v>163</v>
      </c>
      <c r="I99" s="7"/>
      <c r="J99" s="7"/>
      <c r="K99" s="7"/>
      <c r="L99" s="7"/>
      <c r="M99" s="7"/>
      <c r="N99" s="7"/>
      <c r="O99" s="7"/>
      <c r="P99" s="7"/>
      <c r="Q99" s="7"/>
    </row>
    <row r="100" spans="3:17" ht="15.75" customHeight="1" x14ac:dyDescent="0.25">
      <c r="C100" s="10">
        <v>81</v>
      </c>
      <c r="D100" s="11"/>
      <c r="E100" s="10"/>
      <c r="F100" s="22" t="s">
        <v>333</v>
      </c>
      <c r="G100" s="7">
        <v>1000</v>
      </c>
      <c r="H100" s="12">
        <v>147</v>
      </c>
      <c r="I100" s="7"/>
      <c r="J100" s="7"/>
      <c r="K100" s="7"/>
      <c r="L100" s="7"/>
      <c r="M100" s="7"/>
      <c r="N100" s="7"/>
      <c r="O100" s="7"/>
      <c r="P100" s="7"/>
      <c r="Q100" s="7"/>
    </row>
    <row r="101" spans="3:17" ht="15.75" customHeight="1" x14ac:dyDescent="0.25">
      <c r="C101" s="13" t="s">
        <v>3</v>
      </c>
      <c r="D101" s="14"/>
      <c r="E101" s="13"/>
      <c r="F101" s="25"/>
      <c r="G101" s="14">
        <f>SUM(G21:G100)</f>
        <v>171887</v>
      </c>
      <c r="H101" s="14"/>
      <c r="I101" s="14">
        <f t="shared" ref="I101:Q101" si="8">SUM(I21:I100)</f>
        <v>69540</v>
      </c>
      <c r="J101" s="14">
        <f t="shared" si="8"/>
        <v>21450</v>
      </c>
      <c r="K101" s="14">
        <f t="shared" si="8"/>
        <v>12625</v>
      </c>
      <c r="L101" s="14">
        <f t="shared" si="8"/>
        <v>6120</v>
      </c>
      <c r="M101" s="14">
        <f t="shared" si="8"/>
        <v>22500</v>
      </c>
      <c r="N101" s="14">
        <f t="shared" si="8"/>
        <v>12025</v>
      </c>
      <c r="O101" s="14">
        <f t="shared" si="8"/>
        <v>4650</v>
      </c>
      <c r="P101" s="14">
        <f t="shared" si="8"/>
        <v>1000</v>
      </c>
      <c r="Q101" s="14">
        <f t="shared" si="8"/>
        <v>3560</v>
      </c>
    </row>
    <row r="102" spans="3:17" ht="15.75" customHeight="1" x14ac:dyDescent="0.25">
      <c r="C102" s="1"/>
      <c r="E102" s="1"/>
      <c r="F102" s="16"/>
    </row>
    <row r="103" spans="3:17" ht="15.75" customHeight="1" x14ac:dyDescent="0.25">
      <c r="C103" s="1"/>
      <c r="D103" s="1"/>
      <c r="E103" s="1"/>
      <c r="F103" s="16"/>
      <c r="I103" s="33">
        <f>SUM('Dec 2023'!$I$101:'Dec 2023'!$Q$101)</f>
        <v>153470</v>
      </c>
    </row>
    <row r="104" spans="3:17" ht="15.75" customHeight="1" x14ac:dyDescent="0.25">
      <c r="E104" s="1"/>
      <c r="F104" s="16"/>
    </row>
    <row r="105" spans="3:17" ht="15.75" customHeight="1" x14ac:dyDescent="0.25"/>
    <row r="106" spans="3:17" ht="15.75" customHeight="1" x14ac:dyDescent="0.25"/>
    <row r="107" spans="3:17" ht="15.75" customHeight="1" x14ac:dyDescent="0.25"/>
    <row r="108" spans="3:17" ht="15.75" customHeight="1" x14ac:dyDescent="0.25"/>
    <row r="109" spans="3:17" ht="15.75" customHeight="1" x14ac:dyDescent="0.25"/>
    <row r="110" spans="3:17" ht="15.75" customHeight="1" x14ac:dyDescent="0.25"/>
    <row r="111" spans="3:17" ht="15.75" customHeight="1" x14ac:dyDescent="0.25"/>
    <row r="112" spans="3:1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T35:V35"/>
    <mergeCell ref="T36:V36"/>
    <mergeCell ref="T37:V37"/>
    <mergeCell ref="C11:D11"/>
    <mergeCell ref="C18:E18"/>
    <mergeCell ref="T20:W20"/>
    <mergeCell ref="T21:V21"/>
    <mergeCell ref="T32:V32"/>
    <mergeCell ref="T33:V33"/>
    <mergeCell ref="T34:V34"/>
  </mergeCells>
  <pageMargins left="0.7" right="0.7" top="0.75" bottom="0.75" header="0" footer="0"/>
  <pageSetup orientation="portrait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4:W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8" customWidth="1"/>
    <col min="3" max="3" width="9.85546875" customWidth="1"/>
    <col min="4" max="4" width="13.140625" customWidth="1"/>
    <col min="5" max="5" width="10.42578125" customWidth="1"/>
    <col min="6" max="6" width="9.42578125" customWidth="1"/>
    <col min="7" max="14" width="8.7109375" customWidth="1"/>
    <col min="15" max="15" width="11.7109375" customWidth="1"/>
    <col min="16" max="16" width="11.42578125" customWidth="1"/>
    <col min="17" max="17" width="11.85546875" customWidth="1"/>
    <col min="18" max="20" width="8.7109375" customWidth="1"/>
    <col min="21" max="21" width="10.7109375" customWidth="1"/>
    <col min="22" max="26" width="8.7109375" customWidth="1"/>
  </cols>
  <sheetData>
    <row r="4" spans="3:17" ht="15.75" x14ac:dyDescent="0.25">
      <c r="C4" s="1"/>
      <c r="D4" s="2" t="s">
        <v>422</v>
      </c>
      <c r="E4" s="17"/>
      <c r="F4" s="18"/>
      <c r="G4" s="2"/>
      <c r="H4" s="2"/>
      <c r="I4" s="2"/>
      <c r="J4" s="2"/>
      <c r="K4" s="8"/>
      <c r="L4" s="2"/>
      <c r="M4" s="3"/>
      <c r="N4" s="3"/>
      <c r="O4" s="65" t="s">
        <v>88</v>
      </c>
      <c r="P4" s="60" t="s">
        <v>2</v>
      </c>
      <c r="Q4" s="66" t="s">
        <v>117</v>
      </c>
    </row>
    <row r="5" spans="3:17" ht="15.75" x14ac:dyDescent="0.25">
      <c r="C5" s="1"/>
      <c r="D5" s="67" t="s">
        <v>1</v>
      </c>
      <c r="E5" s="44" t="s">
        <v>2</v>
      </c>
      <c r="F5" s="45">
        <v>1799</v>
      </c>
      <c r="G5" s="46">
        <v>2699</v>
      </c>
      <c r="H5" s="46">
        <v>588</v>
      </c>
      <c r="I5" s="46">
        <v>2088</v>
      </c>
      <c r="J5" s="46">
        <v>2488</v>
      </c>
      <c r="K5" s="46">
        <v>2688</v>
      </c>
      <c r="L5" s="45">
        <v>3099</v>
      </c>
      <c r="M5" s="62" t="s">
        <v>295</v>
      </c>
      <c r="N5" s="45" t="s">
        <v>3</v>
      </c>
      <c r="O5" s="47"/>
      <c r="P5" s="42"/>
      <c r="Q5" s="42"/>
    </row>
    <row r="6" spans="3:17" ht="18.75" x14ac:dyDescent="0.3">
      <c r="C6" s="1"/>
      <c r="D6" s="6" t="s">
        <v>259</v>
      </c>
      <c r="E6" s="7">
        <v>185573</v>
      </c>
      <c r="F6" s="7">
        <v>16625</v>
      </c>
      <c r="G6" s="7">
        <v>12375</v>
      </c>
      <c r="H6" s="7">
        <v>26080</v>
      </c>
      <c r="I6" s="7">
        <v>13500</v>
      </c>
      <c r="J6" s="7">
        <v>35700</v>
      </c>
      <c r="K6" s="7">
        <v>22600</v>
      </c>
      <c r="L6" s="7">
        <v>33400</v>
      </c>
      <c r="M6" s="7">
        <v>25960</v>
      </c>
      <c r="N6" s="7">
        <f>SUM(E6:M6)</f>
        <v>371813</v>
      </c>
      <c r="O6" s="68">
        <f t="shared" ref="O6:O9" si="0">SUM(F6:M6)</f>
        <v>186240</v>
      </c>
      <c r="P6" s="69">
        <f t="shared" ref="P6:P9" si="1">E6</f>
        <v>185573</v>
      </c>
      <c r="Q6" s="70">
        <f t="shared" ref="Q6:Q7" si="2">O6+P6</f>
        <v>371813</v>
      </c>
    </row>
    <row r="7" spans="3:17" ht="18.75" x14ac:dyDescent="0.3">
      <c r="C7" s="1"/>
      <c r="D7" s="6" t="s">
        <v>365</v>
      </c>
      <c r="E7" s="7">
        <f>W32</f>
        <v>58678</v>
      </c>
      <c r="F7" s="7"/>
      <c r="G7" s="7"/>
      <c r="H7" s="7"/>
      <c r="I7" s="7">
        <v>18000</v>
      </c>
      <c r="J7" s="7"/>
      <c r="K7" s="7"/>
      <c r="L7" s="7"/>
      <c r="M7" s="7"/>
      <c r="N7" s="7"/>
      <c r="O7" s="68">
        <f t="shared" si="0"/>
        <v>18000</v>
      </c>
      <c r="P7" s="69">
        <f t="shared" si="1"/>
        <v>58678</v>
      </c>
      <c r="Q7" s="70">
        <f t="shared" si="2"/>
        <v>76678</v>
      </c>
    </row>
    <row r="8" spans="3:17" ht="21" x14ac:dyDescent="0.35">
      <c r="C8" s="1"/>
      <c r="D8" s="71" t="s">
        <v>423</v>
      </c>
      <c r="E8" s="48">
        <f>'Jan 2024'!$I$101</f>
        <v>24780</v>
      </c>
      <c r="F8" s="48">
        <f>'Jan 2024'!$J$101</f>
        <v>11025</v>
      </c>
      <c r="G8" s="49">
        <f>'Jan 2024'!$K$101</f>
        <v>2950</v>
      </c>
      <c r="H8" s="49">
        <f>'Jan 2024'!$L$101</f>
        <v>4500</v>
      </c>
      <c r="I8" s="49">
        <f>'Jan 2024'!$M$101</f>
        <v>5500</v>
      </c>
      <c r="J8" s="49">
        <f>'Jan 2024'!$N$101</f>
        <v>5415</v>
      </c>
      <c r="K8" s="49">
        <f>'Jan 2024'!$O$101</f>
        <v>2550</v>
      </c>
      <c r="L8" s="49">
        <f>'Jan 2024'!$P$101</f>
        <v>0</v>
      </c>
      <c r="M8" s="49">
        <f>'Jan 2024'!$Q$101</f>
        <v>4580</v>
      </c>
      <c r="N8" s="72">
        <f>SUM(E8:M8)</f>
        <v>61300</v>
      </c>
      <c r="O8" s="73">
        <f t="shared" si="0"/>
        <v>36520</v>
      </c>
      <c r="P8" s="74">
        <f t="shared" si="1"/>
        <v>24780</v>
      </c>
      <c r="Q8" s="75">
        <f t="shared" ref="Q8:Q9" si="3">SUM(O8,P8)</f>
        <v>61300</v>
      </c>
    </row>
    <row r="9" spans="3:17" ht="17.25" x14ac:dyDescent="0.3">
      <c r="C9" s="1"/>
      <c r="D9" s="6" t="s">
        <v>261</v>
      </c>
      <c r="E9" s="12">
        <f t="shared" ref="E9:M9" si="4">SUM(E6,E7-E8)</f>
        <v>219471</v>
      </c>
      <c r="F9" s="12">
        <f t="shared" si="4"/>
        <v>5600</v>
      </c>
      <c r="G9" s="12">
        <f t="shared" si="4"/>
        <v>9425</v>
      </c>
      <c r="H9" s="12">
        <f t="shared" si="4"/>
        <v>21580</v>
      </c>
      <c r="I9" s="12">
        <f t="shared" si="4"/>
        <v>26000</v>
      </c>
      <c r="J9" s="12">
        <f t="shared" si="4"/>
        <v>30285</v>
      </c>
      <c r="K9" s="12">
        <f t="shared" si="4"/>
        <v>20050</v>
      </c>
      <c r="L9" s="12">
        <f t="shared" si="4"/>
        <v>33400</v>
      </c>
      <c r="M9" s="12">
        <f t="shared" si="4"/>
        <v>21380</v>
      </c>
      <c r="N9" s="12">
        <f>SUM(N6+N7-N8)</f>
        <v>310513</v>
      </c>
      <c r="O9" s="55">
        <f t="shared" si="0"/>
        <v>167720</v>
      </c>
      <c r="P9" s="56">
        <f t="shared" si="1"/>
        <v>219471</v>
      </c>
      <c r="Q9" s="57">
        <f t="shared" si="3"/>
        <v>387191</v>
      </c>
    </row>
    <row r="10" spans="3:17" x14ac:dyDescent="0.25">
      <c r="C10" s="1"/>
      <c r="E10" s="1"/>
      <c r="F10" s="16"/>
    </row>
    <row r="11" spans="3:17" ht="15.75" x14ac:dyDescent="0.25">
      <c r="C11" s="103" t="s">
        <v>367</v>
      </c>
      <c r="D11" s="99"/>
      <c r="E11" s="21" t="s">
        <v>368</v>
      </c>
      <c r="F11" s="45">
        <v>1799</v>
      </c>
      <c r="G11" s="46">
        <v>2699</v>
      </c>
      <c r="H11" s="46">
        <v>588</v>
      </c>
      <c r="I11" s="46">
        <v>2088</v>
      </c>
      <c r="J11" s="46">
        <v>2488</v>
      </c>
      <c r="K11" s="46">
        <v>2688</v>
      </c>
      <c r="L11" s="45">
        <v>3099</v>
      </c>
      <c r="M11" s="62" t="s">
        <v>295</v>
      </c>
      <c r="N11" s="45" t="s">
        <v>3</v>
      </c>
      <c r="O11" s="76" t="s">
        <v>369</v>
      </c>
      <c r="P11" s="76" t="s">
        <v>370</v>
      </c>
    </row>
    <row r="12" spans="3:17" x14ac:dyDescent="0.25">
      <c r="C12" s="9" t="s">
        <v>371</v>
      </c>
      <c r="D12" s="79" t="s">
        <v>372</v>
      </c>
      <c r="E12" s="9" t="s">
        <v>373</v>
      </c>
      <c r="F12" s="22"/>
      <c r="G12" s="7"/>
      <c r="H12" s="7"/>
      <c r="I12" s="7"/>
      <c r="J12" s="7"/>
      <c r="K12" s="7"/>
      <c r="L12" s="7"/>
      <c r="M12" s="7"/>
      <c r="N12" s="7">
        <f>SUM(F12:M12)</f>
        <v>0</v>
      </c>
      <c r="O12" s="10"/>
      <c r="P12" s="10"/>
    </row>
    <row r="13" spans="3:17" x14ac:dyDescent="0.25">
      <c r="C13" s="10">
        <v>1</v>
      </c>
      <c r="D13" s="7" t="s">
        <v>374</v>
      </c>
      <c r="E13" s="78">
        <v>45310</v>
      </c>
      <c r="F13" s="22"/>
      <c r="G13" s="7"/>
      <c r="H13" s="7"/>
      <c r="I13" s="7">
        <v>18000</v>
      </c>
      <c r="J13" s="7"/>
      <c r="K13" s="7"/>
      <c r="L13" s="7"/>
      <c r="M13" s="7"/>
      <c r="N13" s="7"/>
      <c r="O13" s="10"/>
      <c r="P13" s="10"/>
    </row>
    <row r="14" spans="3:17" x14ac:dyDescent="0.25">
      <c r="C14" s="10">
        <v>2</v>
      </c>
      <c r="D14" s="7" t="s">
        <v>376</v>
      </c>
      <c r="E14" s="78"/>
      <c r="F14" s="22"/>
      <c r="G14" s="7"/>
      <c r="H14" s="7"/>
      <c r="I14" s="7"/>
      <c r="J14" s="7"/>
      <c r="K14" s="7"/>
      <c r="L14" s="7"/>
      <c r="M14" s="7"/>
      <c r="N14" s="7"/>
      <c r="O14" s="10"/>
      <c r="P14" s="10"/>
    </row>
    <row r="15" spans="3:17" x14ac:dyDescent="0.25">
      <c r="C15" s="10">
        <v>3</v>
      </c>
      <c r="D15" s="7" t="s">
        <v>376</v>
      </c>
      <c r="E15" s="78"/>
      <c r="F15" s="22"/>
      <c r="G15" s="7"/>
      <c r="H15" s="7"/>
      <c r="I15" s="7"/>
      <c r="J15" s="7"/>
      <c r="K15" s="7"/>
      <c r="L15" s="7"/>
      <c r="M15" s="7"/>
      <c r="N15" s="7"/>
      <c r="O15" s="10"/>
      <c r="P15" s="10"/>
    </row>
    <row r="16" spans="3:17" x14ac:dyDescent="0.25">
      <c r="C16" s="10">
        <v>4</v>
      </c>
      <c r="D16" s="7" t="s">
        <v>374</v>
      </c>
      <c r="E16" s="78"/>
      <c r="F16" s="22"/>
      <c r="G16" s="7"/>
      <c r="H16" s="7"/>
      <c r="I16" s="7"/>
      <c r="J16" s="7"/>
      <c r="K16" s="7"/>
      <c r="L16" s="7"/>
      <c r="M16" s="7"/>
      <c r="N16" s="7"/>
      <c r="O16" s="10"/>
      <c r="P16" s="10"/>
    </row>
    <row r="17" spans="3:23" x14ac:dyDescent="0.25">
      <c r="C17" s="10">
        <v>5</v>
      </c>
      <c r="D17" s="7" t="s">
        <v>378</v>
      </c>
      <c r="E17" s="11"/>
      <c r="F17" s="7"/>
      <c r="G17" s="7"/>
      <c r="H17" s="7"/>
      <c r="I17" s="7"/>
      <c r="J17" s="7"/>
      <c r="K17" s="7"/>
      <c r="L17" s="7"/>
      <c r="M17" s="7"/>
      <c r="N17" s="7"/>
      <c r="O17" s="10"/>
      <c r="P17" s="10"/>
    </row>
    <row r="18" spans="3:23" x14ac:dyDescent="0.25">
      <c r="C18" s="104" t="s">
        <v>3</v>
      </c>
      <c r="D18" s="98"/>
      <c r="E18" s="99"/>
      <c r="F18" s="7">
        <f t="shared" ref="F18:M18" si="5">SUM(F12:F17)</f>
        <v>0</v>
      </c>
      <c r="G18" s="7">
        <f t="shared" si="5"/>
        <v>0</v>
      </c>
      <c r="H18" s="7">
        <f t="shared" si="5"/>
        <v>0</v>
      </c>
      <c r="I18" s="7">
        <f t="shared" si="5"/>
        <v>18000</v>
      </c>
      <c r="J18" s="7">
        <f t="shared" si="5"/>
        <v>0</v>
      </c>
      <c r="K18" s="7">
        <f t="shared" si="5"/>
        <v>0</v>
      </c>
      <c r="L18" s="7">
        <f t="shared" si="5"/>
        <v>0</v>
      </c>
      <c r="M18" s="7">
        <f t="shared" si="5"/>
        <v>0</v>
      </c>
      <c r="N18" s="7">
        <f>SUM(F18:M18)</f>
        <v>18000</v>
      </c>
      <c r="O18" s="10"/>
      <c r="P18" s="10"/>
    </row>
    <row r="19" spans="3:23" x14ac:dyDescent="0.25">
      <c r="C19" s="1"/>
      <c r="E19" s="1"/>
      <c r="F19" s="16"/>
    </row>
    <row r="20" spans="3:23" ht="15.75" x14ac:dyDescent="0.25">
      <c r="C20" s="9" t="s">
        <v>8</v>
      </c>
      <c r="D20" s="4" t="s">
        <v>9</v>
      </c>
      <c r="E20" s="20" t="s">
        <v>10</v>
      </c>
      <c r="F20" s="20" t="s">
        <v>11</v>
      </c>
      <c r="G20" s="4" t="s">
        <v>4</v>
      </c>
      <c r="H20" s="4" t="s">
        <v>12</v>
      </c>
      <c r="I20" s="4" t="s">
        <v>2</v>
      </c>
      <c r="J20" s="4" t="s">
        <v>13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19</v>
      </c>
      <c r="P20" s="39" t="s">
        <v>204</v>
      </c>
      <c r="Q20" s="63" t="s">
        <v>295</v>
      </c>
      <c r="T20" s="101" t="s">
        <v>118</v>
      </c>
      <c r="U20" s="102"/>
      <c r="V20" s="102"/>
      <c r="W20" s="102"/>
    </row>
    <row r="21" spans="3:23" ht="15.75" customHeight="1" x14ac:dyDescent="0.25">
      <c r="C21" s="10">
        <v>1</v>
      </c>
      <c r="D21" s="11">
        <v>45292</v>
      </c>
      <c r="E21" s="10">
        <v>598</v>
      </c>
      <c r="F21" s="22" t="s">
        <v>80</v>
      </c>
      <c r="G21" s="7">
        <v>1000</v>
      </c>
      <c r="H21" s="12">
        <v>146</v>
      </c>
      <c r="I21" s="7"/>
      <c r="J21" s="7">
        <v>1000</v>
      </c>
      <c r="K21" s="7"/>
      <c r="L21" s="7"/>
      <c r="M21" s="7"/>
      <c r="N21" s="7"/>
      <c r="O21" s="7"/>
      <c r="P21" s="7"/>
      <c r="Q21" s="40"/>
      <c r="T21" s="97" t="s">
        <v>172</v>
      </c>
      <c r="U21" s="98"/>
      <c r="V21" s="98"/>
      <c r="W21" s="34"/>
    </row>
    <row r="22" spans="3:23" ht="15.75" customHeight="1" x14ac:dyDescent="0.25">
      <c r="C22" s="10">
        <v>2</v>
      </c>
      <c r="D22" s="11">
        <v>45292</v>
      </c>
      <c r="E22" s="10">
        <v>599</v>
      </c>
      <c r="F22" s="22" t="s">
        <v>317</v>
      </c>
      <c r="G22" s="7">
        <v>165</v>
      </c>
      <c r="H22" s="12" t="s">
        <v>285</v>
      </c>
      <c r="I22" s="7">
        <v>140</v>
      </c>
      <c r="J22" s="7"/>
      <c r="K22" s="7">
        <v>25</v>
      </c>
      <c r="L22" s="7"/>
      <c r="M22" s="7"/>
      <c r="N22" s="7"/>
      <c r="O22" s="7"/>
      <c r="P22" s="7"/>
      <c r="Q22" s="7"/>
      <c r="T22" s="10" t="s">
        <v>121</v>
      </c>
      <c r="U22" s="7" t="s">
        <v>9</v>
      </c>
      <c r="V22" s="7" t="s">
        <v>122</v>
      </c>
      <c r="W22" s="7" t="s">
        <v>4</v>
      </c>
    </row>
    <row r="23" spans="3:23" ht="15.75" customHeight="1" x14ac:dyDescent="0.25">
      <c r="C23" s="10">
        <v>3</v>
      </c>
      <c r="D23" s="11">
        <v>45293</v>
      </c>
      <c r="E23" s="10" t="s">
        <v>424</v>
      </c>
      <c r="F23" s="22" t="s">
        <v>268</v>
      </c>
      <c r="G23" s="7">
        <v>2500</v>
      </c>
      <c r="H23" s="12" t="s">
        <v>425</v>
      </c>
      <c r="I23" s="7"/>
      <c r="J23" s="7">
        <v>1500</v>
      </c>
      <c r="K23" s="7"/>
      <c r="L23" s="7"/>
      <c r="M23" s="7"/>
      <c r="N23" s="7"/>
      <c r="O23" s="7"/>
      <c r="P23" s="7"/>
      <c r="Q23" s="7">
        <v>1000</v>
      </c>
      <c r="T23" s="10">
        <v>1</v>
      </c>
      <c r="U23" s="41">
        <v>45296</v>
      </c>
      <c r="V23" s="7" t="s">
        <v>426</v>
      </c>
      <c r="W23" s="7">
        <v>19115</v>
      </c>
    </row>
    <row r="24" spans="3:23" ht="15.75" customHeight="1" x14ac:dyDescent="0.25">
      <c r="C24" s="10">
        <v>4</v>
      </c>
      <c r="D24" s="11">
        <v>45294</v>
      </c>
      <c r="E24" s="10" t="s">
        <v>27</v>
      </c>
      <c r="F24" s="22" t="s">
        <v>69</v>
      </c>
      <c r="G24" s="7">
        <v>500</v>
      </c>
      <c r="H24" s="31" t="s">
        <v>427</v>
      </c>
      <c r="I24" s="7">
        <v>300</v>
      </c>
      <c r="J24" s="7"/>
      <c r="K24" s="7"/>
      <c r="L24" s="7"/>
      <c r="M24" s="7"/>
      <c r="N24" s="7"/>
      <c r="O24" s="7"/>
      <c r="P24" s="7"/>
      <c r="Q24" s="7">
        <v>200</v>
      </c>
      <c r="T24" s="10">
        <v>2</v>
      </c>
      <c r="U24" s="41">
        <v>45296</v>
      </c>
      <c r="V24" s="7" t="s">
        <v>426</v>
      </c>
      <c r="W24" s="7">
        <v>20661</v>
      </c>
    </row>
    <row r="25" spans="3:23" ht="15.75" customHeight="1" x14ac:dyDescent="0.25">
      <c r="C25" s="10">
        <v>5</v>
      </c>
      <c r="D25" s="11">
        <v>45294</v>
      </c>
      <c r="E25" s="10" t="s">
        <v>428</v>
      </c>
      <c r="F25" s="22" t="s">
        <v>32</v>
      </c>
      <c r="G25" s="7">
        <v>500</v>
      </c>
      <c r="H25" s="12">
        <v>171</v>
      </c>
      <c r="I25" s="7"/>
      <c r="J25" s="7"/>
      <c r="K25" s="7"/>
      <c r="L25" s="7"/>
      <c r="M25" s="7"/>
      <c r="N25" s="7">
        <v>500</v>
      </c>
      <c r="O25" s="7"/>
      <c r="P25" s="7"/>
      <c r="Q25" s="7"/>
      <c r="T25" s="10">
        <v>3</v>
      </c>
      <c r="U25" s="41">
        <v>45301</v>
      </c>
      <c r="V25" s="7" t="s">
        <v>426</v>
      </c>
      <c r="W25" s="7">
        <v>18902</v>
      </c>
    </row>
    <row r="26" spans="3:23" ht="15.75" customHeight="1" x14ac:dyDescent="0.25">
      <c r="C26" s="10">
        <v>6</v>
      </c>
      <c r="D26" s="11">
        <v>45294</v>
      </c>
      <c r="E26" s="10" t="s">
        <v>429</v>
      </c>
      <c r="F26" s="22" t="s">
        <v>80</v>
      </c>
      <c r="G26" s="7">
        <v>250</v>
      </c>
      <c r="H26" s="12">
        <v>151</v>
      </c>
      <c r="I26" s="7"/>
      <c r="J26" s="7">
        <v>250</v>
      </c>
      <c r="K26" s="7"/>
      <c r="L26" s="7"/>
      <c r="M26" s="7"/>
      <c r="N26" s="7"/>
      <c r="O26" s="7"/>
      <c r="P26" s="7"/>
      <c r="Q26" s="7"/>
      <c r="T26" s="10">
        <v>4</v>
      </c>
      <c r="U26" s="41"/>
      <c r="V26" s="7"/>
      <c r="W26" s="7"/>
    </row>
    <row r="27" spans="3:23" ht="15.75" customHeight="1" x14ac:dyDescent="0.25">
      <c r="C27" s="10">
        <v>7</v>
      </c>
      <c r="D27" s="11">
        <v>45295</v>
      </c>
      <c r="E27" s="10">
        <v>600</v>
      </c>
      <c r="F27" s="22" t="s">
        <v>284</v>
      </c>
      <c r="G27" s="7">
        <v>500</v>
      </c>
      <c r="H27" s="12">
        <v>180</v>
      </c>
      <c r="I27" s="7"/>
      <c r="J27" s="7"/>
      <c r="K27" s="7"/>
      <c r="L27" s="7">
        <v>500</v>
      </c>
      <c r="M27" s="7"/>
      <c r="N27" s="7"/>
      <c r="O27" s="7"/>
      <c r="P27" s="7"/>
      <c r="Q27" s="7"/>
      <c r="T27" s="10">
        <v>5</v>
      </c>
      <c r="U27" s="41"/>
      <c r="V27" s="7"/>
      <c r="W27" s="7"/>
    </row>
    <row r="28" spans="3:23" ht="15.75" customHeight="1" x14ac:dyDescent="0.25">
      <c r="C28" s="10">
        <v>8</v>
      </c>
      <c r="D28" s="11">
        <v>45295</v>
      </c>
      <c r="E28" s="10">
        <v>601</v>
      </c>
      <c r="F28" s="22" t="s">
        <v>409</v>
      </c>
      <c r="G28" s="7">
        <v>2500</v>
      </c>
      <c r="H28" s="12" t="s">
        <v>430</v>
      </c>
      <c r="I28" s="7"/>
      <c r="J28" s="7">
        <v>500</v>
      </c>
      <c r="K28" s="7"/>
      <c r="L28" s="7"/>
      <c r="M28" s="7"/>
      <c r="N28" s="7"/>
      <c r="O28" s="7">
        <v>1000</v>
      </c>
      <c r="P28" s="7"/>
      <c r="Q28" s="7">
        <v>1000</v>
      </c>
      <c r="T28" s="10">
        <v>6</v>
      </c>
      <c r="U28" s="41"/>
      <c r="V28" s="7"/>
      <c r="W28" s="7"/>
    </row>
    <row r="29" spans="3:23" ht="15.75" customHeight="1" x14ac:dyDescent="0.25">
      <c r="C29" s="10">
        <v>9</v>
      </c>
      <c r="D29" s="11">
        <v>45297</v>
      </c>
      <c r="E29" s="10">
        <v>603</v>
      </c>
      <c r="F29" s="22" t="s">
        <v>255</v>
      </c>
      <c r="G29" s="7">
        <v>200</v>
      </c>
      <c r="H29" s="12">
        <v>150</v>
      </c>
      <c r="I29" s="7"/>
      <c r="J29" s="7">
        <v>200</v>
      </c>
      <c r="K29" s="7"/>
      <c r="L29" s="7"/>
      <c r="M29" s="7"/>
      <c r="N29" s="7"/>
      <c r="O29" s="7"/>
      <c r="P29" s="7"/>
      <c r="Q29" s="7"/>
      <c r="T29" s="10">
        <v>7</v>
      </c>
      <c r="U29" s="41"/>
      <c r="V29" s="7"/>
      <c r="W29" s="7"/>
    </row>
    <row r="30" spans="3:23" ht="15.75" customHeight="1" x14ac:dyDescent="0.25">
      <c r="C30" s="10">
        <v>10</v>
      </c>
      <c r="D30" s="11">
        <v>45297</v>
      </c>
      <c r="E30" s="10">
        <v>604</v>
      </c>
      <c r="F30" s="22" t="s">
        <v>48</v>
      </c>
      <c r="G30" s="7">
        <v>700</v>
      </c>
      <c r="H30" s="12">
        <v>114</v>
      </c>
      <c r="I30" s="7">
        <v>700</v>
      </c>
      <c r="J30" s="7"/>
      <c r="K30" s="7"/>
      <c r="L30" s="7"/>
      <c r="M30" s="7"/>
      <c r="N30" s="7"/>
      <c r="O30" s="7"/>
      <c r="P30" s="7"/>
      <c r="Q30" s="7"/>
      <c r="T30" s="10">
        <v>8</v>
      </c>
      <c r="U30" s="11"/>
      <c r="V30" s="7"/>
      <c r="W30" s="7"/>
    </row>
    <row r="31" spans="3:23" ht="15.75" customHeight="1" x14ac:dyDescent="0.25">
      <c r="C31" s="10">
        <v>11</v>
      </c>
      <c r="D31" s="11">
        <v>45299</v>
      </c>
      <c r="E31" s="10">
        <v>605</v>
      </c>
      <c r="F31" s="22" t="s">
        <v>139</v>
      </c>
      <c r="G31" s="7">
        <v>1000</v>
      </c>
      <c r="H31" s="12">
        <v>116</v>
      </c>
      <c r="I31" s="7">
        <v>1000</v>
      </c>
      <c r="J31" s="7"/>
      <c r="K31" s="7"/>
      <c r="L31" s="7"/>
      <c r="M31" s="7"/>
      <c r="N31" s="7"/>
      <c r="O31" s="7"/>
      <c r="P31" s="7"/>
      <c r="Q31" s="7"/>
      <c r="T31" s="10"/>
      <c r="U31" s="7"/>
      <c r="V31" s="7"/>
      <c r="W31" s="7"/>
    </row>
    <row r="32" spans="3:23" ht="15.75" customHeight="1" x14ac:dyDescent="0.25">
      <c r="C32" s="10">
        <v>12</v>
      </c>
      <c r="D32" s="11">
        <v>45299</v>
      </c>
      <c r="E32" s="10">
        <v>606</v>
      </c>
      <c r="F32" s="22" t="s">
        <v>317</v>
      </c>
      <c r="G32" s="7">
        <v>205</v>
      </c>
      <c r="H32" s="12" t="s">
        <v>285</v>
      </c>
      <c r="I32" s="7">
        <v>180</v>
      </c>
      <c r="J32" s="7"/>
      <c r="K32" s="7">
        <v>25</v>
      </c>
      <c r="L32" s="7"/>
      <c r="M32" s="7"/>
      <c r="N32" s="7"/>
      <c r="O32" s="7"/>
      <c r="P32" s="7"/>
      <c r="Q32" s="7"/>
      <c r="T32" s="97" t="s">
        <v>181</v>
      </c>
      <c r="U32" s="98"/>
      <c r="V32" s="99"/>
      <c r="W32" s="7">
        <f>SUM(W23:W30)</f>
        <v>58678</v>
      </c>
    </row>
    <row r="33" spans="3:23" ht="15.75" customHeight="1" x14ac:dyDescent="0.25">
      <c r="C33" s="10">
        <v>13</v>
      </c>
      <c r="D33" s="11">
        <v>45299</v>
      </c>
      <c r="E33" s="10">
        <v>607</v>
      </c>
      <c r="F33" s="22" t="s">
        <v>90</v>
      </c>
      <c r="G33" s="7">
        <v>1000</v>
      </c>
      <c r="H33" s="12">
        <v>145</v>
      </c>
      <c r="I33" s="7"/>
      <c r="J33" s="7">
        <v>1000</v>
      </c>
      <c r="K33" s="7"/>
      <c r="L33" s="7"/>
      <c r="M33" s="7"/>
      <c r="N33" s="7"/>
      <c r="O33" s="7"/>
      <c r="P33" s="7"/>
      <c r="Q33" s="7"/>
      <c r="T33" s="97" t="s">
        <v>183</v>
      </c>
      <c r="U33" s="98"/>
      <c r="V33" s="99"/>
      <c r="W33" s="7">
        <v>185573</v>
      </c>
    </row>
    <row r="34" spans="3:23" ht="15.75" customHeight="1" x14ac:dyDescent="0.25">
      <c r="C34" s="10">
        <v>14</v>
      </c>
      <c r="D34" s="11">
        <v>45299</v>
      </c>
      <c r="E34" s="10">
        <v>608</v>
      </c>
      <c r="F34" s="22" t="s">
        <v>431</v>
      </c>
      <c r="G34" s="7">
        <v>300</v>
      </c>
      <c r="H34" s="12">
        <v>162</v>
      </c>
      <c r="I34" s="7"/>
      <c r="J34" s="7"/>
      <c r="K34" s="7">
        <v>300</v>
      </c>
      <c r="L34" s="7"/>
      <c r="M34" s="7"/>
      <c r="N34" s="7"/>
      <c r="O34" s="7"/>
      <c r="P34" s="7"/>
      <c r="Q34" s="7"/>
      <c r="T34" s="97" t="s">
        <v>184</v>
      </c>
      <c r="U34" s="98"/>
      <c r="V34" s="99"/>
      <c r="W34" s="35">
        <f>SUM(W32,W33)</f>
        <v>244251</v>
      </c>
    </row>
    <row r="35" spans="3:23" ht="15.75" customHeight="1" x14ac:dyDescent="0.25">
      <c r="C35" s="10">
        <v>15</v>
      </c>
      <c r="D35" s="11">
        <v>45299</v>
      </c>
      <c r="E35" s="10">
        <v>609</v>
      </c>
      <c r="F35" s="22" t="s">
        <v>20</v>
      </c>
      <c r="G35" s="7">
        <v>140</v>
      </c>
      <c r="H35" s="12">
        <v>115</v>
      </c>
      <c r="I35" s="7">
        <v>140</v>
      </c>
      <c r="J35" s="7"/>
      <c r="K35" s="7"/>
      <c r="L35" s="7"/>
      <c r="M35" s="7"/>
      <c r="N35" s="7"/>
      <c r="O35" s="7"/>
      <c r="P35" s="7"/>
      <c r="Q35" s="7"/>
      <c r="T35" s="97" t="s">
        <v>186</v>
      </c>
      <c r="U35" s="98"/>
      <c r="V35" s="99"/>
      <c r="W35" s="7">
        <f>'Jan 2024'!$I$101</f>
        <v>24780</v>
      </c>
    </row>
    <row r="36" spans="3:23" ht="15.75" customHeight="1" x14ac:dyDescent="0.25">
      <c r="C36" s="10">
        <v>16</v>
      </c>
      <c r="D36" s="11">
        <v>45299</v>
      </c>
      <c r="E36" s="24" t="s">
        <v>432</v>
      </c>
      <c r="F36" s="22" t="s">
        <v>269</v>
      </c>
      <c r="G36" s="7">
        <v>1000</v>
      </c>
      <c r="H36" s="12">
        <v>145</v>
      </c>
      <c r="I36" s="7"/>
      <c r="J36" s="7">
        <v>1000</v>
      </c>
      <c r="K36" s="7"/>
      <c r="L36" s="7"/>
      <c r="M36" s="7"/>
      <c r="N36" s="7"/>
      <c r="O36" s="7"/>
      <c r="P36" s="7"/>
      <c r="Q36" s="7"/>
      <c r="T36" s="97"/>
      <c r="U36" s="98"/>
      <c r="V36" s="99"/>
      <c r="W36" s="7"/>
    </row>
    <row r="37" spans="3:23" ht="15.75" customHeight="1" x14ac:dyDescent="0.25">
      <c r="C37" s="10">
        <v>17</v>
      </c>
      <c r="D37" s="11">
        <v>45301</v>
      </c>
      <c r="E37" s="10">
        <v>610</v>
      </c>
      <c r="F37" s="22" t="s">
        <v>333</v>
      </c>
      <c r="G37" s="7">
        <v>2000</v>
      </c>
      <c r="H37" s="12">
        <v>115</v>
      </c>
      <c r="I37" s="7">
        <v>2000</v>
      </c>
      <c r="J37" s="7"/>
      <c r="K37" s="7"/>
      <c r="L37" s="7"/>
      <c r="M37" s="7"/>
      <c r="N37" s="7"/>
      <c r="O37" s="7"/>
      <c r="P37" s="7"/>
      <c r="Q37" s="7"/>
      <c r="T37" s="100" t="s">
        <v>188</v>
      </c>
      <c r="U37" s="98"/>
      <c r="V37" s="99"/>
      <c r="W37" s="36">
        <f>SUM(W34-W35)</f>
        <v>219471</v>
      </c>
    </row>
    <row r="38" spans="3:23" ht="15.75" customHeight="1" x14ac:dyDescent="0.25">
      <c r="C38" s="10">
        <v>18</v>
      </c>
      <c r="D38" s="11">
        <v>45301</v>
      </c>
      <c r="E38" s="10">
        <v>611</v>
      </c>
      <c r="F38" s="22" t="s">
        <v>394</v>
      </c>
      <c r="G38" s="7">
        <v>10000</v>
      </c>
      <c r="H38" s="12">
        <v>105</v>
      </c>
      <c r="I38" s="7">
        <v>10000</v>
      </c>
      <c r="J38" s="7"/>
      <c r="K38" s="7"/>
      <c r="L38" s="7"/>
      <c r="M38" s="7"/>
      <c r="N38" s="7"/>
      <c r="O38" s="7"/>
      <c r="P38" s="7"/>
      <c r="Q38" s="7"/>
    </row>
    <row r="39" spans="3:23" ht="15.75" customHeight="1" x14ac:dyDescent="0.25">
      <c r="C39" s="10">
        <v>19</v>
      </c>
      <c r="D39" s="11">
        <v>45302</v>
      </c>
      <c r="E39" s="10">
        <v>612</v>
      </c>
      <c r="F39" s="22" t="s">
        <v>51</v>
      </c>
      <c r="G39" s="7">
        <v>3000</v>
      </c>
      <c r="H39" s="12">
        <v>170</v>
      </c>
      <c r="I39" s="7"/>
      <c r="J39" s="7"/>
      <c r="K39" s="7"/>
      <c r="L39" s="7"/>
      <c r="M39" s="7">
        <v>3000</v>
      </c>
      <c r="N39" s="7"/>
      <c r="O39" s="7"/>
      <c r="P39" s="7"/>
      <c r="Q39" s="7"/>
    </row>
    <row r="40" spans="3:23" ht="15.75" customHeight="1" x14ac:dyDescent="0.25">
      <c r="C40" s="10">
        <v>20</v>
      </c>
      <c r="D40" s="11">
        <v>45303</v>
      </c>
      <c r="E40" s="10" t="s">
        <v>27</v>
      </c>
      <c r="F40" s="22" t="s">
        <v>73</v>
      </c>
      <c r="G40" s="7">
        <v>1000</v>
      </c>
      <c r="H40" s="12">
        <v>164</v>
      </c>
      <c r="I40" s="7"/>
      <c r="J40" s="7"/>
      <c r="K40" s="7">
        <v>1000</v>
      </c>
      <c r="L40" s="7"/>
      <c r="M40" s="7"/>
      <c r="N40" s="7"/>
      <c r="O40" s="7"/>
      <c r="P40" s="7"/>
      <c r="Q40" s="7"/>
    </row>
    <row r="41" spans="3:23" ht="15.75" customHeight="1" x14ac:dyDescent="0.25">
      <c r="C41" s="10">
        <v>21</v>
      </c>
      <c r="D41" s="11">
        <v>45303</v>
      </c>
      <c r="E41" s="10" t="s">
        <v>433</v>
      </c>
      <c r="F41" s="22" t="s">
        <v>269</v>
      </c>
      <c r="G41" s="7">
        <v>1000</v>
      </c>
      <c r="H41" s="12" t="s">
        <v>434</v>
      </c>
      <c r="I41" s="7"/>
      <c r="J41" s="7"/>
      <c r="K41" s="7"/>
      <c r="L41" s="7"/>
      <c r="M41" s="7"/>
      <c r="N41" s="7">
        <v>175</v>
      </c>
      <c r="O41" s="7">
        <v>525</v>
      </c>
      <c r="P41" s="7"/>
      <c r="Q41" s="7">
        <v>300</v>
      </c>
    </row>
    <row r="42" spans="3:23" ht="15.75" customHeight="1" x14ac:dyDescent="0.25">
      <c r="C42" s="10">
        <v>22</v>
      </c>
      <c r="D42" s="11">
        <v>45304</v>
      </c>
      <c r="E42" s="10">
        <v>615</v>
      </c>
      <c r="F42" s="22" t="s">
        <v>37</v>
      </c>
      <c r="G42" s="7">
        <v>1000</v>
      </c>
      <c r="H42" s="12">
        <v>120</v>
      </c>
      <c r="I42" s="7">
        <v>1000</v>
      </c>
      <c r="J42" s="7"/>
      <c r="K42" s="7"/>
      <c r="L42" s="7"/>
      <c r="M42" s="7"/>
      <c r="N42" s="7"/>
      <c r="O42" s="7"/>
      <c r="P42" s="7"/>
      <c r="Q42" s="7"/>
    </row>
    <row r="43" spans="3:23" ht="15.75" customHeight="1" x14ac:dyDescent="0.25">
      <c r="C43" s="10">
        <v>23</v>
      </c>
      <c r="D43" s="11">
        <v>45306</v>
      </c>
      <c r="E43" s="10">
        <v>616</v>
      </c>
      <c r="F43" s="22" t="s">
        <v>435</v>
      </c>
      <c r="G43" s="7">
        <v>25</v>
      </c>
      <c r="H43" s="12">
        <v>145</v>
      </c>
      <c r="I43" s="7"/>
      <c r="J43" s="7">
        <v>25</v>
      </c>
      <c r="K43" s="7"/>
      <c r="L43" s="7"/>
      <c r="M43" s="7"/>
      <c r="N43" s="7"/>
      <c r="O43" s="7"/>
      <c r="P43" s="7"/>
      <c r="Q43" s="7"/>
    </row>
    <row r="44" spans="3:23" ht="15.75" customHeight="1" x14ac:dyDescent="0.25">
      <c r="C44" s="10">
        <v>24</v>
      </c>
      <c r="D44" s="11">
        <v>45306</v>
      </c>
      <c r="E44" s="10">
        <v>617</v>
      </c>
      <c r="F44" s="22" t="s">
        <v>355</v>
      </c>
      <c r="G44" s="7">
        <v>1480</v>
      </c>
      <c r="H44" s="12" t="s">
        <v>436</v>
      </c>
      <c r="I44" s="7"/>
      <c r="J44" s="7"/>
      <c r="K44" s="7"/>
      <c r="L44" s="7"/>
      <c r="M44" s="7"/>
      <c r="N44" s="7"/>
      <c r="O44" s="7"/>
      <c r="P44" s="7"/>
      <c r="Q44" s="7">
        <v>1480</v>
      </c>
    </row>
    <row r="45" spans="3:23" ht="15.75" customHeight="1" x14ac:dyDescent="0.25">
      <c r="C45" s="10">
        <v>26</v>
      </c>
      <c r="D45" s="11">
        <v>45306</v>
      </c>
      <c r="E45" s="10">
        <v>618</v>
      </c>
      <c r="F45" s="22" t="s">
        <v>190</v>
      </c>
      <c r="G45" s="7">
        <v>1000</v>
      </c>
      <c r="H45" s="12">
        <v>115</v>
      </c>
      <c r="I45" s="7">
        <v>1000</v>
      </c>
      <c r="J45" s="7"/>
      <c r="K45" s="7"/>
      <c r="L45" s="7"/>
      <c r="M45" s="7"/>
      <c r="N45" s="7"/>
      <c r="O45" s="7"/>
      <c r="P45" s="7"/>
      <c r="Q45" s="7"/>
    </row>
    <row r="46" spans="3:23" ht="15.75" customHeight="1" x14ac:dyDescent="0.25">
      <c r="C46" s="10">
        <v>27</v>
      </c>
      <c r="D46" s="11">
        <v>45306</v>
      </c>
      <c r="E46" s="10">
        <v>619</v>
      </c>
      <c r="F46" s="22" t="s">
        <v>80</v>
      </c>
      <c r="G46" s="7">
        <v>200</v>
      </c>
      <c r="H46" s="12">
        <v>127</v>
      </c>
      <c r="I46" s="7">
        <v>200</v>
      </c>
      <c r="J46" s="7"/>
      <c r="K46" s="7"/>
      <c r="L46" s="7"/>
      <c r="M46" s="7"/>
      <c r="N46" s="7"/>
      <c r="O46" s="7"/>
      <c r="P46" s="7"/>
      <c r="Q46" s="7"/>
    </row>
    <row r="47" spans="3:23" ht="15.75" customHeight="1" x14ac:dyDescent="0.25">
      <c r="C47" s="10">
        <v>28</v>
      </c>
      <c r="D47" s="11">
        <v>45306</v>
      </c>
      <c r="E47" s="10" t="s">
        <v>437</v>
      </c>
      <c r="F47" s="22" t="s">
        <v>49</v>
      </c>
      <c r="G47" s="7">
        <v>500</v>
      </c>
      <c r="H47" s="12">
        <v>164</v>
      </c>
      <c r="I47" s="7"/>
      <c r="J47" s="7"/>
      <c r="K47" s="7">
        <v>500</v>
      </c>
      <c r="L47" s="7"/>
      <c r="M47" s="7"/>
      <c r="N47" s="7"/>
      <c r="O47" s="7"/>
      <c r="P47" s="7"/>
      <c r="Q47" s="7"/>
    </row>
    <row r="48" spans="3:23" ht="15.75" customHeight="1" x14ac:dyDescent="0.25">
      <c r="C48" s="10">
        <v>29</v>
      </c>
      <c r="D48" s="11">
        <v>45306</v>
      </c>
      <c r="E48" s="10" t="s">
        <v>438</v>
      </c>
      <c r="F48" s="22" t="s">
        <v>43</v>
      </c>
      <c r="G48" s="7">
        <v>3000</v>
      </c>
      <c r="H48" s="12">
        <v>169</v>
      </c>
      <c r="I48" s="7"/>
      <c r="J48" s="7"/>
      <c r="K48" s="7"/>
      <c r="L48" s="7">
        <v>3000</v>
      </c>
      <c r="M48" s="7"/>
      <c r="N48" s="7"/>
      <c r="O48" s="7"/>
      <c r="P48" s="7"/>
      <c r="Q48" s="7"/>
      <c r="S48" s="1"/>
    </row>
    <row r="49" spans="3:19" ht="15.75" customHeight="1" x14ac:dyDescent="0.25">
      <c r="C49" s="10">
        <v>30</v>
      </c>
      <c r="D49" s="11">
        <v>45308</v>
      </c>
      <c r="E49" s="10">
        <v>620</v>
      </c>
      <c r="F49" s="22" t="s">
        <v>24</v>
      </c>
      <c r="G49" s="7">
        <v>2000</v>
      </c>
      <c r="H49" s="12">
        <v>119</v>
      </c>
      <c r="I49" s="7">
        <v>2000</v>
      </c>
      <c r="J49" s="7"/>
      <c r="K49" s="7"/>
      <c r="L49" s="7"/>
      <c r="M49" s="7"/>
      <c r="N49" s="7"/>
      <c r="O49" s="7"/>
      <c r="P49" s="7"/>
      <c r="Q49" s="7"/>
      <c r="S49" s="1"/>
    </row>
    <row r="50" spans="3:19" ht="15.75" customHeight="1" x14ac:dyDescent="0.25">
      <c r="C50" s="10">
        <v>31</v>
      </c>
      <c r="D50" s="11">
        <v>45309</v>
      </c>
      <c r="E50" s="10">
        <v>622</v>
      </c>
      <c r="F50" s="22" t="s">
        <v>333</v>
      </c>
      <c r="G50" s="7">
        <v>1000</v>
      </c>
      <c r="H50" s="12">
        <v>165</v>
      </c>
      <c r="I50" s="7"/>
      <c r="J50" s="7"/>
      <c r="K50" s="7"/>
      <c r="L50" s="7">
        <v>1000</v>
      </c>
      <c r="M50" s="7"/>
      <c r="N50" s="7"/>
      <c r="O50" s="7"/>
      <c r="P50" s="7"/>
      <c r="Q50" s="7"/>
      <c r="S50" s="1"/>
    </row>
    <row r="51" spans="3:19" ht="15.75" customHeight="1" x14ac:dyDescent="0.25">
      <c r="C51" s="10">
        <v>32</v>
      </c>
      <c r="D51" s="11">
        <v>45309</v>
      </c>
      <c r="E51" s="10">
        <v>625</v>
      </c>
      <c r="F51" s="22" t="s">
        <v>284</v>
      </c>
      <c r="G51" s="7">
        <v>1600</v>
      </c>
      <c r="H51" s="12" t="s">
        <v>439</v>
      </c>
      <c r="I51" s="7"/>
      <c r="J51" s="7"/>
      <c r="K51" s="7">
        <v>600</v>
      </c>
      <c r="L51" s="7"/>
      <c r="M51" s="7"/>
      <c r="N51" s="7"/>
      <c r="O51" s="7">
        <v>1000</v>
      </c>
      <c r="P51" s="7"/>
      <c r="Q51" s="7"/>
      <c r="S51" s="1"/>
    </row>
    <row r="52" spans="3:19" ht="15.75" customHeight="1" x14ac:dyDescent="0.25">
      <c r="C52" s="10">
        <v>33</v>
      </c>
      <c r="D52" s="11">
        <v>45303</v>
      </c>
      <c r="E52" s="10">
        <v>613</v>
      </c>
      <c r="F52" s="22" t="s">
        <v>440</v>
      </c>
      <c r="G52" s="7">
        <v>100</v>
      </c>
      <c r="H52" s="12">
        <v>118</v>
      </c>
      <c r="I52" s="7">
        <v>100</v>
      </c>
      <c r="J52" s="7"/>
      <c r="K52" s="7"/>
      <c r="L52" s="7"/>
      <c r="M52" s="7"/>
      <c r="N52" s="7"/>
      <c r="O52" s="7"/>
      <c r="P52" s="7"/>
      <c r="Q52" s="7"/>
      <c r="S52" s="1"/>
    </row>
    <row r="53" spans="3:19" ht="15.75" customHeight="1" x14ac:dyDescent="0.25">
      <c r="C53" s="10">
        <v>34</v>
      </c>
      <c r="D53" s="11">
        <v>45309</v>
      </c>
      <c r="E53" s="10" t="s">
        <v>441</v>
      </c>
      <c r="F53" s="22" t="s">
        <v>32</v>
      </c>
      <c r="G53" s="7">
        <v>500</v>
      </c>
      <c r="H53" s="12">
        <v>172</v>
      </c>
      <c r="I53" s="7"/>
      <c r="J53" s="7"/>
      <c r="K53" s="7">
        <v>500</v>
      </c>
      <c r="L53" s="7"/>
      <c r="M53" s="7"/>
      <c r="N53" s="7"/>
      <c r="O53" s="7"/>
      <c r="P53" s="7"/>
      <c r="Q53" s="7">
        <v>200</v>
      </c>
      <c r="S53" s="1"/>
    </row>
    <row r="54" spans="3:19" ht="15.75" customHeight="1" x14ac:dyDescent="0.25">
      <c r="C54" s="10">
        <v>35</v>
      </c>
      <c r="D54" s="11">
        <v>45311</v>
      </c>
      <c r="E54" s="10" t="s">
        <v>442</v>
      </c>
      <c r="F54" s="22" t="s">
        <v>43</v>
      </c>
      <c r="G54" s="7">
        <v>500</v>
      </c>
      <c r="H54" s="12">
        <v>157</v>
      </c>
      <c r="I54" s="7"/>
      <c r="J54" s="7"/>
      <c r="K54" s="7"/>
      <c r="L54" s="7"/>
      <c r="M54" s="7">
        <v>2000</v>
      </c>
      <c r="N54" s="7">
        <v>3000</v>
      </c>
      <c r="O54" s="7"/>
      <c r="P54" s="7"/>
      <c r="Q54" s="7"/>
      <c r="S54" s="1"/>
    </row>
    <row r="55" spans="3:19" ht="15.75" customHeight="1" x14ac:dyDescent="0.25">
      <c r="C55" s="10">
        <v>36</v>
      </c>
      <c r="D55" s="11">
        <v>45311</v>
      </c>
      <c r="E55" s="10">
        <v>626</v>
      </c>
      <c r="F55" s="22" t="s">
        <v>443</v>
      </c>
      <c r="G55" s="7">
        <v>20</v>
      </c>
      <c r="H55" s="12">
        <v>120</v>
      </c>
      <c r="I55" s="7">
        <v>20</v>
      </c>
      <c r="J55" s="7"/>
      <c r="K55" s="7"/>
      <c r="L55" s="7"/>
      <c r="M55" s="7"/>
      <c r="N55" s="7"/>
      <c r="O55" s="7"/>
      <c r="P55" s="7"/>
      <c r="Q55" s="7"/>
      <c r="S55" s="1"/>
    </row>
    <row r="56" spans="3:19" ht="15.75" customHeight="1" x14ac:dyDescent="0.25">
      <c r="C56" s="10">
        <v>37</v>
      </c>
      <c r="D56" s="11">
        <v>45314</v>
      </c>
      <c r="E56" s="10">
        <v>627</v>
      </c>
      <c r="F56" s="22" t="s">
        <v>24</v>
      </c>
      <c r="G56" s="7">
        <v>200</v>
      </c>
      <c r="H56" s="12">
        <v>195</v>
      </c>
      <c r="I56" s="7"/>
      <c r="J56" s="7"/>
      <c r="K56" s="7"/>
      <c r="L56" s="7"/>
      <c r="M56" s="7"/>
      <c r="N56" s="7"/>
      <c r="O56" s="7"/>
      <c r="P56" s="7"/>
      <c r="Q56" s="7">
        <v>200</v>
      </c>
      <c r="S56" s="1"/>
    </row>
    <row r="57" spans="3:19" ht="15.75" customHeight="1" x14ac:dyDescent="0.25">
      <c r="C57" s="10">
        <v>38</v>
      </c>
      <c r="D57" s="11">
        <v>45314</v>
      </c>
      <c r="E57" s="10">
        <v>628</v>
      </c>
      <c r="F57" s="22" t="s">
        <v>111</v>
      </c>
      <c r="G57" s="7">
        <v>4000</v>
      </c>
      <c r="H57" s="12">
        <v>115</v>
      </c>
      <c r="I57" s="7">
        <v>4000</v>
      </c>
      <c r="J57" s="7"/>
      <c r="K57" s="7"/>
      <c r="L57" s="7"/>
      <c r="M57" s="7"/>
      <c r="N57" s="7"/>
      <c r="O57" s="7"/>
      <c r="P57" s="7"/>
      <c r="Q57" s="7"/>
      <c r="S57" s="1"/>
    </row>
    <row r="58" spans="3:19" ht="15.75" customHeight="1" x14ac:dyDescent="0.25">
      <c r="C58" s="10">
        <v>39</v>
      </c>
      <c r="D58" s="11">
        <v>45314</v>
      </c>
      <c r="E58" s="10">
        <v>629</v>
      </c>
      <c r="F58" s="22" t="s">
        <v>71</v>
      </c>
      <c r="G58" s="7">
        <v>500</v>
      </c>
      <c r="H58" s="12">
        <v>157</v>
      </c>
      <c r="I58" s="7"/>
      <c r="J58" s="7"/>
      <c r="K58" s="7"/>
      <c r="L58" s="7"/>
      <c r="M58" s="7">
        <v>500</v>
      </c>
      <c r="N58" s="7"/>
      <c r="O58" s="7"/>
      <c r="P58" s="7"/>
      <c r="Q58" s="7"/>
      <c r="S58" s="1"/>
    </row>
    <row r="59" spans="3:19" ht="15.75" customHeight="1" x14ac:dyDescent="0.25">
      <c r="C59" s="10">
        <v>40</v>
      </c>
      <c r="D59" s="11">
        <v>45315</v>
      </c>
      <c r="E59" s="10">
        <v>630</v>
      </c>
      <c r="F59" s="22" t="s">
        <v>220</v>
      </c>
      <c r="G59" s="7">
        <v>2000</v>
      </c>
      <c r="H59" s="12">
        <v>144</v>
      </c>
      <c r="I59" s="7"/>
      <c r="J59" s="7">
        <v>2000</v>
      </c>
      <c r="K59" s="7"/>
      <c r="L59" s="7"/>
      <c r="M59" s="7"/>
      <c r="N59" s="7"/>
      <c r="O59" s="7"/>
      <c r="P59" s="7"/>
      <c r="Q59" s="7"/>
      <c r="S59" s="1"/>
    </row>
    <row r="60" spans="3:19" ht="15.75" customHeight="1" x14ac:dyDescent="0.25">
      <c r="C60" s="10">
        <v>41</v>
      </c>
      <c r="D60" s="11">
        <v>45315</v>
      </c>
      <c r="E60" s="10">
        <v>631</v>
      </c>
      <c r="F60" s="22" t="s">
        <v>444</v>
      </c>
      <c r="G60" s="7">
        <v>200</v>
      </c>
      <c r="H60" s="31">
        <v>185</v>
      </c>
      <c r="I60" s="7"/>
      <c r="J60" s="7"/>
      <c r="K60" s="7"/>
      <c r="L60" s="7"/>
      <c r="M60" s="7"/>
      <c r="N60" s="7"/>
      <c r="O60" s="7"/>
      <c r="P60" s="7"/>
      <c r="Q60" s="7">
        <v>200</v>
      </c>
      <c r="S60" s="1"/>
    </row>
    <row r="61" spans="3:19" ht="15.75" customHeight="1" x14ac:dyDescent="0.25">
      <c r="C61" s="10">
        <v>42</v>
      </c>
      <c r="D61" s="11">
        <v>45315</v>
      </c>
      <c r="E61" s="10">
        <v>632</v>
      </c>
      <c r="F61" s="22" t="s">
        <v>80</v>
      </c>
      <c r="G61" s="7">
        <v>250</v>
      </c>
      <c r="H61" s="12">
        <v>148</v>
      </c>
      <c r="I61" s="7"/>
      <c r="J61" s="7">
        <v>250</v>
      </c>
      <c r="K61" s="7"/>
      <c r="L61" s="7"/>
      <c r="M61" s="7"/>
      <c r="N61" s="7"/>
      <c r="O61" s="7"/>
      <c r="P61" s="7"/>
      <c r="Q61" s="7"/>
      <c r="S61" s="1"/>
    </row>
    <row r="62" spans="3:19" ht="15.75" customHeight="1" x14ac:dyDescent="0.25">
      <c r="C62" s="10">
        <v>43</v>
      </c>
      <c r="D62" s="11">
        <v>45315</v>
      </c>
      <c r="E62" s="10" t="s">
        <v>445</v>
      </c>
      <c r="F62" s="22" t="s">
        <v>32</v>
      </c>
      <c r="G62" s="7">
        <v>500</v>
      </c>
      <c r="H62" s="12">
        <v>171</v>
      </c>
      <c r="I62" s="7"/>
      <c r="J62" s="7"/>
      <c r="K62" s="7"/>
      <c r="L62" s="7"/>
      <c r="M62" s="7"/>
      <c r="N62" s="7">
        <v>500</v>
      </c>
      <c r="O62" s="7"/>
      <c r="P62" s="7"/>
      <c r="Q62" s="7"/>
      <c r="S62" s="1"/>
    </row>
    <row r="63" spans="3:19" ht="15.75" customHeight="1" x14ac:dyDescent="0.25">
      <c r="C63" s="10">
        <v>44</v>
      </c>
      <c r="D63" s="11">
        <v>45316</v>
      </c>
      <c r="E63" s="10">
        <v>635</v>
      </c>
      <c r="F63" s="22" t="s">
        <v>37</v>
      </c>
      <c r="G63" s="7">
        <v>1000</v>
      </c>
      <c r="H63" s="12">
        <v>125</v>
      </c>
      <c r="I63" s="7">
        <v>1000</v>
      </c>
      <c r="J63" s="7"/>
      <c r="K63" s="7"/>
      <c r="L63" s="7"/>
      <c r="M63" s="7"/>
      <c r="N63" s="7"/>
      <c r="O63" s="7"/>
      <c r="P63" s="7"/>
      <c r="Q63" s="7"/>
      <c r="S63" s="1"/>
    </row>
    <row r="64" spans="3:19" ht="15.75" customHeight="1" x14ac:dyDescent="0.25">
      <c r="C64" s="10">
        <v>45</v>
      </c>
      <c r="D64" s="11">
        <v>45316</v>
      </c>
      <c r="E64" s="10">
        <v>636</v>
      </c>
      <c r="F64" s="22" t="s">
        <v>446</v>
      </c>
      <c r="G64" s="7">
        <v>1000</v>
      </c>
      <c r="H64" s="12">
        <v>110</v>
      </c>
      <c r="I64" s="7">
        <v>1000</v>
      </c>
      <c r="J64" s="7"/>
      <c r="K64" s="7"/>
      <c r="L64" s="7"/>
      <c r="M64" s="7"/>
      <c r="N64" s="7"/>
      <c r="O64" s="7"/>
      <c r="P64" s="7"/>
      <c r="Q64" s="7"/>
      <c r="S64" s="1"/>
    </row>
    <row r="65" spans="3:19" ht="15.75" customHeight="1" x14ac:dyDescent="0.25">
      <c r="C65" s="10">
        <v>46</v>
      </c>
      <c r="D65" s="11">
        <v>45316</v>
      </c>
      <c r="E65" s="10">
        <v>638</v>
      </c>
      <c r="F65" s="22" t="s">
        <v>333</v>
      </c>
      <c r="G65" s="7">
        <v>25</v>
      </c>
      <c r="H65" s="12">
        <v>170</v>
      </c>
      <c r="I65" s="7"/>
      <c r="J65" s="7"/>
      <c r="K65" s="7"/>
      <c r="L65" s="7"/>
      <c r="M65" s="7"/>
      <c r="N65" s="7"/>
      <c r="O65" s="7">
        <v>25</v>
      </c>
      <c r="P65" s="7"/>
      <c r="Q65" s="7"/>
      <c r="S65" s="1"/>
    </row>
    <row r="66" spans="3:19" ht="15.75" customHeight="1" x14ac:dyDescent="0.25">
      <c r="C66" s="10">
        <v>47</v>
      </c>
      <c r="D66" s="11">
        <v>45320</v>
      </c>
      <c r="E66" s="10">
        <v>640</v>
      </c>
      <c r="F66" s="22" t="s">
        <v>40</v>
      </c>
      <c r="G66" s="7">
        <v>200</v>
      </c>
      <c r="H66" s="12">
        <v>165</v>
      </c>
      <c r="I66" s="7"/>
      <c r="J66" s="7"/>
      <c r="K66" s="7"/>
      <c r="L66" s="7"/>
      <c r="M66" s="7"/>
      <c r="N66" s="7">
        <v>200</v>
      </c>
      <c r="O66" s="7"/>
      <c r="P66" s="7"/>
      <c r="Q66" s="7"/>
      <c r="S66" s="1"/>
    </row>
    <row r="67" spans="3:19" ht="15.75" customHeight="1" x14ac:dyDescent="0.25">
      <c r="C67" s="10">
        <v>48</v>
      </c>
      <c r="D67" s="11">
        <v>45320</v>
      </c>
      <c r="E67" s="10">
        <v>641</v>
      </c>
      <c r="F67" s="22" t="s">
        <v>447</v>
      </c>
      <c r="G67" s="7">
        <v>40</v>
      </c>
      <c r="H67" s="12">
        <v>165</v>
      </c>
      <c r="I67" s="7"/>
      <c r="J67" s="7"/>
      <c r="K67" s="7"/>
      <c r="L67" s="7"/>
      <c r="M67" s="7"/>
      <c r="N67" s="7">
        <v>40</v>
      </c>
      <c r="O67" s="7"/>
      <c r="P67" s="7"/>
      <c r="Q67" s="7"/>
      <c r="S67" s="1"/>
    </row>
    <row r="68" spans="3:19" ht="15.75" customHeight="1" x14ac:dyDescent="0.25">
      <c r="C68" s="10">
        <v>49</v>
      </c>
      <c r="D68" s="11">
        <v>45320</v>
      </c>
      <c r="E68" s="10">
        <v>642</v>
      </c>
      <c r="F68" s="22" t="s">
        <v>268</v>
      </c>
      <c r="G68" s="7">
        <v>642</v>
      </c>
      <c r="H68" s="12">
        <v>1000</v>
      </c>
      <c r="I68" s="7"/>
      <c r="J68" s="7"/>
      <c r="K68" s="7"/>
      <c r="L68" s="7"/>
      <c r="M68" s="7"/>
      <c r="N68" s="7">
        <v>1000</v>
      </c>
      <c r="O68" s="7"/>
      <c r="P68" s="7"/>
      <c r="Q68" s="7"/>
      <c r="S68" s="1"/>
    </row>
    <row r="69" spans="3:19" ht="15.75" customHeight="1" x14ac:dyDescent="0.25">
      <c r="C69" s="10">
        <v>50</v>
      </c>
      <c r="D69" s="11">
        <v>45321</v>
      </c>
      <c r="E69" s="10">
        <v>645</v>
      </c>
      <c r="F69" s="22" t="s">
        <v>448</v>
      </c>
      <c r="G69" s="7">
        <v>300</v>
      </c>
      <c r="H69" s="12">
        <v>145</v>
      </c>
      <c r="I69" s="7"/>
      <c r="J69" s="7">
        <v>300</v>
      </c>
      <c r="K69" s="7"/>
      <c r="L69" s="7"/>
      <c r="M69" s="7"/>
      <c r="N69" s="7"/>
      <c r="O69" s="7"/>
      <c r="P69" s="7"/>
      <c r="Q69" s="7"/>
      <c r="S69" s="1"/>
    </row>
    <row r="70" spans="3:19" ht="15.75" customHeight="1" x14ac:dyDescent="0.25">
      <c r="C70" s="10">
        <v>51</v>
      </c>
      <c r="D70" s="11">
        <v>45322</v>
      </c>
      <c r="E70" s="10" t="s">
        <v>449</v>
      </c>
      <c r="F70" s="22" t="s">
        <v>49</v>
      </c>
      <c r="G70" s="7">
        <v>3000</v>
      </c>
      <c r="H70" s="12">
        <v>145</v>
      </c>
      <c r="I70" s="7"/>
      <c r="J70" s="7">
        <v>3000</v>
      </c>
      <c r="K70" s="7"/>
      <c r="L70" s="7"/>
      <c r="M70" s="7"/>
      <c r="N70" s="7"/>
      <c r="O70" s="7"/>
      <c r="P70" s="7"/>
      <c r="Q70" s="7"/>
      <c r="S70" s="1"/>
    </row>
    <row r="71" spans="3:19" ht="15.75" customHeight="1" x14ac:dyDescent="0.25">
      <c r="C71" s="10">
        <v>52</v>
      </c>
      <c r="D71" s="11"/>
      <c r="E71" s="10"/>
      <c r="F71" s="22" t="s">
        <v>49</v>
      </c>
      <c r="G71" s="7">
        <v>1500</v>
      </c>
      <c r="H71" s="31">
        <v>158</v>
      </c>
      <c r="I71" s="7"/>
      <c r="J71" s="7"/>
      <c r="K71" s="7"/>
      <c r="L71" s="7"/>
      <c r="M71" s="7"/>
      <c r="N71" s="7"/>
      <c r="O71" s="7"/>
      <c r="P71" s="7"/>
      <c r="Q71" s="7"/>
      <c r="S71" s="1"/>
    </row>
    <row r="72" spans="3:19" ht="15.75" customHeight="1" x14ac:dyDescent="0.25">
      <c r="C72" s="10">
        <v>53</v>
      </c>
      <c r="D72" s="11"/>
      <c r="E72" s="10"/>
      <c r="F72" s="22" t="s">
        <v>80</v>
      </c>
      <c r="G72" s="7">
        <v>25</v>
      </c>
      <c r="H72" s="12">
        <v>145</v>
      </c>
      <c r="I72" s="7"/>
      <c r="J72" s="7"/>
      <c r="K72" s="7"/>
      <c r="L72" s="7"/>
      <c r="M72" s="7"/>
      <c r="N72" s="7"/>
      <c r="O72" s="7"/>
      <c r="P72" s="7"/>
      <c r="Q72" s="7"/>
      <c r="S72" s="1"/>
    </row>
    <row r="73" spans="3:19" ht="15.75" customHeight="1" x14ac:dyDescent="0.25">
      <c r="C73" s="10">
        <v>54</v>
      </c>
      <c r="D73" s="11"/>
      <c r="E73" s="10"/>
      <c r="F73" s="22" t="s">
        <v>268</v>
      </c>
      <c r="G73" s="7">
        <v>500</v>
      </c>
      <c r="H73" s="12">
        <v>152</v>
      </c>
      <c r="I73" s="7"/>
      <c r="J73" s="7"/>
      <c r="K73" s="7"/>
      <c r="L73" s="7"/>
      <c r="M73" s="7"/>
      <c r="N73" s="7"/>
      <c r="O73" s="7"/>
      <c r="P73" s="7"/>
      <c r="Q73" s="7"/>
      <c r="S73" s="1"/>
    </row>
    <row r="74" spans="3:19" ht="15.75" customHeight="1" x14ac:dyDescent="0.25">
      <c r="C74" s="10">
        <v>55</v>
      </c>
      <c r="D74" s="11"/>
      <c r="E74" s="10"/>
      <c r="F74" s="22" t="s">
        <v>71</v>
      </c>
      <c r="G74" s="7">
        <v>25</v>
      </c>
      <c r="H74" s="12">
        <v>162</v>
      </c>
      <c r="I74" s="7"/>
      <c r="J74" s="7"/>
      <c r="K74" s="7"/>
      <c r="L74" s="7"/>
      <c r="M74" s="7"/>
      <c r="N74" s="7"/>
      <c r="O74" s="7"/>
      <c r="P74" s="7"/>
      <c r="Q74" s="7"/>
      <c r="S74" s="1"/>
    </row>
    <row r="75" spans="3:19" ht="15.75" customHeight="1" x14ac:dyDescent="0.25">
      <c r="C75" s="10">
        <v>56</v>
      </c>
      <c r="D75" s="11"/>
      <c r="E75" s="10"/>
      <c r="F75" s="22" t="s">
        <v>284</v>
      </c>
      <c r="G75" s="7">
        <v>1200</v>
      </c>
      <c r="H75" s="12" t="s">
        <v>416</v>
      </c>
      <c r="I75" s="7"/>
      <c r="J75" s="7"/>
      <c r="K75" s="7"/>
      <c r="L75" s="7"/>
      <c r="M75" s="7"/>
      <c r="N75" s="7"/>
      <c r="O75" s="7"/>
      <c r="P75" s="7"/>
      <c r="Q75" s="7"/>
      <c r="S75" s="1"/>
    </row>
    <row r="76" spans="3:19" ht="15.75" customHeight="1" x14ac:dyDescent="0.25">
      <c r="C76" s="10">
        <v>57</v>
      </c>
      <c r="D76" s="11"/>
      <c r="E76" s="10"/>
      <c r="F76" s="22" t="s">
        <v>71</v>
      </c>
      <c r="G76" s="7">
        <v>500</v>
      </c>
      <c r="H76" s="12">
        <v>162</v>
      </c>
      <c r="I76" s="7"/>
      <c r="J76" s="7"/>
      <c r="K76" s="7"/>
      <c r="L76" s="7"/>
      <c r="M76" s="7"/>
      <c r="N76" s="7"/>
      <c r="O76" s="7"/>
      <c r="P76" s="7"/>
      <c r="Q76" s="7"/>
      <c r="S76" s="1"/>
    </row>
    <row r="77" spans="3:19" ht="15.75" customHeight="1" x14ac:dyDescent="0.25">
      <c r="C77" s="10">
        <v>58</v>
      </c>
      <c r="D77" s="11"/>
      <c r="E77" s="10"/>
      <c r="F77" s="22" t="s">
        <v>51</v>
      </c>
      <c r="G77" s="7">
        <v>5000</v>
      </c>
      <c r="H77" s="12">
        <v>170</v>
      </c>
      <c r="I77" s="7"/>
      <c r="J77" s="7"/>
      <c r="K77" s="7"/>
      <c r="L77" s="7"/>
      <c r="M77" s="7"/>
      <c r="N77" s="7"/>
      <c r="O77" s="7"/>
      <c r="P77" s="7"/>
      <c r="Q77" s="7"/>
      <c r="S77" s="1"/>
    </row>
    <row r="78" spans="3:19" ht="15.75" customHeight="1" x14ac:dyDescent="0.25">
      <c r="C78" s="10">
        <v>59</v>
      </c>
      <c r="D78" s="11"/>
      <c r="E78" s="10"/>
      <c r="F78" s="22" t="s">
        <v>362</v>
      </c>
      <c r="G78" s="7">
        <v>1000</v>
      </c>
      <c r="H78" s="12">
        <v>156</v>
      </c>
      <c r="I78" s="7"/>
      <c r="J78" s="7"/>
      <c r="K78" s="7"/>
      <c r="L78" s="7"/>
      <c r="M78" s="7"/>
      <c r="N78" s="7"/>
      <c r="O78" s="7"/>
      <c r="P78" s="7"/>
      <c r="Q78" s="7"/>
      <c r="S78" s="1"/>
    </row>
    <row r="79" spans="3:19" ht="15.75" customHeight="1" x14ac:dyDescent="0.25">
      <c r="C79" s="10">
        <v>60</v>
      </c>
      <c r="D79" s="11"/>
      <c r="E79" s="10"/>
      <c r="F79" s="22" t="s">
        <v>193</v>
      </c>
      <c r="G79" s="7">
        <v>2000</v>
      </c>
      <c r="H79" s="12">
        <v>119</v>
      </c>
      <c r="I79" s="7"/>
      <c r="J79" s="7"/>
      <c r="K79" s="7"/>
      <c r="L79" s="7"/>
      <c r="M79" s="7"/>
      <c r="N79" s="7"/>
      <c r="O79" s="7"/>
      <c r="P79" s="7"/>
      <c r="Q79" s="7"/>
      <c r="S79" s="1"/>
    </row>
    <row r="80" spans="3:19" ht="15.75" customHeight="1" x14ac:dyDescent="0.25">
      <c r="C80" s="10">
        <v>61</v>
      </c>
      <c r="D80" s="11"/>
      <c r="E80" s="10"/>
      <c r="F80" s="22" t="s">
        <v>90</v>
      </c>
      <c r="G80" s="7">
        <v>4500</v>
      </c>
      <c r="H80" s="12">
        <v>113</v>
      </c>
      <c r="I80" s="7"/>
      <c r="J80" s="7"/>
      <c r="K80" s="7"/>
      <c r="L80" s="7"/>
      <c r="M80" s="7"/>
      <c r="N80" s="7"/>
      <c r="O80" s="7"/>
      <c r="P80" s="7"/>
      <c r="Q80" s="7"/>
      <c r="S80" s="1"/>
    </row>
    <row r="81" spans="3:19" ht="15.75" customHeight="1" x14ac:dyDescent="0.25">
      <c r="C81" s="10">
        <v>62</v>
      </c>
      <c r="D81" s="11"/>
      <c r="E81" s="10"/>
      <c r="F81" s="22" t="s">
        <v>394</v>
      </c>
      <c r="G81" s="7">
        <v>10000</v>
      </c>
      <c r="H81" s="12">
        <v>104</v>
      </c>
      <c r="I81" s="7"/>
      <c r="J81" s="7"/>
      <c r="K81" s="7"/>
      <c r="L81" s="7"/>
      <c r="M81" s="7"/>
      <c r="N81" s="7"/>
      <c r="O81" s="7"/>
      <c r="P81" s="7"/>
      <c r="Q81" s="7"/>
      <c r="S81" s="1"/>
    </row>
    <row r="82" spans="3:19" ht="15.75" customHeight="1" x14ac:dyDescent="0.25">
      <c r="C82" s="10">
        <v>63</v>
      </c>
      <c r="D82" s="11"/>
      <c r="E82" s="10"/>
      <c r="F82" s="22" t="s">
        <v>30</v>
      </c>
      <c r="G82" s="7">
        <v>300</v>
      </c>
      <c r="H82" s="12" t="s">
        <v>417</v>
      </c>
      <c r="I82" s="7"/>
      <c r="J82" s="7"/>
      <c r="K82" s="7"/>
      <c r="L82" s="7"/>
      <c r="M82" s="7"/>
      <c r="N82" s="7"/>
      <c r="O82" s="7"/>
      <c r="P82" s="7"/>
      <c r="Q82" s="7"/>
    </row>
    <row r="83" spans="3:19" ht="15.75" customHeight="1" x14ac:dyDescent="0.25">
      <c r="C83" s="10">
        <v>64</v>
      </c>
      <c r="D83" s="11"/>
      <c r="E83" s="10"/>
      <c r="F83" s="22" t="s">
        <v>80</v>
      </c>
      <c r="G83" s="7">
        <v>250</v>
      </c>
      <c r="H83" s="12">
        <v>144</v>
      </c>
      <c r="I83" s="7"/>
      <c r="J83" s="7"/>
      <c r="K83" s="7"/>
      <c r="L83" s="7"/>
      <c r="M83" s="7"/>
      <c r="N83" s="7"/>
      <c r="O83" s="7"/>
      <c r="P83" s="7"/>
      <c r="Q83" s="7"/>
    </row>
    <row r="84" spans="3:19" ht="15.75" customHeight="1" x14ac:dyDescent="0.25">
      <c r="C84" s="10">
        <v>65</v>
      </c>
      <c r="D84" s="11"/>
      <c r="E84" s="10"/>
      <c r="F84" s="22" t="s">
        <v>139</v>
      </c>
      <c r="G84" s="7">
        <v>1000</v>
      </c>
      <c r="H84" s="12">
        <v>117</v>
      </c>
      <c r="I84" s="7"/>
      <c r="J84" s="7"/>
      <c r="K84" s="7"/>
      <c r="L84" s="7"/>
      <c r="M84" s="7"/>
      <c r="N84" s="7"/>
      <c r="O84" s="7"/>
      <c r="P84" s="7"/>
      <c r="Q84" s="7"/>
    </row>
    <row r="85" spans="3:19" ht="15.75" customHeight="1" x14ac:dyDescent="0.25">
      <c r="C85" s="10">
        <v>66</v>
      </c>
      <c r="D85" s="11"/>
      <c r="E85" s="10"/>
      <c r="F85" s="22" t="s">
        <v>255</v>
      </c>
      <c r="G85" s="7">
        <v>800</v>
      </c>
      <c r="H85" s="12" t="s">
        <v>419</v>
      </c>
      <c r="I85" s="7"/>
      <c r="J85" s="7"/>
      <c r="K85" s="7"/>
      <c r="L85" s="7"/>
      <c r="M85" s="7"/>
      <c r="N85" s="7"/>
      <c r="O85" s="7"/>
      <c r="P85" s="7"/>
      <c r="Q85" s="7"/>
    </row>
    <row r="86" spans="3:19" ht="15.75" customHeight="1" x14ac:dyDescent="0.25">
      <c r="C86" s="10">
        <v>67</v>
      </c>
      <c r="D86" s="11"/>
      <c r="E86" s="10"/>
      <c r="F86" s="22" t="s">
        <v>269</v>
      </c>
      <c r="G86" s="7">
        <v>450</v>
      </c>
      <c r="H86" s="12" t="s">
        <v>421</v>
      </c>
      <c r="I86" s="7"/>
      <c r="J86" s="7"/>
      <c r="K86" s="7"/>
      <c r="L86" s="7"/>
      <c r="M86" s="7"/>
      <c r="N86" s="7"/>
      <c r="O86" s="7"/>
      <c r="P86" s="7"/>
      <c r="Q86" s="7"/>
    </row>
    <row r="87" spans="3:19" ht="15.75" customHeight="1" x14ac:dyDescent="0.25">
      <c r="C87" s="10">
        <v>68</v>
      </c>
      <c r="D87" s="11"/>
      <c r="E87" s="10"/>
      <c r="F87" s="22" t="s">
        <v>37</v>
      </c>
      <c r="G87" s="7">
        <v>597</v>
      </c>
      <c r="H87" s="12">
        <v>125</v>
      </c>
      <c r="I87" s="7"/>
      <c r="J87" s="7"/>
      <c r="K87" s="7"/>
      <c r="L87" s="7"/>
      <c r="M87" s="7"/>
      <c r="N87" s="7"/>
      <c r="O87" s="7"/>
      <c r="P87" s="7"/>
      <c r="Q87" s="7"/>
    </row>
    <row r="88" spans="3:19" ht="15.75" customHeight="1" x14ac:dyDescent="0.25">
      <c r="C88" s="10">
        <v>69</v>
      </c>
      <c r="D88" s="11"/>
      <c r="E88" s="10"/>
      <c r="F88" s="22" t="s">
        <v>112</v>
      </c>
      <c r="G88" s="7">
        <v>8000</v>
      </c>
      <c r="H88" s="12" t="s">
        <v>324</v>
      </c>
      <c r="I88" s="7"/>
      <c r="J88" s="7"/>
      <c r="K88" s="7"/>
      <c r="L88" s="7"/>
      <c r="M88" s="7"/>
      <c r="N88" s="7"/>
      <c r="O88" s="7"/>
      <c r="P88" s="7"/>
      <c r="Q88" s="7"/>
    </row>
    <row r="89" spans="3:19" ht="15.75" customHeight="1" x14ac:dyDescent="0.25">
      <c r="C89" s="10">
        <v>70</v>
      </c>
      <c r="D89" s="11"/>
      <c r="E89" s="10"/>
      <c r="F89" s="22" t="s">
        <v>325</v>
      </c>
      <c r="G89" s="7">
        <v>500</v>
      </c>
      <c r="H89" s="12">
        <v>209</v>
      </c>
      <c r="I89" s="7"/>
      <c r="J89" s="7"/>
      <c r="K89" s="7"/>
      <c r="L89" s="7"/>
      <c r="M89" s="7"/>
      <c r="N89" s="7"/>
      <c r="O89" s="7"/>
      <c r="P89" s="7"/>
      <c r="Q89" s="7"/>
    </row>
    <row r="90" spans="3:19" ht="15.75" customHeight="1" x14ac:dyDescent="0.25">
      <c r="C90" s="10">
        <v>71</v>
      </c>
      <c r="D90" s="11"/>
      <c r="E90" s="10"/>
      <c r="F90" s="22" t="s">
        <v>284</v>
      </c>
      <c r="G90" s="7">
        <v>520</v>
      </c>
      <c r="H90" s="12" t="s">
        <v>326</v>
      </c>
      <c r="I90" s="7"/>
      <c r="J90" s="7"/>
      <c r="K90" s="7"/>
      <c r="L90" s="7"/>
      <c r="M90" s="7"/>
      <c r="N90" s="7"/>
      <c r="O90" s="7"/>
      <c r="P90" s="7"/>
      <c r="Q90" s="14"/>
    </row>
    <row r="91" spans="3:19" ht="15.75" customHeight="1" x14ac:dyDescent="0.25">
      <c r="C91" s="10">
        <v>72</v>
      </c>
      <c r="D91" s="11"/>
      <c r="E91" s="10"/>
      <c r="F91" s="22" t="s">
        <v>43</v>
      </c>
      <c r="G91" s="7">
        <v>1000</v>
      </c>
      <c r="H91" s="12">
        <v>162</v>
      </c>
      <c r="I91" s="7"/>
      <c r="J91" s="7"/>
      <c r="K91" s="7"/>
      <c r="L91" s="7"/>
      <c r="M91" s="7"/>
      <c r="N91" s="7"/>
      <c r="O91" s="7"/>
      <c r="P91" s="7"/>
      <c r="Q91" s="7"/>
    </row>
    <row r="92" spans="3:19" ht="15.75" customHeight="1" x14ac:dyDescent="0.25">
      <c r="C92" s="10">
        <v>73</v>
      </c>
      <c r="D92" s="11"/>
      <c r="E92" s="10"/>
      <c r="F92" s="22" t="s">
        <v>268</v>
      </c>
      <c r="G92" s="7">
        <v>500</v>
      </c>
      <c r="H92" s="12">
        <v>200</v>
      </c>
      <c r="I92" s="7"/>
      <c r="J92" s="7"/>
      <c r="K92" s="7"/>
      <c r="L92" s="7"/>
      <c r="M92" s="7"/>
      <c r="N92" s="7"/>
      <c r="O92" s="7"/>
      <c r="P92" s="7"/>
      <c r="Q92" s="7"/>
    </row>
    <row r="93" spans="3:19" ht="15.75" customHeight="1" x14ac:dyDescent="0.25">
      <c r="C93" s="10">
        <v>74</v>
      </c>
      <c r="D93" s="11"/>
      <c r="E93" s="10"/>
      <c r="F93" s="22" t="s">
        <v>30</v>
      </c>
      <c r="G93" s="7">
        <v>300</v>
      </c>
      <c r="H93" s="12" t="s">
        <v>329</v>
      </c>
      <c r="I93" s="7"/>
      <c r="J93" s="7"/>
      <c r="K93" s="7"/>
      <c r="L93" s="7"/>
      <c r="M93" s="7"/>
      <c r="N93" s="7"/>
      <c r="O93" s="7"/>
      <c r="P93" s="7"/>
      <c r="Q93" s="7"/>
    </row>
    <row r="94" spans="3:19" ht="15.75" customHeight="1" x14ac:dyDescent="0.25">
      <c r="C94" s="10">
        <v>75</v>
      </c>
      <c r="D94" s="11"/>
      <c r="E94" s="10"/>
      <c r="F94" s="22" t="s">
        <v>190</v>
      </c>
      <c r="G94" s="7">
        <v>1100</v>
      </c>
      <c r="H94" s="12" t="s">
        <v>330</v>
      </c>
      <c r="I94" s="7"/>
      <c r="J94" s="7"/>
      <c r="K94" s="7"/>
      <c r="L94" s="7"/>
      <c r="M94" s="7"/>
      <c r="N94" s="7"/>
      <c r="O94" s="7"/>
      <c r="P94" s="7"/>
      <c r="Q94" s="7"/>
    </row>
    <row r="95" spans="3:19" ht="15.75" customHeight="1" x14ac:dyDescent="0.25">
      <c r="C95" s="10">
        <v>76</v>
      </c>
      <c r="D95" s="11"/>
      <c r="E95" s="10"/>
      <c r="F95" s="22" t="s">
        <v>331</v>
      </c>
      <c r="G95" s="7">
        <v>40</v>
      </c>
      <c r="H95" s="12">
        <v>195</v>
      </c>
      <c r="I95" s="7"/>
      <c r="J95" s="7"/>
      <c r="K95" s="7"/>
      <c r="L95" s="7"/>
      <c r="M95" s="7"/>
      <c r="N95" s="7"/>
      <c r="O95" s="7"/>
      <c r="P95" s="7"/>
      <c r="Q95" s="7"/>
    </row>
    <row r="96" spans="3:19" ht="15.75" customHeight="1" x14ac:dyDescent="0.25">
      <c r="C96" s="10">
        <v>77</v>
      </c>
      <c r="D96" s="11"/>
      <c r="E96" s="10"/>
      <c r="F96" s="22" t="s">
        <v>69</v>
      </c>
      <c r="G96" s="7">
        <v>340</v>
      </c>
      <c r="H96" s="12">
        <v>205</v>
      </c>
      <c r="I96" s="7"/>
      <c r="J96" s="7"/>
      <c r="K96" s="7"/>
      <c r="L96" s="7"/>
      <c r="M96" s="7"/>
      <c r="N96" s="7"/>
      <c r="O96" s="7"/>
      <c r="P96" s="7"/>
      <c r="Q96" s="7"/>
    </row>
    <row r="97" spans="3:17" ht="15.75" customHeight="1" x14ac:dyDescent="0.25">
      <c r="C97" s="10">
        <v>78</v>
      </c>
      <c r="D97" s="11"/>
      <c r="E97" s="10"/>
      <c r="F97" s="22" t="s">
        <v>52</v>
      </c>
      <c r="G97" s="7">
        <v>4000</v>
      </c>
      <c r="H97" s="12" t="s">
        <v>332</v>
      </c>
      <c r="I97" s="7"/>
      <c r="J97" s="7"/>
      <c r="K97" s="7"/>
      <c r="L97" s="7"/>
      <c r="M97" s="7"/>
      <c r="N97" s="7"/>
      <c r="O97" s="7"/>
      <c r="P97" s="7"/>
      <c r="Q97" s="7"/>
    </row>
    <row r="98" spans="3:17" ht="15.75" customHeight="1" x14ac:dyDescent="0.25">
      <c r="C98" s="10">
        <v>79</v>
      </c>
      <c r="D98" s="11"/>
      <c r="E98" s="10"/>
      <c r="F98" s="22" t="s">
        <v>37</v>
      </c>
      <c r="G98" s="7">
        <v>500</v>
      </c>
      <c r="H98" s="12">
        <v>125</v>
      </c>
      <c r="I98" s="7"/>
      <c r="J98" s="7"/>
      <c r="K98" s="7"/>
      <c r="L98" s="7"/>
      <c r="M98" s="7"/>
      <c r="N98" s="7"/>
      <c r="O98" s="7"/>
      <c r="P98" s="7"/>
      <c r="Q98" s="7"/>
    </row>
    <row r="99" spans="3:17" ht="15.75" customHeight="1" x14ac:dyDescent="0.25">
      <c r="C99" s="10">
        <v>80</v>
      </c>
      <c r="D99" s="11"/>
      <c r="E99" s="10"/>
      <c r="F99" s="22" t="s">
        <v>220</v>
      </c>
      <c r="G99" s="7">
        <v>1000</v>
      </c>
      <c r="H99" s="12">
        <v>163</v>
      </c>
      <c r="I99" s="7"/>
      <c r="J99" s="7"/>
      <c r="K99" s="7"/>
      <c r="L99" s="7"/>
      <c r="M99" s="7"/>
      <c r="N99" s="7"/>
      <c r="O99" s="7"/>
      <c r="P99" s="7"/>
      <c r="Q99" s="7"/>
    </row>
    <row r="100" spans="3:17" ht="15.75" customHeight="1" x14ac:dyDescent="0.25">
      <c r="C100" s="10">
        <v>81</v>
      </c>
      <c r="D100" s="11"/>
      <c r="E100" s="10"/>
      <c r="F100" s="22" t="s">
        <v>333</v>
      </c>
      <c r="G100" s="7">
        <v>1000</v>
      </c>
      <c r="H100" s="12">
        <v>147</v>
      </c>
      <c r="I100" s="7"/>
      <c r="J100" s="7"/>
      <c r="K100" s="7"/>
      <c r="L100" s="7"/>
      <c r="M100" s="7"/>
      <c r="N100" s="7"/>
      <c r="O100" s="7"/>
      <c r="P100" s="7"/>
      <c r="Q100" s="7"/>
    </row>
    <row r="101" spans="3:17" ht="15.75" customHeight="1" x14ac:dyDescent="0.25">
      <c r="C101" s="13" t="s">
        <v>3</v>
      </c>
      <c r="D101" s="14"/>
      <c r="E101" s="13"/>
      <c r="F101" s="25"/>
      <c r="G101" s="14">
        <f>SUM(G21:G100)</f>
        <v>104689</v>
      </c>
      <c r="H101" s="14"/>
      <c r="I101" s="14">
        <f t="shared" ref="I101:Q101" si="6">SUM(I21:I100)</f>
        <v>24780</v>
      </c>
      <c r="J101" s="14">
        <f t="shared" si="6"/>
        <v>11025</v>
      </c>
      <c r="K101" s="14">
        <f t="shared" si="6"/>
        <v>2950</v>
      </c>
      <c r="L101" s="14">
        <f t="shared" si="6"/>
        <v>4500</v>
      </c>
      <c r="M101" s="14">
        <f t="shared" si="6"/>
        <v>5500</v>
      </c>
      <c r="N101" s="14">
        <f t="shared" si="6"/>
        <v>5415</v>
      </c>
      <c r="O101" s="14">
        <f t="shared" si="6"/>
        <v>2550</v>
      </c>
      <c r="P101" s="14">
        <f t="shared" si="6"/>
        <v>0</v>
      </c>
      <c r="Q101" s="14">
        <f t="shared" si="6"/>
        <v>4580</v>
      </c>
    </row>
    <row r="102" spans="3:17" ht="15.75" customHeight="1" x14ac:dyDescent="0.25">
      <c r="C102" s="1"/>
      <c r="E102" s="1"/>
      <c r="F102" s="16"/>
    </row>
    <row r="103" spans="3:17" ht="15.75" customHeight="1" x14ac:dyDescent="0.25">
      <c r="C103" s="1"/>
      <c r="D103" s="1"/>
      <c r="E103" s="1"/>
      <c r="F103" s="16"/>
      <c r="I103" s="33">
        <f>SUM('Jan 2024'!$I$101:'Jan 2024'!$Q$101)</f>
        <v>61300</v>
      </c>
    </row>
    <row r="104" spans="3:17" ht="15.75" customHeight="1" x14ac:dyDescent="0.25">
      <c r="E104" s="1"/>
      <c r="F104" s="16"/>
    </row>
    <row r="105" spans="3:17" ht="15.75" customHeight="1" x14ac:dyDescent="0.25"/>
    <row r="106" spans="3:17" ht="15.75" customHeight="1" x14ac:dyDescent="0.25"/>
    <row r="107" spans="3:17" ht="15.75" customHeight="1" x14ac:dyDescent="0.25"/>
    <row r="108" spans="3:17" ht="15.75" customHeight="1" x14ac:dyDescent="0.25"/>
    <row r="109" spans="3:17" ht="15.75" customHeight="1" x14ac:dyDescent="0.25"/>
    <row r="110" spans="3:17" ht="15.75" customHeight="1" x14ac:dyDescent="0.25"/>
    <row r="111" spans="3:17" ht="15.75" customHeight="1" x14ac:dyDescent="0.25"/>
    <row r="112" spans="3:1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T35:V35"/>
    <mergeCell ref="T36:V36"/>
    <mergeCell ref="T37:V37"/>
    <mergeCell ref="C11:D11"/>
    <mergeCell ref="C18:E18"/>
    <mergeCell ref="T20:W20"/>
    <mergeCell ref="T21:V21"/>
    <mergeCell ref="T32:V32"/>
    <mergeCell ref="T33:V33"/>
    <mergeCell ref="T34:V34"/>
  </mergeCells>
  <pageMargins left="0.7" right="0.7" top="0.75" bottom="0.75" header="0" footer="0"/>
  <pageSetup orientation="portrait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C4:W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8" customWidth="1"/>
    <col min="3" max="3" width="9.85546875" customWidth="1"/>
    <col min="4" max="4" width="13.140625" customWidth="1"/>
    <col min="5" max="5" width="10.42578125" customWidth="1"/>
    <col min="6" max="6" width="9.42578125" customWidth="1"/>
    <col min="7" max="7" width="8.7109375" customWidth="1"/>
    <col min="8" max="8" width="12.28515625" customWidth="1"/>
    <col min="9" max="14" width="8.7109375" customWidth="1"/>
    <col min="15" max="15" width="11.7109375" customWidth="1"/>
    <col min="16" max="16" width="11.42578125" customWidth="1"/>
    <col min="17" max="17" width="11.85546875" customWidth="1"/>
    <col min="18" max="20" width="8.7109375" customWidth="1"/>
    <col min="21" max="21" width="10.7109375" customWidth="1"/>
    <col min="22" max="26" width="8.7109375" customWidth="1"/>
  </cols>
  <sheetData>
    <row r="4" spans="3:17" ht="15.75" x14ac:dyDescent="0.25">
      <c r="C4" s="1"/>
      <c r="D4" s="2" t="s">
        <v>450</v>
      </c>
      <c r="E4" s="17"/>
      <c r="F4" s="18"/>
      <c r="G4" s="2"/>
      <c r="H4" s="2"/>
      <c r="I4" s="2"/>
      <c r="J4" s="2"/>
      <c r="K4" s="8"/>
      <c r="L4" s="2"/>
      <c r="M4" s="3"/>
      <c r="N4" s="3"/>
      <c r="O4" s="65" t="s">
        <v>88</v>
      </c>
      <c r="P4" s="60" t="s">
        <v>2</v>
      </c>
      <c r="Q4" s="66" t="s">
        <v>117</v>
      </c>
    </row>
    <row r="5" spans="3:17" ht="15.75" x14ac:dyDescent="0.25">
      <c r="C5" s="1"/>
      <c r="D5" s="67" t="s">
        <v>1</v>
      </c>
      <c r="E5" s="44" t="s">
        <v>2</v>
      </c>
      <c r="F5" s="45">
        <v>1799</v>
      </c>
      <c r="G5" s="46">
        <v>2699</v>
      </c>
      <c r="H5" s="46">
        <v>588</v>
      </c>
      <c r="I5" s="46">
        <v>2088</v>
      </c>
      <c r="J5" s="46">
        <v>2488</v>
      </c>
      <c r="K5" s="46">
        <v>2688</v>
      </c>
      <c r="L5" s="45">
        <v>3099</v>
      </c>
      <c r="M5" s="62" t="s">
        <v>295</v>
      </c>
      <c r="N5" s="45" t="s">
        <v>3</v>
      </c>
      <c r="O5" s="47"/>
      <c r="P5" s="42"/>
      <c r="Q5" s="42"/>
    </row>
    <row r="6" spans="3:17" ht="18.75" x14ac:dyDescent="0.3">
      <c r="C6" s="1"/>
      <c r="D6" s="6" t="s">
        <v>259</v>
      </c>
      <c r="E6" s="7">
        <v>219471</v>
      </c>
      <c r="F6" s="7">
        <v>5600</v>
      </c>
      <c r="G6" s="7">
        <v>9425</v>
      </c>
      <c r="H6" s="7">
        <v>21580</v>
      </c>
      <c r="I6" s="7">
        <v>26000</v>
      </c>
      <c r="J6" s="7">
        <v>30285</v>
      </c>
      <c r="K6" s="7">
        <v>20050</v>
      </c>
      <c r="L6" s="7">
        <v>33400</v>
      </c>
      <c r="M6" s="7">
        <v>21380</v>
      </c>
      <c r="N6" s="7">
        <f>SUM(E6:M6)</f>
        <v>387191</v>
      </c>
      <c r="O6" s="68">
        <f t="shared" ref="O6:O9" si="0">SUM(F6:M6)</f>
        <v>167720</v>
      </c>
      <c r="P6" s="69">
        <v>219471</v>
      </c>
      <c r="Q6" s="70">
        <f t="shared" ref="Q6:Q7" si="1">O6+P6</f>
        <v>387191</v>
      </c>
    </row>
    <row r="7" spans="3:17" ht="18.75" x14ac:dyDescent="0.3">
      <c r="C7" s="1"/>
      <c r="D7" s="6" t="s">
        <v>365</v>
      </c>
      <c r="E7" s="7">
        <f>W32</f>
        <v>0</v>
      </c>
      <c r="F7" s="7"/>
      <c r="G7" s="7"/>
      <c r="H7" s="7"/>
      <c r="I7" s="7"/>
      <c r="J7" s="7"/>
      <c r="K7" s="7"/>
      <c r="L7" s="7"/>
      <c r="M7" s="7"/>
      <c r="N7" s="7"/>
      <c r="O7" s="68">
        <f t="shared" si="0"/>
        <v>0</v>
      </c>
      <c r="P7" s="69">
        <f t="shared" ref="P7:P8" si="2">E7</f>
        <v>0</v>
      </c>
      <c r="Q7" s="70">
        <f t="shared" si="1"/>
        <v>0</v>
      </c>
    </row>
    <row r="8" spans="3:17" ht="21" x14ac:dyDescent="0.35">
      <c r="C8" s="1"/>
      <c r="D8" s="71" t="s">
        <v>451</v>
      </c>
      <c r="E8" s="48">
        <f>'Feb 24'!$I$101</f>
        <v>33780</v>
      </c>
      <c r="F8" s="48">
        <f>'Feb 24'!$J$101</f>
        <v>5575</v>
      </c>
      <c r="G8" s="49">
        <f>'Feb 24'!$K$101</f>
        <v>5500</v>
      </c>
      <c r="H8" s="49">
        <f>'Feb 24'!$L$101</f>
        <v>11460</v>
      </c>
      <c r="I8" s="49">
        <f>'Feb 24'!$M$101</f>
        <v>13025</v>
      </c>
      <c r="J8" s="49">
        <f>'Feb 24'!$N$101</f>
        <v>3300</v>
      </c>
      <c r="K8" s="49">
        <f>'Feb 24'!$O$101</f>
        <v>3500</v>
      </c>
      <c r="L8" s="49">
        <f>'Feb 24'!$P$101</f>
        <v>14975</v>
      </c>
      <c r="M8" s="49">
        <f>'Feb 24'!$Q$101</f>
        <v>6980</v>
      </c>
      <c r="N8" s="72">
        <f>SUM(E8:M8)</f>
        <v>98095</v>
      </c>
      <c r="O8" s="73">
        <f t="shared" si="0"/>
        <v>64315</v>
      </c>
      <c r="P8" s="74">
        <f t="shared" si="2"/>
        <v>33780</v>
      </c>
      <c r="Q8" s="75">
        <f t="shared" ref="Q8:Q9" si="3">SUM(O8,P8)</f>
        <v>98095</v>
      </c>
    </row>
    <row r="9" spans="3:17" ht="17.25" x14ac:dyDescent="0.3">
      <c r="C9" s="1"/>
      <c r="D9" s="6" t="s">
        <v>261</v>
      </c>
      <c r="E9" s="12">
        <f t="shared" ref="E9:M9" si="4">SUM(E6,E7-E8)</f>
        <v>185691</v>
      </c>
      <c r="F9" s="12">
        <f t="shared" si="4"/>
        <v>25</v>
      </c>
      <c r="G9" s="12">
        <f t="shared" si="4"/>
        <v>3925</v>
      </c>
      <c r="H9" s="12">
        <f t="shared" si="4"/>
        <v>10120</v>
      </c>
      <c r="I9" s="12">
        <f t="shared" si="4"/>
        <v>12975</v>
      </c>
      <c r="J9" s="12">
        <f t="shared" si="4"/>
        <v>26985</v>
      </c>
      <c r="K9" s="12">
        <f t="shared" si="4"/>
        <v>16550</v>
      </c>
      <c r="L9" s="12">
        <f t="shared" si="4"/>
        <v>18425</v>
      </c>
      <c r="M9" s="12">
        <f t="shared" si="4"/>
        <v>14400</v>
      </c>
      <c r="N9" s="12">
        <f>SUM(N6+N7-N8)</f>
        <v>289096</v>
      </c>
      <c r="O9" s="55">
        <f t="shared" si="0"/>
        <v>103405</v>
      </c>
      <c r="P9" s="56">
        <v>185691</v>
      </c>
      <c r="Q9" s="57">
        <f t="shared" si="3"/>
        <v>289096</v>
      </c>
    </row>
    <row r="10" spans="3:17" x14ac:dyDescent="0.25">
      <c r="C10" s="1"/>
      <c r="E10" s="1"/>
      <c r="F10" s="16"/>
    </row>
    <row r="11" spans="3:17" ht="15.75" x14ac:dyDescent="0.25">
      <c r="C11" s="103" t="s">
        <v>367</v>
      </c>
      <c r="D11" s="99"/>
      <c r="E11" s="21" t="s">
        <v>368</v>
      </c>
      <c r="F11" s="45">
        <v>1799</v>
      </c>
      <c r="G11" s="46">
        <v>2699</v>
      </c>
      <c r="H11" s="46">
        <v>588</v>
      </c>
      <c r="I11" s="46">
        <v>2088</v>
      </c>
      <c r="J11" s="46">
        <v>2488</v>
      </c>
      <c r="K11" s="46">
        <v>2688</v>
      </c>
      <c r="L11" s="45">
        <v>3099</v>
      </c>
      <c r="M11" s="62" t="s">
        <v>295</v>
      </c>
      <c r="N11" s="45" t="s">
        <v>3</v>
      </c>
      <c r="O11" s="76" t="s">
        <v>369</v>
      </c>
      <c r="P11" s="76" t="s">
        <v>370</v>
      </c>
    </row>
    <row r="12" spans="3:17" x14ac:dyDescent="0.25">
      <c r="C12" s="9" t="s">
        <v>371</v>
      </c>
      <c r="D12" s="79" t="s">
        <v>372</v>
      </c>
      <c r="E12" s="9" t="s">
        <v>373</v>
      </c>
      <c r="F12" s="22"/>
      <c r="G12" s="7"/>
      <c r="H12" s="7"/>
      <c r="I12" s="7"/>
      <c r="J12" s="7"/>
      <c r="K12" s="7"/>
      <c r="L12" s="7"/>
      <c r="M12" s="7"/>
      <c r="N12" s="7">
        <f>SUM(F12:M12)</f>
        <v>0</v>
      </c>
      <c r="O12" s="10"/>
      <c r="P12" s="10"/>
    </row>
    <row r="13" spans="3:17" x14ac:dyDescent="0.25">
      <c r="C13" s="10">
        <v>1</v>
      </c>
      <c r="D13" s="7" t="s">
        <v>374</v>
      </c>
      <c r="E13" s="78"/>
      <c r="F13" s="22"/>
      <c r="G13" s="7"/>
      <c r="H13" s="7"/>
      <c r="I13" s="7"/>
      <c r="J13" s="7"/>
      <c r="K13" s="7"/>
      <c r="L13" s="7"/>
      <c r="M13" s="7"/>
      <c r="N13" s="7"/>
      <c r="O13" s="10"/>
      <c r="P13" s="10"/>
    </row>
    <row r="14" spans="3:17" x14ac:dyDescent="0.25">
      <c r="C14" s="10">
        <v>2</v>
      </c>
      <c r="D14" s="7" t="s">
        <v>376</v>
      </c>
      <c r="E14" s="78"/>
      <c r="F14" s="22"/>
      <c r="G14" s="7"/>
      <c r="H14" s="7"/>
      <c r="I14" s="7"/>
      <c r="J14" s="7"/>
      <c r="K14" s="7"/>
      <c r="L14" s="7"/>
      <c r="M14" s="7"/>
      <c r="N14" s="7"/>
      <c r="O14" s="10"/>
      <c r="P14" s="10"/>
    </row>
    <row r="15" spans="3:17" x14ac:dyDescent="0.25">
      <c r="C15" s="10">
        <v>3</v>
      </c>
      <c r="D15" s="7" t="s">
        <v>376</v>
      </c>
      <c r="E15" s="78"/>
      <c r="F15" s="22"/>
      <c r="G15" s="7"/>
      <c r="H15" s="7"/>
      <c r="I15" s="7"/>
      <c r="J15" s="7"/>
      <c r="K15" s="7"/>
      <c r="L15" s="7"/>
      <c r="M15" s="7"/>
      <c r="N15" s="7"/>
      <c r="O15" s="10"/>
      <c r="P15" s="10"/>
    </row>
    <row r="16" spans="3:17" x14ac:dyDescent="0.25">
      <c r="C16" s="10">
        <v>4</v>
      </c>
      <c r="D16" s="7" t="s">
        <v>374</v>
      </c>
      <c r="E16" s="78"/>
      <c r="F16" s="22"/>
      <c r="G16" s="7"/>
      <c r="H16" s="7"/>
      <c r="I16" s="7"/>
      <c r="J16" s="7"/>
      <c r="K16" s="7"/>
      <c r="L16" s="7"/>
      <c r="M16" s="7"/>
      <c r="N16" s="7"/>
      <c r="O16" s="10"/>
      <c r="P16" s="10"/>
    </row>
    <row r="17" spans="3:23" x14ac:dyDescent="0.25">
      <c r="C17" s="10">
        <v>5</v>
      </c>
      <c r="D17" s="7" t="s">
        <v>378</v>
      </c>
      <c r="E17" s="11"/>
      <c r="F17" s="7"/>
      <c r="G17" s="7"/>
      <c r="H17" s="7"/>
      <c r="I17" s="7"/>
      <c r="J17" s="7"/>
      <c r="K17" s="7"/>
      <c r="L17" s="7"/>
      <c r="M17" s="7"/>
      <c r="N17" s="7"/>
      <c r="O17" s="10"/>
      <c r="P17" s="10"/>
    </row>
    <row r="18" spans="3:23" x14ac:dyDescent="0.25">
      <c r="C18" s="104" t="s">
        <v>3</v>
      </c>
      <c r="D18" s="98"/>
      <c r="E18" s="99"/>
      <c r="F18" s="7">
        <f t="shared" ref="F18:M18" si="5">SUM(F12:F17)</f>
        <v>0</v>
      </c>
      <c r="G18" s="7">
        <f t="shared" si="5"/>
        <v>0</v>
      </c>
      <c r="H18" s="7">
        <f t="shared" si="5"/>
        <v>0</v>
      </c>
      <c r="I18" s="7">
        <f t="shared" si="5"/>
        <v>0</v>
      </c>
      <c r="J18" s="7">
        <f t="shared" si="5"/>
        <v>0</v>
      </c>
      <c r="K18" s="7">
        <f t="shared" si="5"/>
        <v>0</v>
      </c>
      <c r="L18" s="7">
        <f t="shared" si="5"/>
        <v>0</v>
      </c>
      <c r="M18" s="7">
        <f t="shared" si="5"/>
        <v>0</v>
      </c>
      <c r="N18" s="7">
        <f>SUM(F18:M18)</f>
        <v>0</v>
      </c>
      <c r="O18" s="10"/>
      <c r="P18" s="10"/>
    </row>
    <row r="19" spans="3:23" x14ac:dyDescent="0.25">
      <c r="C19" s="1"/>
      <c r="E19" s="1"/>
      <c r="F19" s="16"/>
    </row>
    <row r="20" spans="3:23" ht="15.75" x14ac:dyDescent="0.25">
      <c r="C20" s="9" t="s">
        <v>8</v>
      </c>
      <c r="D20" s="4" t="s">
        <v>9</v>
      </c>
      <c r="E20" s="20" t="s">
        <v>10</v>
      </c>
      <c r="F20" s="20" t="s">
        <v>11</v>
      </c>
      <c r="G20" s="4" t="s">
        <v>4</v>
      </c>
      <c r="H20" s="4" t="s">
        <v>12</v>
      </c>
      <c r="I20" s="4" t="s">
        <v>2</v>
      </c>
      <c r="J20" s="4" t="s">
        <v>13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19</v>
      </c>
      <c r="P20" s="39" t="s">
        <v>204</v>
      </c>
      <c r="Q20" s="63" t="s">
        <v>295</v>
      </c>
      <c r="T20" s="101" t="s">
        <v>118</v>
      </c>
      <c r="U20" s="102"/>
      <c r="V20" s="102"/>
      <c r="W20" s="102"/>
    </row>
    <row r="21" spans="3:23" ht="15.75" customHeight="1" x14ac:dyDescent="0.25">
      <c r="C21" s="10">
        <v>1</v>
      </c>
      <c r="D21" s="11">
        <v>45323</v>
      </c>
      <c r="E21" s="10">
        <v>646</v>
      </c>
      <c r="F21" s="22" t="s">
        <v>269</v>
      </c>
      <c r="G21" s="7">
        <v>2000</v>
      </c>
      <c r="H21" s="12">
        <v>145</v>
      </c>
      <c r="I21" s="7"/>
      <c r="J21" s="7">
        <v>2000</v>
      </c>
      <c r="K21" s="7"/>
      <c r="L21" s="7"/>
      <c r="M21" s="7"/>
      <c r="N21" s="7"/>
      <c r="O21" s="7"/>
      <c r="P21" s="7"/>
      <c r="Q21" s="40"/>
      <c r="T21" s="97" t="s">
        <v>172</v>
      </c>
      <c r="U21" s="98"/>
      <c r="V21" s="98"/>
      <c r="W21" s="34"/>
    </row>
    <row r="22" spans="3:23" ht="15.75" customHeight="1" x14ac:dyDescent="0.25">
      <c r="C22" s="10">
        <v>2</v>
      </c>
      <c r="D22" s="11">
        <v>45324</v>
      </c>
      <c r="E22" s="10">
        <v>648</v>
      </c>
      <c r="F22" s="22" t="s">
        <v>358</v>
      </c>
      <c r="G22" s="7">
        <v>1500</v>
      </c>
      <c r="H22" s="12">
        <v>119</v>
      </c>
      <c r="I22" s="7">
        <v>1900</v>
      </c>
      <c r="J22" s="7" t="s">
        <v>84</v>
      </c>
      <c r="K22" s="7"/>
      <c r="L22" s="7"/>
      <c r="M22" s="7"/>
      <c r="N22" s="7"/>
      <c r="O22" s="7"/>
      <c r="P22" s="7"/>
      <c r="Q22" s="7"/>
      <c r="T22" s="10" t="s">
        <v>121</v>
      </c>
      <c r="U22" s="7" t="s">
        <v>9</v>
      </c>
      <c r="V22" s="7" t="s">
        <v>122</v>
      </c>
      <c r="W22" s="7" t="s">
        <v>4</v>
      </c>
    </row>
    <row r="23" spans="3:23" ht="15.75" customHeight="1" x14ac:dyDescent="0.25">
      <c r="C23" s="10">
        <v>3</v>
      </c>
      <c r="D23" s="11">
        <v>45328</v>
      </c>
      <c r="E23" s="10">
        <v>653</v>
      </c>
      <c r="F23" s="22" t="s">
        <v>80</v>
      </c>
      <c r="G23" s="7">
        <v>1325</v>
      </c>
      <c r="H23" s="12" t="s">
        <v>452</v>
      </c>
      <c r="I23" s="7"/>
      <c r="J23" s="7">
        <v>1125</v>
      </c>
      <c r="K23" s="7"/>
      <c r="L23" s="7"/>
      <c r="M23" s="7"/>
      <c r="N23" s="7">
        <v>200</v>
      </c>
      <c r="O23" s="7"/>
      <c r="P23" s="7"/>
      <c r="Q23" s="7"/>
      <c r="T23" s="10">
        <v>1</v>
      </c>
      <c r="U23" s="41"/>
      <c r="V23" s="7" t="s">
        <v>426</v>
      </c>
      <c r="W23" s="7"/>
    </row>
    <row r="24" spans="3:23" ht="15.75" customHeight="1" x14ac:dyDescent="0.25">
      <c r="C24" s="10">
        <v>4</v>
      </c>
      <c r="D24" s="11">
        <v>45328</v>
      </c>
      <c r="E24" s="10">
        <v>654</v>
      </c>
      <c r="F24" s="22" t="s">
        <v>248</v>
      </c>
      <c r="G24" s="7">
        <v>1500</v>
      </c>
      <c r="H24" s="31">
        <v>165</v>
      </c>
      <c r="I24" s="7"/>
      <c r="J24" s="7"/>
      <c r="K24" s="7">
        <v>1500</v>
      </c>
      <c r="L24" s="7"/>
      <c r="M24" s="7"/>
      <c r="N24" s="7"/>
      <c r="O24" s="7"/>
      <c r="P24" s="7"/>
      <c r="Q24" s="7"/>
      <c r="T24" s="10">
        <v>2</v>
      </c>
      <c r="U24" s="41"/>
      <c r="V24" s="7" t="s">
        <v>426</v>
      </c>
      <c r="W24" s="7"/>
    </row>
    <row r="25" spans="3:23" ht="15.75" customHeight="1" x14ac:dyDescent="0.25">
      <c r="C25" s="10">
        <v>5</v>
      </c>
      <c r="D25" s="11">
        <v>45327</v>
      </c>
      <c r="E25" s="10" t="s">
        <v>453</v>
      </c>
      <c r="F25" s="22" t="s">
        <v>32</v>
      </c>
      <c r="G25" s="7">
        <v>600</v>
      </c>
      <c r="H25" s="12">
        <v>200</v>
      </c>
      <c r="I25" s="7"/>
      <c r="J25" s="7"/>
      <c r="K25" s="7"/>
      <c r="L25" s="7"/>
      <c r="M25" s="7"/>
      <c r="N25" s="7"/>
      <c r="O25" s="7"/>
      <c r="P25" s="7"/>
      <c r="Q25" s="7">
        <v>600</v>
      </c>
      <c r="T25" s="10">
        <v>3</v>
      </c>
      <c r="U25" s="41"/>
      <c r="V25" s="7" t="s">
        <v>426</v>
      </c>
      <c r="W25" s="7"/>
    </row>
    <row r="26" spans="3:23" ht="15.75" customHeight="1" x14ac:dyDescent="0.25">
      <c r="C26" s="10">
        <v>6</v>
      </c>
      <c r="D26" s="11">
        <v>45329</v>
      </c>
      <c r="E26" s="10">
        <v>655</v>
      </c>
      <c r="F26" s="22" t="s">
        <v>90</v>
      </c>
      <c r="G26" s="7">
        <v>1000</v>
      </c>
      <c r="H26" s="12" t="s">
        <v>454</v>
      </c>
      <c r="I26" s="7"/>
      <c r="J26" s="7"/>
      <c r="K26" s="7"/>
      <c r="L26" s="7"/>
      <c r="M26" s="7">
        <v>600</v>
      </c>
      <c r="N26" s="7">
        <v>200</v>
      </c>
      <c r="O26" s="7">
        <v>200</v>
      </c>
      <c r="P26" s="7"/>
      <c r="Q26" s="7"/>
      <c r="T26" s="10">
        <v>4</v>
      </c>
      <c r="U26" s="41"/>
      <c r="V26" s="7"/>
      <c r="W26" s="7"/>
    </row>
    <row r="27" spans="3:23" ht="15.75" customHeight="1" x14ac:dyDescent="0.25">
      <c r="C27" s="10">
        <v>7</v>
      </c>
      <c r="D27" s="11">
        <v>45328</v>
      </c>
      <c r="E27" s="10" t="s">
        <v>455</v>
      </c>
      <c r="F27" s="22" t="s">
        <v>43</v>
      </c>
      <c r="G27" s="7">
        <v>5500</v>
      </c>
      <c r="H27" s="12" t="s">
        <v>456</v>
      </c>
      <c r="I27" s="7"/>
      <c r="J27" s="7"/>
      <c r="K27" s="7">
        <v>1500</v>
      </c>
      <c r="L27" s="7"/>
      <c r="M27" s="7">
        <v>4000</v>
      </c>
      <c r="N27" s="7"/>
      <c r="O27" s="7"/>
      <c r="P27" s="7"/>
      <c r="Q27" s="7"/>
      <c r="T27" s="10">
        <v>5</v>
      </c>
      <c r="U27" s="41"/>
      <c r="V27" s="7"/>
      <c r="W27" s="7"/>
    </row>
    <row r="28" spans="3:23" ht="15.75" customHeight="1" x14ac:dyDescent="0.25">
      <c r="C28" s="10">
        <v>8</v>
      </c>
      <c r="D28" s="11">
        <v>45330</v>
      </c>
      <c r="E28" s="10">
        <v>657</v>
      </c>
      <c r="F28" s="22" t="s">
        <v>284</v>
      </c>
      <c r="G28" s="7">
        <v>3000</v>
      </c>
      <c r="H28" s="12">
        <v>168</v>
      </c>
      <c r="I28" s="7"/>
      <c r="J28" s="7"/>
      <c r="K28" s="7">
        <v>2000</v>
      </c>
      <c r="L28" s="7"/>
      <c r="M28" s="7"/>
      <c r="N28" s="7"/>
      <c r="O28" s="7">
        <v>1000</v>
      </c>
      <c r="P28" s="7"/>
      <c r="Q28" s="7"/>
      <c r="T28" s="10">
        <v>6</v>
      </c>
      <c r="U28" s="41"/>
      <c r="V28" s="7"/>
      <c r="W28" s="7"/>
    </row>
    <row r="29" spans="3:23" ht="15.75" customHeight="1" x14ac:dyDescent="0.25">
      <c r="C29" s="10">
        <v>9</v>
      </c>
      <c r="D29" s="11">
        <v>45331</v>
      </c>
      <c r="E29" s="10">
        <v>658</v>
      </c>
      <c r="F29" s="22" t="s">
        <v>276</v>
      </c>
      <c r="G29" s="7">
        <v>1000</v>
      </c>
      <c r="H29" s="12">
        <v>112</v>
      </c>
      <c r="I29" s="7">
        <v>1000</v>
      </c>
      <c r="J29" s="7"/>
      <c r="K29" s="7"/>
      <c r="L29" s="7"/>
      <c r="M29" s="7"/>
      <c r="N29" s="7"/>
      <c r="O29" s="7"/>
      <c r="P29" s="7"/>
      <c r="Q29" s="7"/>
      <c r="T29" s="10">
        <v>7</v>
      </c>
      <c r="U29" s="41"/>
      <c r="V29" s="7"/>
      <c r="W29" s="7"/>
    </row>
    <row r="30" spans="3:23" ht="15.75" customHeight="1" x14ac:dyDescent="0.25">
      <c r="C30" s="10">
        <v>10</v>
      </c>
      <c r="D30" s="11">
        <v>45331</v>
      </c>
      <c r="E30" s="10">
        <v>659</v>
      </c>
      <c r="F30" s="22" t="s">
        <v>37</v>
      </c>
      <c r="G30" s="7">
        <v>1120</v>
      </c>
      <c r="H30" s="12" t="s">
        <v>457</v>
      </c>
      <c r="I30" s="7">
        <v>1120</v>
      </c>
      <c r="J30" s="7"/>
      <c r="K30" s="7"/>
      <c r="L30" s="7"/>
      <c r="M30" s="7"/>
      <c r="N30" s="7"/>
      <c r="O30" s="7"/>
      <c r="P30" s="7"/>
      <c r="Q30" s="7"/>
      <c r="T30" s="10">
        <v>8</v>
      </c>
      <c r="U30" s="11"/>
      <c r="V30" s="7"/>
      <c r="W30" s="7"/>
    </row>
    <row r="31" spans="3:23" ht="15.75" customHeight="1" x14ac:dyDescent="0.25">
      <c r="C31" s="10">
        <v>11</v>
      </c>
      <c r="D31" s="11">
        <v>45331</v>
      </c>
      <c r="E31" s="10">
        <v>660</v>
      </c>
      <c r="F31" s="22" t="s">
        <v>20</v>
      </c>
      <c r="G31" s="7">
        <v>240</v>
      </c>
      <c r="H31" s="12">
        <v>115</v>
      </c>
      <c r="I31" s="7">
        <v>240</v>
      </c>
      <c r="J31" s="7"/>
      <c r="K31" s="7"/>
      <c r="L31" s="7"/>
      <c r="M31" s="7"/>
      <c r="N31" s="7"/>
      <c r="O31" s="7"/>
      <c r="P31" s="7"/>
      <c r="Q31" s="7"/>
      <c r="T31" s="10"/>
      <c r="U31" s="7"/>
      <c r="V31" s="7"/>
      <c r="W31" s="7"/>
    </row>
    <row r="32" spans="3:23" ht="15.75" customHeight="1" x14ac:dyDescent="0.25">
      <c r="C32" s="10">
        <v>12</v>
      </c>
      <c r="D32" s="11">
        <v>45334</v>
      </c>
      <c r="E32" s="10">
        <v>661</v>
      </c>
      <c r="F32" s="22" t="s">
        <v>220</v>
      </c>
      <c r="G32" s="7">
        <v>360</v>
      </c>
      <c r="H32" s="12">
        <v>167.5</v>
      </c>
      <c r="I32" s="7"/>
      <c r="J32" s="7"/>
      <c r="K32" s="7"/>
      <c r="L32" s="7">
        <v>360</v>
      </c>
      <c r="M32" s="7"/>
      <c r="N32" s="7"/>
      <c r="O32" s="7"/>
      <c r="P32" s="7"/>
      <c r="Q32" s="7"/>
      <c r="T32" s="97" t="s">
        <v>181</v>
      </c>
      <c r="U32" s="98"/>
      <c r="V32" s="99"/>
      <c r="W32" s="7">
        <f>SUM(W23:W30)</f>
        <v>0</v>
      </c>
    </row>
    <row r="33" spans="3:23" ht="15.75" customHeight="1" x14ac:dyDescent="0.25">
      <c r="C33" s="10">
        <v>13</v>
      </c>
      <c r="D33" s="11">
        <v>45334</v>
      </c>
      <c r="E33" s="10">
        <v>662</v>
      </c>
      <c r="F33" s="22" t="s">
        <v>297</v>
      </c>
      <c r="G33" s="7">
        <v>17000</v>
      </c>
      <c r="H33" s="12" t="s">
        <v>458</v>
      </c>
      <c r="I33" s="7">
        <v>1000</v>
      </c>
      <c r="J33" s="7"/>
      <c r="K33" s="7"/>
      <c r="L33" s="7"/>
      <c r="M33" s="7"/>
      <c r="N33" s="7"/>
      <c r="O33" s="7">
        <v>1025</v>
      </c>
      <c r="P33" s="7">
        <v>14975</v>
      </c>
      <c r="Q33" s="7"/>
      <c r="T33" s="97" t="s">
        <v>183</v>
      </c>
      <c r="U33" s="98"/>
      <c r="V33" s="99"/>
      <c r="W33" s="7">
        <v>185573</v>
      </c>
    </row>
    <row r="34" spans="3:23" ht="15.75" customHeight="1" x14ac:dyDescent="0.25">
      <c r="C34" s="10">
        <v>14</v>
      </c>
      <c r="D34" s="11">
        <v>45334</v>
      </c>
      <c r="E34" s="10">
        <v>663</v>
      </c>
      <c r="F34" s="22" t="s">
        <v>190</v>
      </c>
      <c r="G34" s="7">
        <v>2000</v>
      </c>
      <c r="H34" s="12">
        <v>114</v>
      </c>
      <c r="I34" s="7">
        <v>2000</v>
      </c>
      <c r="J34" s="7"/>
      <c r="K34" s="7"/>
      <c r="L34" s="7"/>
      <c r="M34" s="7"/>
      <c r="N34" s="7"/>
      <c r="O34" s="7"/>
      <c r="P34" s="7"/>
      <c r="Q34" s="7"/>
      <c r="T34" s="97" t="s">
        <v>184</v>
      </c>
      <c r="U34" s="98"/>
      <c r="V34" s="99"/>
      <c r="W34" s="35">
        <f>SUM(W32,W33)</f>
        <v>185573</v>
      </c>
    </row>
    <row r="35" spans="3:23" ht="15.75" customHeight="1" x14ac:dyDescent="0.25">
      <c r="C35" s="10">
        <v>15</v>
      </c>
      <c r="D35" s="11">
        <v>45335</v>
      </c>
      <c r="E35" s="10">
        <v>664</v>
      </c>
      <c r="F35" s="22" t="s">
        <v>80</v>
      </c>
      <c r="G35" s="7">
        <v>200</v>
      </c>
      <c r="H35" s="12">
        <v>190</v>
      </c>
      <c r="I35" s="7"/>
      <c r="J35" s="7"/>
      <c r="K35" s="7"/>
      <c r="L35" s="7"/>
      <c r="M35" s="7"/>
      <c r="N35" s="7"/>
      <c r="O35" s="7"/>
      <c r="P35" s="7"/>
      <c r="Q35" s="7">
        <v>200</v>
      </c>
      <c r="T35" s="97" t="s">
        <v>186</v>
      </c>
      <c r="U35" s="98"/>
      <c r="V35" s="99"/>
      <c r="W35" s="7">
        <f>'Feb 24'!$I$101</f>
        <v>33780</v>
      </c>
    </row>
    <row r="36" spans="3:23" ht="15.75" customHeight="1" x14ac:dyDescent="0.25">
      <c r="C36" s="10">
        <v>16</v>
      </c>
      <c r="D36" s="11">
        <v>45336</v>
      </c>
      <c r="E36" s="24">
        <v>665</v>
      </c>
      <c r="F36" s="22" t="s">
        <v>80</v>
      </c>
      <c r="G36" s="7">
        <v>100</v>
      </c>
      <c r="H36" s="12">
        <v>160</v>
      </c>
      <c r="I36" s="7"/>
      <c r="J36" s="7"/>
      <c r="K36" s="7"/>
      <c r="L36" s="7"/>
      <c r="M36" s="7"/>
      <c r="N36" s="7">
        <v>100</v>
      </c>
      <c r="O36" s="7"/>
      <c r="P36" s="7"/>
      <c r="Q36" s="7"/>
      <c r="T36" s="97"/>
      <c r="U36" s="98"/>
      <c r="V36" s="99"/>
      <c r="W36" s="7"/>
    </row>
    <row r="37" spans="3:23" ht="15.75" customHeight="1" x14ac:dyDescent="0.25">
      <c r="C37" s="10">
        <v>17</v>
      </c>
      <c r="D37" s="11">
        <v>45336</v>
      </c>
      <c r="E37" s="10">
        <v>666</v>
      </c>
      <c r="F37" s="22" t="s">
        <v>333</v>
      </c>
      <c r="G37" s="7">
        <v>25</v>
      </c>
      <c r="H37" s="12">
        <v>170</v>
      </c>
      <c r="I37" s="7"/>
      <c r="J37" s="7"/>
      <c r="K37" s="7"/>
      <c r="L37" s="7"/>
      <c r="M37" s="7"/>
      <c r="N37" s="7"/>
      <c r="O37" s="7">
        <v>25</v>
      </c>
      <c r="P37" s="7"/>
      <c r="Q37" s="7"/>
      <c r="T37" s="100" t="s">
        <v>188</v>
      </c>
      <c r="U37" s="98"/>
      <c r="V37" s="99"/>
      <c r="W37" s="36">
        <f>SUM(W34-W35)</f>
        <v>151793</v>
      </c>
    </row>
    <row r="38" spans="3:23" ht="15.75" customHeight="1" x14ac:dyDescent="0.25">
      <c r="C38" s="10">
        <v>18</v>
      </c>
      <c r="D38" s="11">
        <v>45337</v>
      </c>
      <c r="E38" s="10">
        <v>667</v>
      </c>
      <c r="F38" s="22" t="s">
        <v>402</v>
      </c>
      <c r="G38" s="7">
        <v>10000</v>
      </c>
      <c r="H38" s="12">
        <v>165</v>
      </c>
      <c r="I38" s="7"/>
      <c r="J38" s="7"/>
      <c r="K38" s="7"/>
      <c r="L38" s="7">
        <v>10000</v>
      </c>
      <c r="M38" s="7"/>
      <c r="N38" s="7"/>
      <c r="O38" s="7"/>
      <c r="P38" s="7"/>
      <c r="Q38" s="7"/>
    </row>
    <row r="39" spans="3:23" ht="15.75" customHeight="1" x14ac:dyDescent="0.25">
      <c r="C39" s="10">
        <v>19</v>
      </c>
      <c r="D39" s="11">
        <v>45337</v>
      </c>
      <c r="E39" s="10">
        <v>668</v>
      </c>
      <c r="F39" s="22" t="s">
        <v>284</v>
      </c>
      <c r="G39" s="7">
        <v>1000</v>
      </c>
      <c r="H39" s="12">
        <v>171</v>
      </c>
      <c r="I39" s="7"/>
      <c r="J39" s="7"/>
      <c r="K39" s="7"/>
      <c r="L39" s="7">
        <v>1000</v>
      </c>
      <c r="M39" s="7"/>
      <c r="N39" s="7"/>
      <c r="O39" s="7"/>
      <c r="P39" s="7"/>
      <c r="Q39" s="7"/>
    </row>
    <row r="40" spans="3:23" ht="15.75" customHeight="1" x14ac:dyDescent="0.25">
      <c r="C40" s="10">
        <v>20</v>
      </c>
      <c r="D40" s="11">
        <v>45337</v>
      </c>
      <c r="E40" s="10">
        <v>669</v>
      </c>
      <c r="F40" s="22" t="s">
        <v>402</v>
      </c>
      <c r="G40" s="7">
        <v>100</v>
      </c>
      <c r="H40" s="12">
        <v>167</v>
      </c>
      <c r="I40" s="7"/>
      <c r="J40" s="7"/>
      <c r="K40" s="7"/>
      <c r="L40" s="7">
        <v>100</v>
      </c>
      <c r="M40" s="7"/>
      <c r="N40" s="7"/>
      <c r="O40" s="7"/>
      <c r="P40" s="7"/>
      <c r="Q40" s="7"/>
    </row>
    <row r="41" spans="3:23" ht="15.75" customHeight="1" x14ac:dyDescent="0.25">
      <c r="C41" s="10">
        <v>21</v>
      </c>
      <c r="D41" s="11">
        <v>45335</v>
      </c>
      <c r="E41" s="10" t="s">
        <v>459</v>
      </c>
      <c r="F41" s="22" t="s">
        <v>32</v>
      </c>
      <c r="G41" s="7">
        <v>500</v>
      </c>
      <c r="H41" s="12">
        <v>171</v>
      </c>
      <c r="I41" s="7"/>
      <c r="J41" s="7"/>
      <c r="K41" s="7"/>
      <c r="L41" s="7"/>
      <c r="M41" s="7"/>
      <c r="N41" s="7">
        <v>500</v>
      </c>
      <c r="O41" s="7"/>
      <c r="P41" s="7"/>
      <c r="Q41" s="7"/>
    </row>
    <row r="42" spans="3:23" ht="15.75" customHeight="1" x14ac:dyDescent="0.25">
      <c r="C42" s="10">
        <v>22</v>
      </c>
      <c r="D42" s="11">
        <v>45338</v>
      </c>
      <c r="E42" s="10">
        <v>670</v>
      </c>
      <c r="F42" s="22" t="s">
        <v>193</v>
      </c>
      <c r="G42" s="7">
        <v>1400</v>
      </c>
      <c r="H42" s="12">
        <v>119</v>
      </c>
      <c r="I42" s="7">
        <v>1400</v>
      </c>
      <c r="J42" s="7"/>
      <c r="K42" s="7"/>
      <c r="L42" s="7"/>
      <c r="M42" s="7"/>
      <c r="N42" s="7"/>
      <c r="O42" s="7"/>
      <c r="P42" s="7"/>
      <c r="Q42" s="7"/>
    </row>
    <row r="43" spans="3:23" ht="15.75" customHeight="1" x14ac:dyDescent="0.25">
      <c r="C43" s="10">
        <v>23</v>
      </c>
      <c r="D43" s="11">
        <v>45338</v>
      </c>
      <c r="E43" s="10" t="s">
        <v>27</v>
      </c>
      <c r="F43" s="22" t="s">
        <v>255</v>
      </c>
      <c r="G43" s="7">
        <v>200</v>
      </c>
      <c r="H43" s="12">
        <v>189</v>
      </c>
      <c r="I43" s="7"/>
      <c r="J43" s="7"/>
      <c r="K43" s="7"/>
      <c r="L43" s="7"/>
      <c r="M43" s="7"/>
      <c r="N43" s="7"/>
      <c r="O43" s="7"/>
      <c r="P43" s="7"/>
      <c r="Q43" s="7">
        <v>200</v>
      </c>
    </row>
    <row r="44" spans="3:23" ht="15.75" customHeight="1" x14ac:dyDescent="0.25">
      <c r="C44" s="10">
        <v>24</v>
      </c>
      <c r="D44" s="11">
        <v>45338</v>
      </c>
      <c r="E44" s="10">
        <v>672</v>
      </c>
      <c r="F44" s="22" t="s">
        <v>51</v>
      </c>
      <c r="G44" s="7">
        <v>5000</v>
      </c>
      <c r="H44" s="12">
        <v>170</v>
      </c>
      <c r="I44" s="7"/>
      <c r="J44" s="7"/>
      <c r="K44" s="7"/>
      <c r="L44" s="7"/>
      <c r="M44" s="7">
        <v>5000</v>
      </c>
      <c r="N44" s="7"/>
      <c r="O44" s="7"/>
      <c r="P44" s="7"/>
      <c r="Q44" s="7"/>
    </row>
    <row r="45" spans="3:23" ht="15.75" customHeight="1" x14ac:dyDescent="0.25">
      <c r="C45" s="10">
        <v>26</v>
      </c>
      <c r="D45" s="11">
        <v>45338</v>
      </c>
      <c r="E45" s="10" t="s">
        <v>460</v>
      </c>
      <c r="F45" s="22" t="s">
        <v>44</v>
      </c>
      <c r="G45" s="7">
        <v>2000</v>
      </c>
      <c r="H45" s="12" t="s">
        <v>461</v>
      </c>
      <c r="I45" s="7"/>
      <c r="J45" s="7"/>
      <c r="K45" s="7"/>
      <c r="L45" s="7"/>
      <c r="M45" s="7"/>
      <c r="N45" s="7"/>
      <c r="O45" s="7">
        <v>1000</v>
      </c>
      <c r="P45" s="7"/>
      <c r="Q45" s="7">
        <v>1000</v>
      </c>
    </row>
    <row r="46" spans="3:23" ht="15.75" customHeight="1" x14ac:dyDescent="0.25">
      <c r="C46" s="10">
        <v>27</v>
      </c>
      <c r="D46" s="80">
        <v>45324</v>
      </c>
      <c r="E46" s="10" t="s">
        <v>27</v>
      </c>
      <c r="F46" s="22" t="s">
        <v>255</v>
      </c>
      <c r="G46" s="7">
        <v>800</v>
      </c>
      <c r="H46" s="12">
        <v>120</v>
      </c>
      <c r="I46" s="7">
        <v>800</v>
      </c>
      <c r="J46" s="7"/>
      <c r="K46" s="7"/>
      <c r="L46" s="7"/>
      <c r="M46" s="7"/>
      <c r="N46" s="7"/>
      <c r="O46" s="7"/>
      <c r="P46" s="7"/>
      <c r="Q46" s="7"/>
    </row>
    <row r="47" spans="3:23" ht="15.75" customHeight="1" x14ac:dyDescent="0.25">
      <c r="C47" s="10">
        <v>28</v>
      </c>
      <c r="D47" s="11">
        <v>45324</v>
      </c>
      <c r="E47" s="10" t="s">
        <v>27</v>
      </c>
      <c r="F47" s="22" t="s">
        <v>255</v>
      </c>
      <c r="G47" s="7">
        <v>480</v>
      </c>
      <c r="H47" s="12" t="s">
        <v>462</v>
      </c>
      <c r="I47" s="7"/>
      <c r="J47" s="7">
        <v>300</v>
      </c>
      <c r="K47" s="7"/>
      <c r="L47" s="7"/>
      <c r="M47" s="7"/>
      <c r="N47" s="7"/>
      <c r="O47" s="7"/>
      <c r="P47" s="7"/>
      <c r="Q47" s="7">
        <v>180</v>
      </c>
    </row>
    <row r="48" spans="3:23" ht="15.75" customHeight="1" x14ac:dyDescent="0.25">
      <c r="C48" s="10">
        <v>29</v>
      </c>
      <c r="D48" s="11">
        <v>45324</v>
      </c>
      <c r="E48" s="10">
        <v>651</v>
      </c>
      <c r="F48" s="22" t="s">
        <v>193</v>
      </c>
      <c r="G48" s="7">
        <v>1500</v>
      </c>
      <c r="H48" s="12">
        <v>143</v>
      </c>
      <c r="I48" s="7"/>
      <c r="J48" s="7">
        <v>1500</v>
      </c>
      <c r="K48" s="7"/>
      <c r="L48" s="7"/>
      <c r="M48" s="7"/>
      <c r="N48" s="7"/>
      <c r="O48" s="7"/>
      <c r="P48" s="7"/>
      <c r="Q48" s="7"/>
      <c r="S48" s="1"/>
    </row>
    <row r="49" spans="3:19" ht="15.75" customHeight="1" x14ac:dyDescent="0.25">
      <c r="C49" s="10">
        <v>30</v>
      </c>
      <c r="D49" s="11">
        <v>45324</v>
      </c>
      <c r="E49" s="10">
        <v>652</v>
      </c>
      <c r="F49" s="22" t="s">
        <v>333</v>
      </c>
      <c r="G49" s="7">
        <v>200</v>
      </c>
      <c r="H49" s="12">
        <v>115</v>
      </c>
      <c r="I49" s="7">
        <v>200</v>
      </c>
      <c r="J49" s="7"/>
      <c r="K49" s="7"/>
      <c r="L49" s="7"/>
      <c r="M49" s="7"/>
      <c r="N49" s="7"/>
      <c r="O49" s="7"/>
      <c r="P49" s="7"/>
      <c r="Q49" s="7"/>
      <c r="S49" s="1"/>
    </row>
    <row r="50" spans="3:19" ht="15.75" customHeight="1" x14ac:dyDescent="0.25">
      <c r="C50" s="10">
        <v>31</v>
      </c>
      <c r="D50" s="11">
        <v>45339</v>
      </c>
      <c r="E50" s="10">
        <v>675</v>
      </c>
      <c r="F50" s="22" t="s">
        <v>80</v>
      </c>
      <c r="G50" s="7">
        <v>500</v>
      </c>
      <c r="H50" s="12">
        <v>128</v>
      </c>
      <c r="I50" s="7">
        <v>500</v>
      </c>
      <c r="J50" s="7"/>
      <c r="K50" s="7"/>
      <c r="L50" s="7"/>
      <c r="M50" s="7"/>
      <c r="N50" s="7"/>
      <c r="O50" s="7"/>
      <c r="P50" s="7"/>
      <c r="Q50" s="7"/>
      <c r="S50" s="1"/>
    </row>
    <row r="51" spans="3:19" ht="15.75" customHeight="1" x14ac:dyDescent="0.25">
      <c r="C51" s="10">
        <v>32</v>
      </c>
      <c r="D51" s="11">
        <v>45339</v>
      </c>
      <c r="E51" s="10" t="s">
        <v>463</v>
      </c>
      <c r="F51" s="22" t="s">
        <v>464</v>
      </c>
      <c r="G51" s="7">
        <v>300</v>
      </c>
      <c r="H51" s="12">
        <v>185</v>
      </c>
      <c r="I51" s="7"/>
      <c r="J51" s="7"/>
      <c r="K51" s="7"/>
      <c r="L51" s="7"/>
      <c r="M51" s="7"/>
      <c r="N51" s="7"/>
      <c r="O51" s="7"/>
      <c r="P51" s="7"/>
      <c r="Q51" s="7">
        <v>300</v>
      </c>
      <c r="S51" s="1"/>
    </row>
    <row r="52" spans="3:19" ht="15.75" customHeight="1" x14ac:dyDescent="0.25">
      <c r="C52" s="10">
        <v>33</v>
      </c>
      <c r="D52" s="11">
        <v>45339</v>
      </c>
      <c r="E52" s="10" t="s">
        <v>465</v>
      </c>
      <c r="F52" s="22" t="s">
        <v>269</v>
      </c>
      <c r="G52" s="7">
        <v>1000</v>
      </c>
      <c r="H52" s="12" t="s">
        <v>466</v>
      </c>
      <c r="I52" s="7"/>
      <c r="J52" s="7"/>
      <c r="K52" s="7"/>
      <c r="L52" s="7"/>
      <c r="M52" s="7"/>
      <c r="N52" s="7"/>
      <c r="O52" s="7"/>
      <c r="P52" s="7"/>
      <c r="Q52" s="7">
        <v>1000</v>
      </c>
      <c r="S52" s="1"/>
    </row>
    <row r="53" spans="3:19" ht="15.75" customHeight="1" x14ac:dyDescent="0.25">
      <c r="C53" s="10">
        <v>34</v>
      </c>
      <c r="D53" s="11">
        <v>45339</v>
      </c>
      <c r="E53" s="10" t="s">
        <v>467</v>
      </c>
      <c r="F53" s="22" t="s">
        <v>268</v>
      </c>
      <c r="G53" s="7">
        <v>650</v>
      </c>
      <c r="H53" s="12">
        <v>155</v>
      </c>
      <c r="I53" s="7"/>
      <c r="J53" s="7">
        <v>650</v>
      </c>
      <c r="K53" s="7"/>
      <c r="L53" s="7"/>
      <c r="M53" s="7"/>
      <c r="N53" s="7"/>
      <c r="O53" s="7"/>
      <c r="P53" s="7"/>
      <c r="Q53" s="7"/>
      <c r="S53" s="1"/>
    </row>
    <row r="54" spans="3:19" ht="15.75" customHeight="1" x14ac:dyDescent="0.25">
      <c r="C54" s="10">
        <v>35</v>
      </c>
      <c r="D54" s="11">
        <v>45339</v>
      </c>
      <c r="E54" s="10" t="s">
        <v>468</v>
      </c>
      <c r="F54" s="22" t="s">
        <v>80</v>
      </c>
      <c r="G54" s="7">
        <v>300</v>
      </c>
      <c r="H54" s="12">
        <v>161</v>
      </c>
      <c r="I54" s="7"/>
      <c r="J54" s="7"/>
      <c r="K54" s="7"/>
      <c r="L54" s="7"/>
      <c r="M54" s="7"/>
      <c r="N54" s="7">
        <v>300</v>
      </c>
      <c r="O54" s="7"/>
      <c r="P54" s="7"/>
      <c r="Q54" s="7"/>
      <c r="S54" s="1"/>
    </row>
    <row r="55" spans="3:19" ht="15.75" customHeight="1" x14ac:dyDescent="0.25">
      <c r="C55" s="10">
        <v>36</v>
      </c>
      <c r="D55" s="11">
        <v>45339</v>
      </c>
      <c r="E55" s="10" t="s">
        <v>469</v>
      </c>
      <c r="F55" s="22" t="s">
        <v>431</v>
      </c>
      <c r="G55" s="7">
        <v>500</v>
      </c>
      <c r="H55" s="12">
        <v>185</v>
      </c>
      <c r="I55" s="7"/>
      <c r="J55" s="7"/>
      <c r="K55" s="7"/>
      <c r="L55" s="7"/>
      <c r="M55" s="7"/>
      <c r="N55" s="7"/>
      <c r="O55" s="7"/>
      <c r="P55" s="7"/>
      <c r="Q55" s="7">
        <v>500</v>
      </c>
      <c r="S55" s="1"/>
    </row>
    <row r="56" spans="3:19" ht="15.75" customHeight="1" x14ac:dyDescent="0.25">
      <c r="C56" s="10">
        <v>37</v>
      </c>
      <c r="D56" s="11">
        <v>45341</v>
      </c>
      <c r="E56" s="10">
        <v>676</v>
      </c>
      <c r="F56" s="22" t="s">
        <v>51</v>
      </c>
      <c r="G56" s="7">
        <v>1000</v>
      </c>
      <c r="H56" s="12">
        <v>190</v>
      </c>
      <c r="I56" s="7"/>
      <c r="J56" s="7"/>
      <c r="K56" s="7"/>
      <c r="L56" s="7"/>
      <c r="M56" s="7"/>
      <c r="N56" s="7"/>
      <c r="O56" s="7"/>
      <c r="P56" s="7"/>
      <c r="Q56" s="7">
        <v>1000</v>
      </c>
      <c r="S56" s="1"/>
    </row>
    <row r="57" spans="3:19" ht="15.75" customHeight="1" x14ac:dyDescent="0.25">
      <c r="C57" s="10">
        <v>38</v>
      </c>
      <c r="D57" s="11">
        <v>45342</v>
      </c>
      <c r="E57" s="10">
        <v>677</v>
      </c>
      <c r="F57" s="22" t="s">
        <v>157</v>
      </c>
      <c r="G57" s="7">
        <v>250</v>
      </c>
      <c r="H57" s="12">
        <v>184</v>
      </c>
      <c r="I57" s="7"/>
      <c r="J57" s="7"/>
      <c r="K57" s="7"/>
      <c r="L57" s="7"/>
      <c r="M57" s="7"/>
      <c r="N57" s="7"/>
      <c r="O57" s="7">
        <v>250</v>
      </c>
      <c r="P57" s="7"/>
      <c r="Q57" s="7"/>
      <c r="S57" s="1"/>
    </row>
    <row r="58" spans="3:19" ht="15.75" customHeight="1" x14ac:dyDescent="0.25">
      <c r="C58" s="10">
        <v>39</v>
      </c>
      <c r="D58" s="11">
        <v>45341</v>
      </c>
      <c r="E58" s="10" t="s">
        <v>470</v>
      </c>
      <c r="F58" s="22" t="s">
        <v>190</v>
      </c>
      <c r="G58" s="7">
        <v>625</v>
      </c>
      <c r="H58" s="12">
        <v>153</v>
      </c>
      <c r="I58" s="7"/>
      <c r="J58" s="7"/>
      <c r="K58" s="7"/>
      <c r="L58" s="7"/>
      <c r="M58" s="7">
        <v>625</v>
      </c>
      <c r="N58" s="7"/>
      <c r="O58" s="7"/>
      <c r="P58" s="7"/>
      <c r="Q58" s="7"/>
      <c r="S58" s="1"/>
    </row>
    <row r="59" spans="3:19" ht="15.75" customHeight="1" x14ac:dyDescent="0.25">
      <c r="C59" s="10">
        <v>40</v>
      </c>
      <c r="D59" s="11">
        <v>45341</v>
      </c>
      <c r="E59" s="10" t="s">
        <v>471</v>
      </c>
      <c r="F59" s="22" t="s">
        <v>49</v>
      </c>
      <c r="G59" s="7">
        <v>1000</v>
      </c>
      <c r="H59" s="12">
        <v>153</v>
      </c>
      <c r="I59" s="7"/>
      <c r="J59" s="7"/>
      <c r="K59" s="7"/>
      <c r="L59" s="7"/>
      <c r="M59" s="7">
        <v>1000</v>
      </c>
      <c r="N59" s="7"/>
      <c r="O59" s="7"/>
      <c r="P59" s="7"/>
      <c r="Q59" s="7"/>
      <c r="S59" s="1"/>
    </row>
    <row r="60" spans="3:19" ht="15.75" customHeight="1" x14ac:dyDescent="0.25">
      <c r="C60" s="10">
        <v>41</v>
      </c>
      <c r="D60" s="11">
        <v>45342</v>
      </c>
      <c r="E60" s="10" t="s">
        <v>472</v>
      </c>
      <c r="F60" s="22" t="s">
        <v>112</v>
      </c>
      <c r="G60" s="7">
        <v>2000</v>
      </c>
      <c r="H60" s="31">
        <v>182</v>
      </c>
      <c r="I60" s="7"/>
      <c r="J60" s="7"/>
      <c r="K60" s="7"/>
      <c r="L60" s="7"/>
      <c r="M60" s="7"/>
      <c r="N60" s="7"/>
      <c r="O60" s="7"/>
      <c r="P60" s="7"/>
      <c r="Q60" s="7">
        <v>2000</v>
      </c>
      <c r="S60" s="1"/>
    </row>
    <row r="61" spans="3:19" ht="15.75" customHeight="1" x14ac:dyDescent="0.25">
      <c r="C61" s="10">
        <v>42</v>
      </c>
      <c r="D61" s="11">
        <v>45342</v>
      </c>
      <c r="E61" s="10" t="s">
        <v>473</v>
      </c>
      <c r="F61" s="22" t="s">
        <v>268</v>
      </c>
      <c r="G61" s="7">
        <v>500</v>
      </c>
      <c r="H61" s="12">
        <v>170</v>
      </c>
      <c r="I61" s="7"/>
      <c r="J61" s="7"/>
      <c r="K61" s="7"/>
      <c r="L61" s="7"/>
      <c r="M61" s="7"/>
      <c r="N61" s="7">
        <v>500</v>
      </c>
      <c r="O61" s="7"/>
      <c r="P61" s="7"/>
      <c r="Q61" s="7"/>
      <c r="S61" s="1"/>
    </row>
    <row r="62" spans="3:19" ht="15.75" customHeight="1" x14ac:dyDescent="0.25">
      <c r="C62" s="10">
        <v>43</v>
      </c>
      <c r="D62" s="11">
        <v>45342</v>
      </c>
      <c r="E62" s="10" t="s">
        <v>474</v>
      </c>
      <c r="F62" s="22" t="s">
        <v>71</v>
      </c>
      <c r="G62" s="7">
        <v>600</v>
      </c>
      <c r="H62" s="12">
        <v>154</v>
      </c>
      <c r="I62" s="7"/>
      <c r="J62" s="7"/>
      <c r="K62" s="7"/>
      <c r="L62" s="7"/>
      <c r="M62" s="7">
        <v>600</v>
      </c>
      <c r="N62" s="7"/>
      <c r="O62" s="7"/>
      <c r="P62" s="7"/>
      <c r="Q62" s="7"/>
      <c r="S62" s="1"/>
    </row>
    <row r="63" spans="3:19" ht="15.75" customHeight="1" x14ac:dyDescent="0.25">
      <c r="C63" s="10">
        <v>44</v>
      </c>
      <c r="D63" s="11">
        <v>45342</v>
      </c>
      <c r="E63" s="10" t="s">
        <v>475</v>
      </c>
      <c r="F63" s="22" t="s">
        <v>284</v>
      </c>
      <c r="G63" s="7">
        <v>1000</v>
      </c>
      <c r="H63" s="12">
        <v>147</v>
      </c>
      <c r="I63" s="7"/>
      <c r="J63" s="7"/>
      <c r="K63" s="7"/>
      <c r="L63" s="7"/>
      <c r="M63" s="7">
        <v>1000</v>
      </c>
      <c r="N63" s="7"/>
      <c r="O63" s="7"/>
      <c r="P63" s="7"/>
      <c r="Q63" s="7"/>
      <c r="S63" s="1"/>
    </row>
    <row r="64" spans="3:19" ht="15.75" customHeight="1" x14ac:dyDescent="0.25">
      <c r="C64" s="10">
        <v>45</v>
      </c>
      <c r="D64" s="11">
        <v>45343</v>
      </c>
      <c r="E64" s="10">
        <v>679</v>
      </c>
      <c r="F64" s="22" t="s">
        <v>391</v>
      </c>
      <c r="G64" s="7">
        <v>4000</v>
      </c>
      <c r="H64" s="12">
        <v>115</v>
      </c>
      <c r="I64" s="7">
        <v>4000</v>
      </c>
      <c r="J64" s="7"/>
      <c r="K64" s="7"/>
      <c r="L64" s="7"/>
      <c r="M64" s="7"/>
      <c r="N64" s="7"/>
      <c r="O64" s="7"/>
      <c r="P64" s="7"/>
      <c r="Q64" s="7"/>
      <c r="S64" s="1"/>
    </row>
    <row r="65" spans="3:19" ht="15.75" customHeight="1" x14ac:dyDescent="0.25">
      <c r="C65" s="10">
        <v>46</v>
      </c>
      <c r="D65" s="11">
        <v>45344</v>
      </c>
      <c r="E65" s="10">
        <v>680</v>
      </c>
      <c r="F65" s="22" t="s">
        <v>476</v>
      </c>
      <c r="G65" s="7">
        <v>18000</v>
      </c>
      <c r="H65" s="12">
        <v>110</v>
      </c>
      <c r="I65" s="7">
        <v>18000</v>
      </c>
      <c r="J65" s="7"/>
      <c r="K65" s="7"/>
      <c r="L65" s="7"/>
      <c r="M65" s="7"/>
      <c r="N65" s="7"/>
      <c r="O65" s="7"/>
      <c r="P65" s="7"/>
      <c r="Q65" s="7"/>
      <c r="S65" s="1"/>
    </row>
    <row r="66" spans="3:19" ht="15.75" customHeight="1" x14ac:dyDescent="0.25">
      <c r="C66" s="10">
        <v>47</v>
      </c>
      <c r="D66" s="11">
        <v>45346</v>
      </c>
      <c r="E66" s="10" t="s">
        <v>477</v>
      </c>
      <c r="F66" s="22" t="s">
        <v>478</v>
      </c>
      <c r="G66" s="7">
        <v>500</v>
      </c>
      <c r="H66" s="12">
        <v>167.5</v>
      </c>
      <c r="I66" s="7"/>
      <c r="J66" s="7"/>
      <c r="K66" s="7">
        <v>500</v>
      </c>
      <c r="L66" s="7"/>
      <c r="M66" s="7"/>
      <c r="N66" s="7"/>
      <c r="O66" s="7"/>
      <c r="P66" s="7"/>
      <c r="Q66" s="7"/>
      <c r="S66" s="1"/>
    </row>
    <row r="67" spans="3:19" ht="15.75" customHeight="1" x14ac:dyDescent="0.25">
      <c r="C67" s="10">
        <v>48</v>
      </c>
      <c r="D67" s="11">
        <v>45350</v>
      </c>
      <c r="E67" s="10" t="s">
        <v>479</v>
      </c>
      <c r="F67" s="22" t="s">
        <v>268</v>
      </c>
      <c r="G67" s="7">
        <v>1000</v>
      </c>
      <c r="H67" s="12">
        <v>170</v>
      </c>
      <c r="I67" s="7"/>
      <c r="J67" s="7"/>
      <c r="K67" s="7"/>
      <c r="L67" s="7"/>
      <c r="M67" s="7"/>
      <c r="N67" s="7">
        <v>1000</v>
      </c>
      <c r="O67" s="7"/>
      <c r="P67" s="7"/>
      <c r="Q67" s="7"/>
      <c r="S67" s="1"/>
    </row>
    <row r="68" spans="3:19" ht="15.75" customHeight="1" x14ac:dyDescent="0.25">
      <c r="C68" s="10">
        <v>49</v>
      </c>
      <c r="D68" s="11">
        <v>45348</v>
      </c>
      <c r="E68" s="10">
        <v>681</v>
      </c>
      <c r="F68" s="22" t="s">
        <v>37</v>
      </c>
      <c r="G68" s="7">
        <v>1000</v>
      </c>
      <c r="H68" s="12">
        <v>125</v>
      </c>
      <c r="I68" s="7">
        <v>1000</v>
      </c>
      <c r="J68" s="7"/>
      <c r="K68" s="7"/>
      <c r="L68" s="7"/>
      <c r="M68" s="7"/>
      <c r="N68" s="7"/>
      <c r="O68" s="7"/>
      <c r="P68" s="7"/>
      <c r="Q68" s="7"/>
      <c r="S68" s="1"/>
    </row>
    <row r="69" spans="3:19" ht="15.75" customHeight="1" x14ac:dyDescent="0.25">
      <c r="C69" s="10">
        <v>50</v>
      </c>
      <c r="D69" s="11">
        <v>45348</v>
      </c>
      <c r="E69" s="10">
        <v>682</v>
      </c>
      <c r="F69" s="22" t="s">
        <v>333</v>
      </c>
      <c r="G69" s="7">
        <v>20</v>
      </c>
      <c r="H69" s="12">
        <v>115</v>
      </c>
      <c r="I69" s="7">
        <v>20</v>
      </c>
      <c r="J69" s="7"/>
      <c r="K69" s="7"/>
      <c r="L69" s="7"/>
      <c r="M69" s="7"/>
      <c r="N69" s="7"/>
      <c r="O69" s="7"/>
      <c r="P69" s="7"/>
      <c r="Q69" s="7"/>
      <c r="S69" s="1"/>
    </row>
    <row r="70" spans="3:19" ht="15.75" customHeight="1" x14ac:dyDescent="0.25">
      <c r="C70" s="10">
        <v>51</v>
      </c>
      <c r="D70" s="11">
        <v>45348</v>
      </c>
      <c r="E70" s="10">
        <v>683</v>
      </c>
      <c r="F70" s="22" t="s">
        <v>24</v>
      </c>
      <c r="G70" s="7">
        <v>200</v>
      </c>
      <c r="H70" s="12">
        <v>157</v>
      </c>
      <c r="I70" s="7"/>
      <c r="J70" s="7"/>
      <c r="K70" s="7"/>
      <c r="L70" s="7"/>
      <c r="M70" s="7">
        <v>200</v>
      </c>
      <c r="N70" s="7"/>
      <c r="O70" s="7"/>
      <c r="P70" s="7"/>
      <c r="Q70" s="7"/>
      <c r="S70" s="1"/>
    </row>
    <row r="71" spans="3:19" ht="15.75" customHeight="1" x14ac:dyDescent="0.25">
      <c r="C71" s="10">
        <v>52</v>
      </c>
      <c r="D71" s="11">
        <v>45349</v>
      </c>
      <c r="E71" s="10">
        <v>684</v>
      </c>
      <c r="F71" s="22" t="s">
        <v>269</v>
      </c>
      <c r="G71" s="7">
        <v>100</v>
      </c>
      <c r="H71" s="31">
        <v>112</v>
      </c>
      <c r="I71" s="7">
        <v>100</v>
      </c>
      <c r="J71" s="7"/>
      <c r="K71" s="7"/>
      <c r="L71" s="7"/>
      <c r="M71" s="7"/>
      <c r="N71" s="7"/>
      <c r="O71" s="7"/>
      <c r="P71" s="7"/>
      <c r="Q71" s="7"/>
      <c r="S71" s="1"/>
    </row>
    <row r="72" spans="3:19" ht="15.75" customHeight="1" x14ac:dyDescent="0.25">
      <c r="C72" s="10">
        <v>53</v>
      </c>
      <c r="D72" s="11">
        <v>45351</v>
      </c>
      <c r="E72" s="10">
        <v>686</v>
      </c>
      <c r="F72" s="22" t="s">
        <v>48</v>
      </c>
      <c r="G72" s="7">
        <v>500</v>
      </c>
      <c r="H72" s="12">
        <v>117</v>
      </c>
      <c r="I72" s="7">
        <v>500</v>
      </c>
      <c r="J72" s="7"/>
      <c r="K72" s="7"/>
      <c r="L72" s="7"/>
      <c r="M72" s="7"/>
      <c r="N72" s="7"/>
      <c r="O72" s="7"/>
      <c r="P72" s="7"/>
      <c r="Q72" s="7"/>
      <c r="S72" s="1"/>
    </row>
    <row r="73" spans="3:19" ht="15.75" customHeight="1" x14ac:dyDescent="0.25">
      <c r="C73" s="10">
        <v>54</v>
      </c>
      <c r="D73" s="11">
        <v>45351</v>
      </c>
      <c r="E73" s="10" t="s">
        <v>480</v>
      </c>
      <c r="F73" s="22" t="s">
        <v>32</v>
      </c>
      <c r="G73" s="7">
        <v>500</v>
      </c>
      <c r="H73" s="12">
        <v>169</v>
      </c>
      <c r="I73" s="7"/>
      <c r="J73" s="7"/>
      <c r="K73" s="7"/>
      <c r="L73" s="7"/>
      <c r="M73" s="7"/>
      <c r="N73" s="7">
        <v>500</v>
      </c>
      <c r="O73" s="7"/>
      <c r="P73" s="7"/>
      <c r="Q73" s="7"/>
      <c r="S73" s="1"/>
    </row>
    <row r="74" spans="3:19" ht="15.75" customHeight="1" x14ac:dyDescent="0.25">
      <c r="C74" s="10">
        <v>55</v>
      </c>
      <c r="D74" s="11"/>
      <c r="E74" s="10"/>
      <c r="F74" s="22" t="s">
        <v>71</v>
      </c>
      <c r="G74" s="7">
        <v>25</v>
      </c>
      <c r="H74" s="12">
        <v>162</v>
      </c>
      <c r="I74" s="7"/>
      <c r="J74" s="7"/>
      <c r="K74" s="7"/>
      <c r="L74" s="7"/>
      <c r="M74" s="7"/>
      <c r="N74" s="7"/>
      <c r="O74" s="7"/>
      <c r="P74" s="7"/>
      <c r="Q74" s="7"/>
      <c r="S74" s="1"/>
    </row>
    <row r="75" spans="3:19" ht="15.75" customHeight="1" x14ac:dyDescent="0.25">
      <c r="C75" s="10">
        <v>56</v>
      </c>
      <c r="D75" s="11"/>
      <c r="E75" s="10"/>
      <c r="F75" s="22" t="s">
        <v>284</v>
      </c>
      <c r="G75" s="7">
        <v>1200</v>
      </c>
      <c r="H75" s="12" t="s">
        <v>416</v>
      </c>
      <c r="I75" s="7"/>
      <c r="J75" s="7"/>
      <c r="K75" s="7"/>
      <c r="L75" s="7"/>
      <c r="M75" s="7"/>
      <c r="N75" s="7"/>
      <c r="O75" s="7"/>
      <c r="P75" s="7"/>
      <c r="Q75" s="7"/>
      <c r="S75" s="1"/>
    </row>
    <row r="76" spans="3:19" ht="15.75" customHeight="1" x14ac:dyDescent="0.25">
      <c r="C76" s="10">
        <v>57</v>
      </c>
      <c r="D76" s="11"/>
      <c r="E76" s="10"/>
      <c r="F76" s="22" t="s">
        <v>71</v>
      </c>
      <c r="G76" s="7">
        <v>500</v>
      </c>
      <c r="H76" s="12">
        <v>162</v>
      </c>
      <c r="I76" s="7"/>
      <c r="J76" s="7"/>
      <c r="K76" s="7"/>
      <c r="L76" s="7"/>
      <c r="M76" s="7"/>
      <c r="N76" s="7"/>
      <c r="O76" s="7"/>
      <c r="P76" s="7"/>
      <c r="Q76" s="7"/>
      <c r="S76" s="1"/>
    </row>
    <row r="77" spans="3:19" ht="15.75" customHeight="1" x14ac:dyDescent="0.25">
      <c r="C77" s="10">
        <v>58</v>
      </c>
      <c r="D77" s="11"/>
      <c r="E77" s="10"/>
      <c r="F77" s="22" t="s">
        <v>51</v>
      </c>
      <c r="G77" s="7">
        <v>5000</v>
      </c>
      <c r="H77" s="12">
        <v>170</v>
      </c>
      <c r="I77" s="7"/>
      <c r="J77" s="7"/>
      <c r="K77" s="7"/>
      <c r="L77" s="7"/>
      <c r="M77" s="7"/>
      <c r="N77" s="7"/>
      <c r="O77" s="7"/>
      <c r="P77" s="7"/>
      <c r="Q77" s="7"/>
      <c r="S77" s="1"/>
    </row>
    <row r="78" spans="3:19" ht="15.75" customHeight="1" x14ac:dyDescent="0.25">
      <c r="C78" s="10">
        <v>59</v>
      </c>
      <c r="D78" s="11"/>
      <c r="E78" s="10"/>
      <c r="F78" s="22" t="s">
        <v>362</v>
      </c>
      <c r="G78" s="7">
        <v>1000</v>
      </c>
      <c r="H78" s="12">
        <v>156</v>
      </c>
      <c r="I78" s="7"/>
      <c r="J78" s="7"/>
      <c r="K78" s="7"/>
      <c r="L78" s="7"/>
      <c r="M78" s="7"/>
      <c r="N78" s="7"/>
      <c r="O78" s="7"/>
      <c r="P78" s="7"/>
      <c r="Q78" s="7"/>
      <c r="S78" s="1"/>
    </row>
    <row r="79" spans="3:19" ht="15.75" customHeight="1" x14ac:dyDescent="0.25">
      <c r="C79" s="10">
        <v>60</v>
      </c>
      <c r="D79" s="11"/>
      <c r="E79" s="10"/>
      <c r="F79" s="22" t="s">
        <v>193</v>
      </c>
      <c r="G79" s="7">
        <v>2000</v>
      </c>
      <c r="H79" s="12">
        <v>119</v>
      </c>
      <c r="I79" s="7"/>
      <c r="J79" s="7"/>
      <c r="K79" s="7"/>
      <c r="L79" s="7"/>
      <c r="M79" s="7"/>
      <c r="N79" s="7"/>
      <c r="O79" s="7"/>
      <c r="P79" s="7"/>
      <c r="Q79" s="7"/>
      <c r="S79" s="1"/>
    </row>
    <row r="80" spans="3:19" ht="15.75" customHeight="1" x14ac:dyDescent="0.25">
      <c r="C80" s="10">
        <v>61</v>
      </c>
      <c r="D80" s="11"/>
      <c r="E80" s="10"/>
      <c r="F80" s="22" t="s">
        <v>90</v>
      </c>
      <c r="G80" s="7">
        <v>4500</v>
      </c>
      <c r="H80" s="12">
        <v>113</v>
      </c>
      <c r="I80" s="7"/>
      <c r="J80" s="7"/>
      <c r="K80" s="7"/>
      <c r="L80" s="7"/>
      <c r="M80" s="7"/>
      <c r="N80" s="7"/>
      <c r="O80" s="7"/>
      <c r="P80" s="7"/>
      <c r="Q80" s="7"/>
      <c r="S80" s="1"/>
    </row>
    <row r="81" spans="3:19" ht="15.75" customHeight="1" x14ac:dyDescent="0.25">
      <c r="C81" s="10">
        <v>62</v>
      </c>
      <c r="D81" s="11"/>
      <c r="E81" s="10"/>
      <c r="F81" s="22" t="s">
        <v>394</v>
      </c>
      <c r="G81" s="7">
        <v>10000</v>
      </c>
      <c r="H81" s="12">
        <v>104</v>
      </c>
      <c r="I81" s="7"/>
      <c r="J81" s="7"/>
      <c r="K81" s="7"/>
      <c r="L81" s="7"/>
      <c r="M81" s="7"/>
      <c r="N81" s="7"/>
      <c r="O81" s="7"/>
      <c r="P81" s="7"/>
      <c r="Q81" s="7"/>
      <c r="S81" s="1"/>
    </row>
    <row r="82" spans="3:19" ht="15.75" customHeight="1" x14ac:dyDescent="0.25">
      <c r="C82" s="10">
        <v>63</v>
      </c>
      <c r="D82" s="11"/>
      <c r="E82" s="10"/>
      <c r="F82" s="22" t="s">
        <v>30</v>
      </c>
      <c r="G82" s="7">
        <v>300</v>
      </c>
      <c r="H82" s="12" t="s">
        <v>417</v>
      </c>
      <c r="I82" s="7"/>
      <c r="J82" s="7"/>
      <c r="K82" s="7"/>
      <c r="L82" s="7"/>
      <c r="M82" s="7"/>
      <c r="N82" s="7"/>
      <c r="O82" s="7"/>
      <c r="P82" s="7"/>
      <c r="Q82" s="7"/>
    </row>
    <row r="83" spans="3:19" ht="15.75" customHeight="1" x14ac:dyDescent="0.25">
      <c r="C83" s="10">
        <v>64</v>
      </c>
      <c r="D83" s="11"/>
      <c r="E83" s="10"/>
      <c r="F83" s="22" t="s">
        <v>80</v>
      </c>
      <c r="G83" s="7">
        <v>250</v>
      </c>
      <c r="H83" s="12">
        <v>144</v>
      </c>
      <c r="I83" s="7"/>
      <c r="J83" s="7"/>
      <c r="K83" s="7"/>
      <c r="L83" s="7"/>
      <c r="M83" s="7"/>
      <c r="N83" s="7"/>
      <c r="O83" s="7"/>
      <c r="P83" s="7"/>
      <c r="Q83" s="7"/>
    </row>
    <row r="84" spans="3:19" ht="15.75" customHeight="1" x14ac:dyDescent="0.25">
      <c r="C84" s="10">
        <v>65</v>
      </c>
      <c r="D84" s="11"/>
      <c r="E84" s="10"/>
      <c r="F84" s="22" t="s">
        <v>139</v>
      </c>
      <c r="G84" s="7">
        <v>1000</v>
      </c>
      <c r="H84" s="12">
        <v>117</v>
      </c>
      <c r="I84" s="7"/>
      <c r="J84" s="7"/>
      <c r="K84" s="7"/>
      <c r="L84" s="7"/>
      <c r="M84" s="7"/>
      <c r="N84" s="7"/>
      <c r="O84" s="7"/>
      <c r="P84" s="7"/>
      <c r="Q84" s="7"/>
    </row>
    <row r="85" spans="3:19" ht="15.75" customHeight="1" x14ac:dyDescent="0.25">
      <c r="C85" s="10">
        <v>66</v>
      </c>
      <c r="D85" s="11"/>
      <c r="E85" s="10"/>
      <c r="F85" s="22" t="s">
        <v>255</v>
      </c>
      <c r="G85" s="7">
        <v>800</v>
      </c>
      <c r="H85" s="12" t="s">
        <v>419</v>
      </c>
      <c r="I85" s="7"/>
      <c r="J85" s="7"/>
      <c r="K85" s="7"/>
      <c r="L85" s="7"/>
      <c r="M85" s="7"/>
      <c r="N85" s="7"/>
      <c r="O85" s="7"/>
      <c r="P85" s="7"/>
      <c r="Q85" s="7"/>
    </row>
    <row r="86" spans="3:19" ht="15.75" customHeight="1" x14ac:dyDescent="0.25">
      <c r="C86" s="10">
        <v>67</v>
      </c>
      <c r="D86" s="11"/>
      <c r="E86" s="10"/>
      <c r="F86" s="22" t="s">
        <v>269</v>
      </c>
      <c r="G86" s="7">
        <v>450</v>
      </c>
      <c r="H86" s="12" t="s">
        <v>421</v>
      </c>
      <c r="I86" s="7"/>
      <c r="J86" s="7"/>
      <c r="K86" s="7"/>
      <c r="L86" s="7"/>
      <c r="M86" s="7"/>
      <c r="N86" s="7"/>
      <c r="O86" s="7"/>
      <c r="P86" s="7"/>
      <c r="Q86" s="7"/>
    </row>
    <row r="87" spans="3:19" ht="15.75" customHeight="1" x14ac:dyDescent="0.25">
      <c r="C87" s="10">
        <v>68</v>
      </c>
      <c r="D87" s="11"/>
      <c r="E87" s="10"/>
      <c r="F87" s="22" t="s">
        <v>37</v>
      </c>
      <c r="G87" s="7">
        <v>597</v>
      </c>
      <c r="H87" s="12">
        <v>125</v>
      </c>
      <c r="I87" s="7"/>
      <c r="J87" s="7"/>
      <c r="K87" s="7"/>
      <c r="L87" s="7"/>
      <c r="M87" s="7"/>
      <c r="N87" s="7"/>
      <c r="O87" s="7"/>
      <c r="P87" s="7"/>
      <c r="Q87" s="7"/>
    </row>
    <row r="88" spans="3:19" ht="15.75" customHeight="1" x14ac:dyDescent="0.25">
      <c r="C88" s="10">
        <v>69</v>
      </c>
      <c r="D88" s="11"/>
      <c r="E88" s="10"/>
      <c r="F88" s="22" t="s">
        <v>112</v>
      </c>
      <c r="G88" s="7">
        <v>8000</v>
      </c>
      <c r="H88" s="12" t="s">
        <v>324</v>
      </c>
      <c r="I88" s="7"/>
      <c r="J88" s="7"/>
      <c r="K88" s="7"/>
      <c r="L88" s="7"/>
      <c r="M88" s="7"/>
      <c r="N88" s="7"/>
      <c r="O88" s="7"/>
      <c r="P88" s="7"/>
      <c r="Q88" s="7"/>
    </row>
    <row r="89" spans="3:19" ht="15.75" customHeight="1" x14ac:dyDescent="0.25">
      <c r="C89" s="10">
        <v>70</v>
      </c>
      <c r="D89" s="11"/>
      <c r="E89" s="10"/>
      <c r="F89" s="22" t="s">
        <v>325</v>
      </c>
      <c r="G89" s="7">
        <v>500</v>
      </c>
      <c r="H89" s="12">
        <v>209</v>
      </c>
      <c r="I89" s="7"/>
      <c r="J89" s="7"/>
      <c r="K89" s="7"/>
      <c r="L89" s="7"/>
      <c r="M89" s="7"/>
      <c r="N89" s="7"/>
      <c r="O89" s="7"/>
      <c r="P89" s="7"/>
      <c r="Q89" s="7"/>
    </row>
    <row r="90" spans="3:19" ht="15.75" customHeight="1" x14ac:dyDescent="0.25">
      <c r="C90" s="10">
        <v>71</v>
      </c>
      <c r="D90" s="11"/>
      <c r="E90" s="10"/>
      <c r="F90" s="22" t="s">
        <v>284</v>
      </c>
      <c r="G90" s="7">
        <v>520</v>
      </c>
      <c r="H90" s="12" t="s">
        <v>326</v>
      </c>
      <c r="I90" s="7"/>
      <c r="J90" s="7"/>
      <c r="K90" s="7"/>
      <c r="L90" s="7"/>
      <c r="M90" s="7"/>
      <c r="N90" s="7"/>
      <c r="O90" s="7"/>
      <c r="P90" s="7"/>
      <c r="Q90" s="14"/>
    </row>
    <row r="91" spans="3:19" ht="15.75" customHeight="1" x14ac:dyDescent="0.25">
      <c r="C91" s="10">
        <v>72</v>
      </c>
      <c r="D91" s="11"/>
      <c r="E91" s="10"/>
      <c r="F91" s="22" t="s">
        <v>43</v>
      </c>
      <c r="G91" s="7">
        <v>1000</v>
      </c>
      <c r="H91" s="12">
        <v>162</v>
      </c>
      <c r="I91" s="7"/>
      <c r="J91" s="7"/>
      <c r="K91" s="7"/>
      <c r="L91" s="7"/>
      <c r="M91" s="7"/>
      <c r="N91" s="7"/>
      <c r="O91" s="7"/>
      <c r="P91" s="7"/>
      <c r="Q91" s="7"/>
    </row>
    <row r="92" spans="3:19" ht="15.75" customHeight="1" x14ac:dyDescent="0.25">
      <c r="C92" s="10">
        <v>73</v>
      </c>
      <c r="D92" s="11"/>
      <c r="E92" s="10"/>
      <c r="F92" s="22" t="s">
        <v>268</v>
      </c>
      <c r="G92" s="7">
        <v>500</v>
      </c>
      <c r="H92" s="12">
        <v>200</v>
      </c>
      <c r="I92" s="7"/>
      <c r="J92" s="7"/>
      <c r="K92" s="7"/>
      <c r="L92" s="7"/>
      <c r="M92" s="7"/>
      <c r="N92" s="7"/>
      <c r="O92" s="7"/>
      <c r="P92" s="7"/>
      <c r="Q92" s="7"/>
    </row>
    <row r="93" spans="3:19" ht="15.75" customHeight="1" x14ac:dyDescent="0.25">
      <c r="C93" s="10">
        <v>74</v>
      </c>
      <c r="D93" s="11"/>
      <c r="E93" s="10"/>
      <c r="F93" s="22" t="s">
        <v>30</v>
      </c>
      <c r="G93" s="7">
        <v>300</v>
      </c>
      <c r="H93" s="12" t="s">
        <v>329</v>
      </c>
      <c r="I93" s="7"/>
      <c r="J93" s="7"/>
      <c r="K93" s="7"/>
      <c r="L93" s="7"/>
      <c r="M93" s="7"/>
      <c r="N93" s="7"/>
      <c r="O93" s="7"/>
      <c r="P93" s="7"/>
      <c r="Q93" s="7"/>
    </row>
    <row r="94" spans="3:19" ht="15.75" customHeight="1" x14ac:dyDescent="0.25">
      <c r="C94" s="10">
        <v>75</v>
      </c>
      <c r="D94" s="11"/>
      <c r="E94" s="10"/>
      <c r="F94" s="22" t="s">
        <v>190</v>
      </c>
      <c r="G94" s="7">
        <v>1100</v>
      </c>
      <c r="H94" s="12" t="s">
        <v>330</v>
      </c>
      <c r="I94" s="7"/>
      <c r="J94" s="7"/>
      <c r="K94" s="7"/>
      <c r="L94" s="7"/>
      <c r="M94" s="7"/>
      <c r="N94" s="7"/>
      <c r="O94" s="7"/>
      <c r="P94" s="7"/>
      <c r="Q94" s="7"/>
    </row>
    <row r="95" spans="3:19" ht="15.75" customHeight="1" x14ac:dyDescent="0.25">
      <c r="C95" s="10">
        <v>76</v>
      </c>
      <c r="D95" s="11"/>
      <c r="E95" s="10"/>
      <c r="F95" s="22" t="s">
        <v>331</v>
      </c>
      <c r="G95" s="7">
        <v>40</v>
      </c>
      <c r="H95" s="12">
        <v>195</v>
      </c>
      <c r="I95" s="7"/>
      <c r="J95" s="7"/>
      <c r="K95" s="7"/>
      <c r="L95" s="7"/>
      <c r="M95" s="7"/>
      <c r="N95" s="7"/>
      <c r="O95" s="7"/>
      <c r="P95" s="7"/>
      <c r="Q95" s="7"/>
    </row>
    <row r="96" spans="3:19" ht="15.75" customHeight="1" x14ac:dyDescent="0.25">
      <c r="C96" s="10">
        <v>77</v>
      </c>
      <c r="D96" s="11"/>
      <c r="E96" s="10"/>
      <c r="F96" s="22" t="s">
        <v>69</v>
      </c>
      <c r="G96" s="7">
        <v>340</v>
      </c>
      <c r="H96" s="12">
        <v>205</v>
      </c>
      <c r="I96" s="7"/>
      <c r="J96" s="7"/>
      <c r="K96" s="7"/>
      <c r="L96" s="7"/>
      <c r="M96" s="7"/>
      <c r="N96" s="7"/>
      <c r="O96" s="7"/>
      <c r="P96" s="7"/>
      <c r="Q96" s="7"/>
    </row>
    <row r="97" spans="3:17" ht="15.75" customHeight="1" x14ac:dyDescent="0.25">
      <c r="C97" s="10">
        <v>78</v>
      </c>
      <c r="D97" s="11"/>
      <c r="E97" s="10"/>
      <c r="F97" s="22" t="s">
        <v>52</v>
      </c>
      <c r="G97" s="7">
        <v>4000</v>
      </c>
      <c r="H97" s="12" t="s">
        <v>332</v>
      </c>
      <c r="I97" s="7"/>
      <c r="J97" s="7"/>
      <c r="K97" s="7"/>
      <c r="L97" s="7"/>
      <c r="M97" s="7"/>
      <c r="N97" s="7"/>
      <c r="O97" s="7"/>
      <c r="P97" s="7"/>
      <c r="Q97" s="7"/>
    </row>
    <row r="98" spans="3:17" ht="15.75" customHeight="1" x14ac:dyDescent="0.25">
      <c r="C98" s="10">
        <v>79</v>
      </c>
      <c r="D98" s="11"/>
      <c r="E98" s="10"/>
      <c r="F98" s="22" t="s">
        <v>37</v>
      </c>
      <c r="G98" s="7">
        <v>500</v>
      </c>
      <c r="H98" s="12">
        <v>125</v>
      </c>
      <c r="I98" s="7"/>
      <c r="J98" s="7"/>
      <c r="K98" s="7"/>
      <c r="L98" s="7"/>
      <c r="M98" s="7"/>
      <c r="N98" s="7"/>
      <c r="O98" s="7"/>
      <c r="P98" s="7"/>
      <c r="Q98" s="7"/>
    </row>
    <row r="99" spans="3:17" ht="15.75" customHeight="1" x14ac:dyDescent="0.25">
      <c r="C99" s="10">
        <v>80</v>
      </c>
      <c r="D99" s="11"/>
      <c r="E99" s="10"/>
      <c r="F99" s="22" t="s">
        <v>220</v>
      </c>
      <c r="G99" s="7">
        <v>1000</v>
      </c>
      <c r="H99" s="12">
        <v>163</v>
      </c>
      <c r="I99" s="7"/>
      <c r="J99" s="7"/>
      <c r="K99" s="7"/>
      <c r="L99" s="7"/>
      <c r="M99" s="7"/>
      <c r="N99" s="7"/>
      <c r="O99" s="7"/>
      <c r="P99" s="7"/>
      <c r="Q99" s="7"/>
    </row>
    <row r="100" spans="3:17" ht="15.75" customHeight="1" x14ac:dyDescent="0.25">
      <c r="C100" s="10">
        <v>81</v>
      </c>
      <c r="D100" s="11"/>
      <c r="E100" s="10"/>
      <c r="F100" s="22" t="s">
        <v>333</v>
      </c>
      <c r="G100" s="7">
        <v>1000</v>
      </c>
      <c r="H100" s="12">
        <v>147</v>
      </c>
      <c r="I100" s="7"/>
      <c r="J100" s="7"/>
      <c r="K100" s="7"/>
      <c r="L100" s="7"/>
      <c r="M100" s="7"/>
      <c r="N100" s="7"/>
      <c r="O100" s="7"/>
      <c r="P100" s="7"/>
      <c r="Q100" s="7"/>
    </row>
    <row r="101" spans="3:17" ht="15.75" customHeight="1" x14ac:dyDescent="0.25">
      <c r="C101" s="13" t="s">
        <v>3</v>
      </c>
      <c r="D101" s="14"/>
      <c r="E101" s="13"/>
      <c r="F101" s="25"/>
      <c r="G101" s="14">
        <f>SUM(G21:G100)</f>
        <v>144117</v>
      </c>
      <c r="H101" s="14"/>
      <c r="I101" s="14">
        <f t="shared" ref="I101:Q101" si="6">SUM(I21:I100)</f>
        <v>33780</v>
      </c>
      <c r="J101" s="14">
        <f t="shared" si="6"/>
        <v>5575</v>
      </c>
      <c r="K101" s="14">
        <f t="shared" si="6"/>
        <v>5500</v>
      </c>
      <c r="L101" s="14">
        <f t="shared" si="6"/>
        <v>11460</v>
      </c>
      <c r="M101" s="14">
        <f t="shared" si="6"/>
        <v>13025</v>
      </c>
      <c r="N101" s="14">
        <f t="shared" si="6"/>
        <v>3300</v>
      </c>
      <c r="O101" s="14">
        <f t="shared" si="6"/>
        <v>3500</v>
      </c>
      <c r="P101" s="14">
        <f t="shared" si="6"/>
        <v>14975</v>
      </c>
      <c r="Q101" s="14">
        <f t="shared" si="6"/>
        <v>6980</v>
      </c>
    </row>
    <row r="102" spans="3:17" ht="15.75" customHeight="1" x14ac:dyDescent="0.25">
      <c r="C102" s="1"/>
      <c r="E102" s="1"/>
      <c r="F102" s="16"/>
    </row>
    <row r="103" spans="3:17" ht="15.75" customHeight="1" x14ac:dyDescent="0.25">
      <c r="C103" s="1"/>
      <c r="D103" s="1"/>
      <c r="E103" s="1"/>
      <c r="F103" s="16"/>
      <c r="I103" s="33">
        <f>SUM('Feb 24'!$I$101:'Feb 24'!$Q$101)</f>
        <v>98095</v>
      </c>
    </row>
    <row r="104" spans="3:17" ht="15.75" customHeight="1" x14ac:dyDescent="0.25">
      <c r="E104" s="1"/>
      <c r="F104" s="16"/>
    </row>
    <row r="105" spans="3:17" ht="15.75" customHeight="1" x14ac:dyDescent="0.25"/>
    <row r="106" spans="3:17" ht="15.75" customHeight="1" x14ac:dyDescent="0.25"/>
    <row r="107" spans="3:17" ht="15.75" customHeight="1" x14ac:dyDescent="0.25"/>
    <row r="108" spans="3:17" ht="15.75" customHeight="1" x14ac:dyDescent="0.25"/>
    <row r="109" spans="3:17" ht="15.75" customHeight="1" x14ac:dyDescent="0.25"/>
    <row r="110" spans="3:17" ht="15.75" customHeight="1" x14ac:dyDescent="0.25"/>
    <row r="111" spans="3:17" ht="15.75" customHeight="1" x14ac:dyDescent="0.25"/>
    <row r="112" spans="3:1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T35:V35"/>
    <mergeCell ref="T36:V36"/>
    <mergeCell ref="T37:V37"/>
    <mergeCell ref="C11:D11"/>
    <mergeCell ref="C18:E18"/>
    <mergeCell ref="T20:W20"/>
    <mergeCell ref="T21:V21"/>
    <mergeCell ref="T32:V32"/>
    <mergeCell ref="T33:V33"/>
    <mergeCell ref="T34:V34"/>
  </mergeCells>
  <pageMargins left="0.7" right="0.7" top="0.75" bottom="0.75" header="0" footer="0"/>
  <pageSetup orientation="portrait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4:W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8" customWidth="1"/>
    <col min="3" max="3" width="9.85546875" customWidth="1"/>
    <col min="4" max="4" width="13.140625" customWidth="1"/>
    <col min="5" max="5" width="10.42578125" customWidth="1"/>
    <col min="6" max="6" width="9.42578125" customWidth="1"/>
    <col min="7" max="7" width="8.7109375" customWidth="1"/>
    <col min="8" max="8" width="12.28515625" customWidth="1"/>
    <col min="9" max="14" width="8.7109375" customWidth="1"/>
    <col min="15" max="15" width="11.7109375" customWidth="1"/>
    <col min="16" max="16" width="11.42578125" customWidth="1"/>
    <col min="17" max="17" width="11.85546875" customWidth="1"/>
    <col min="18" max="20" width="8.7109375" customWidth="1"/>
    <col min="21" max="21" width="10.7109375" customWidth="1"/>
    <col min="22" max="26" width="8.7109375" customWidth="1"/>
  </cols>
  <sheetData>
    <row r="4" spans="3:17" ht="15.75" x14ac:dyDescent="0.25">
      <c r="C4" s="1"/>
      <c r="D4" s="2" t="s">
        <v>450</v>
      </c>
      <c r="E4" s="17"/>
      <c r="F4" s="18"/>
      <c r="G4" s="2"/>
      <c r="H4" s="2"/>
      <c r="I4" s="2"/>
      <c r="J4" s="2"/>
      <c r="K4" s="8"/>
      <c r="L4" s="2"/>
      <c r="M4" s="3"/>
      <c r="N4" s="3"/>
      <c r="O4" s="65" t="s">
        <v>88</v>
      </c>
      <c r="P4" s="60" t="s">
        <v>2</v>
      </c>
      <c r="Q4" s="66" t="s">
        <v>117</v>
      </c>
    </row>
    <row r="5" spans="3:17" ht="15.75" x14ac:dyDescent="0.25">
      <c r="C5" s="1"/>
      <c r="D5" s="67" t="s">
        <v>1</v>
      </c>
      <c r="E5" s="44" t="s">
        <v>2</v>
      </c>
      <c r="F5" s="45">
        <v>1799</v>
      </c>
      <c r="G5" s="46">
        <v>2699</v>
      </c>
      <c r="H5" s="46">
        <v>588</v>
      </c>
      <c r="I5" s="46">
        <v>2088</v>
      </c>
      <c r="J5" s="46">
        <v>2488</v>
      </c>
      <c r="K5" s="46">
        <v>2688</v>
      </c>
      <c r="L5" s="45">
        <v>3099</v>
      </c>
      <c r="M5" s="62" t="s">
        <v>295</v>
      </c>
      <c r="N5" s="45" t="s">
        <v>3</v>
      </c>
      <c r="O5" s="47"/>
      <c r="P5" s="42"/>
      <c r="Q5" s="42"/>
    </row>
    <row r="6" spans="3:17" ht="18.75" x14ac:dyDescent="0.3">
      <c r="C6" s="1"/>
      <c r="D6" s="6" t="s">
        <v>259</v>
      </c>
      <c r="E6" s="7">
        <v>185691</v>
      </c>
      <c r="F6" s="7">
        <v>0</v>
      </c>
      <c r="G6" s="7">
        <v>3925</v>
      </c>
      <c r="H6" s="7">
        <v>10120</v>
      </c>
      <c r="I6" s="7">
        <v>12975</v>
      </c>
      <c r="J6" s="7">
        <v>26985</v>
      </c>
      <c r="K6" s="7">
        <v>16550</v>
      </c>
      <c r="L6" s="7">
        <v>18425</v>
      </c>
      <c r="M6" s="7">
        <v>14400</v>
      </c>
      <c r="N6" s="7"/>
      <c r="O6" s="68">
        <f t="shared" ref="O6:O9" si="0">SUM(F6:M6)</f>
        <v>103380</v>
      </c>
      <c r="P6" s="69">
        <f t="shared" ref="P6:P9" si="1">E6</f>
        <v>185691</v>
      </c>
      <c r="Q6" s="70">
        <f t="shared" ref="Q6:Q7" si="2">O6+P6</f>
        <v>289071</v>
      </c>
    </row>
    <row r="7" spans="3:17" ht="18.75" x14ac:dyDescent="0.3">
      <c r="C7" s="1"/>
      <c r="D7" s="6" t="s">
        <v>365</v>
      </c>
      <c r="E7" s="7">
        <f>W32</f>
        <v>55474</v>
      </c>
      <c r="F7" s="7">
        <v>18000</v>
      </c>
      <c r="G7" s="7">
        <v>18000</v>
      </c>
      <c r="H7" s="7"/>
      <c r="I7" s="7"/>
      <c r="J7" s="7"/>
      <c r="K7" s="7"/>
      <c r="L7" s="7"/>
      <c r="M7" s="7"/>
      <c r="N7" s="7"/>
      <c r="O7" s="68">
        <f t="shared" si="0"/>
        <v>36000</v>
      </c>
      <c r="P7" s="69">
        <f t="shared" si="1"/>
        <v>55474</v>
      </c>
      <c r="Q7" s="70">
        <f t="shared" si="2"/>
        <v>91474</v>
      </c>
    </row>
    <row r="8" spans="3:17" ht="21" x14ac:dyDescent="0.35">
      <c r="C8" s="1"/>
      <c r="D8" s="71" t="s">
        <v>481</v>
      </c>
      <c r="E8" s="48">
        <f>'Mar 24'!$I$101</f>
        <v>37620</v>
      </c>
      <c r="F8" s="48">
        <f>'Mar 24'!$J$101</f>
        <v>7500</v>
      </c>
      <c r="G8" s="49">
        <f>'Mar 24'!$K$101</f>
        <v>640</v>
      </c>
      <c r="H8" s="49">
        <f>'Mar 24'!$L$101</f>
        <v>5100</v>
      </c>
      <c r="I8" s="49">
        <f>'Mar 24'!$M$101</f>
        <v>12975</v>
      </c>
      <c r="J8" s="49">
        <f>'Mar 24'!$N$101</f>
        <v>5100</v>
      </c>
      <c r="K8" s="49">
        <f>'Mar 24'!$O$101</f>
        <v>3775</v>
      </c>
      <c r="L8" s="49">
        <f>'Mar 24'!$P$101</f>
        <v>1300</v>
      </c>
      <c r="M8" s="49">
        <f>'Mar 24'!$Q$101</f>
        <v>5100</v>
      </c>
      <c r="N8" s="72"/>
      <c r="O8" s="73">
        <f t="shared" si="0"/>
        <v>41490</v>
      </c>
      <c r="P8" s="74">
        <f t="shared" si="1"/>
        <v>37620</v>
      </c>
      <c r="Q8" s="75">
        <f t="shared" ref="Q8:Q9" si="3">SUM(O8,P8)</f>
        <v>79110</v>
      </c>
    </row>
    <row r="9" spans="3:17" ht="17.25" x14ac:dyDescent="0.3">
      <c r="C9" s="1"/>
      <c r="D9" s="6" t="s">
        <v>261</v>
      </c>
      <c r="E9" s="12">
        <f t="shared" ref="E9:M9" si="4">SUM(E6,E7-E8)</f>
        <v>203545</v>
      </c>
      <c r="F9" s="12">
        <f t="shared" si="4"/>
        <v>10500</v>
      </c>
      <c r="G9" s="12">
        <f t="shared" si="4"/>
        <v>21285</v>
      </c>
      <c r="H9" s="12">
        <f t="shared" si="4"/>
        <v>5020</v>
      </c>
      <c r="I9" s="12">
        <f t="shared" si="4"/>
        <v>0</v>
      </c>
      <c r="J9" s="12">
        <f t="shared" si="4"/>
        <v>21885</v>
      </c>
      <c r="K9" s="12">
        <f t="shared" si="4"/>
        <v>12775</v>
      </c>
      <c r="L9" s="12">
        <f t="shared" si="4"/>
        <v>17125</v>
      </c>
      <c r="M9" s="12">
        <f t="shared" si="4"/>
        <v>9300</v>
      </c>
      <c r="N9" s="12">
        <f>SUM(N6+N7-N8)</f>
        <v>0</v>
      </c>
      <c r="O9" s="55">
        <f t="shared" si="0"/>
        <v>97890</v>
      </c>
      <c r="P9" s="56">
        <f t="shared" si="1"/>
        <v>203545</v>
      </c>
      <c r="Q9" s="57">
        <f t="shared" si="3"/>
        <v>301435</v>
      </c>
    </row>
    <row r="10" spans="3:17" x14ac:dyDescent="0.25">
      <c r="C10" s="1"/>
      <c r="E10" s="1"/>
      <c r="F10" s="16"/>
    </row>
    <row r="11" spans="3:17" ht="15.75" x14ac:dyDescent="0.25">
      <c r="C11" s="103" t="s">
        <v>367</v>
      </c>
      <c r="D11" s="99"/>
      <c r="E11" s="21" t="s">
        <v>368</v>
      </c>
      <c r="F11" s="45">
        <v>1799</v>
      </c>
      <c r="G11" s="46">
        <v>2699</v>
      </c>
      <c r="H11" s="46">
        <v>588</v>
      </c>
      <c r="I11" s="46">
        <v>2088</v>
      </c>
      <c r="J11" s="46">
        <v>2488</v>
      </c>
      <c r="K11" s="46">
        <v>2688</v>
      </c>
      <c r="L11" s="45">
        <v>3099</v>
      </c>
      <c r="M11" s="62" t="s">
        <v>295</v>
      </c>
      <c r="N11" s="45" t="s">
        <v>3</v>
      </c>
      <c r="O11" s="76" t="s">
        <v>369</v>
      </c>
      <c r="P11" s="76" t="s">
        <v>370</v>
      </c>
    </row>
    <row r="12" spans="3:17" x14ac:dyDescent="0.25">
      <c r="C12" s="9" t="s">
        <v>371</v>
      </c>
      <c r="D12" s="79" t="s">
        <v>372</v>
      </c>
      <c r="E12" s="9" t="s">
        <v>373</v>
      </c>
      <c r="F12" s="22"/>
      <c r="G12" s="7"/>
      <c r="H12" s="7"/>
      <c r="I12" s="7"/>
      <c r="J12" s="7"/>
      <c r="K12" s="7"/>
      <c r="L12" s="7"/>
      <c r="M12" s="7"/>
      <c r="N12" s="7">
        <f>SUM(F12:M12)</f>
        <v>0</v>
      </c>
      <c r="O12" s="10"/>
      <c r="P12" s="10"/>
    </row>
    <row r="13" spans="3:17" x14ac:dyDescent="0.25">
      <c r="C13" s="10">
        <v>1</v>
      </c>
      <c r="D13" s="7" t="s">
        <v>374</v>
      </c>
      <c r="E13" s="78">
        <v>45380</v>
      </c>
      <c r="F13" s="22">
        <v>18000</v>
      </c>
      <c r="G13" s="7">
        <v>18000</v>
      </c>
      <c r="H13" s="7"/>
      <c r="I13" s="7"/>
      <c r="J13" s="7"/>
      <c r="K13" s="7"/>
      <c r="L13" s="7"/>
      <c r="M13" s="7"/>
      <c r="N13" s="7"/>
      <c r="O13" s="10"/>
      <c r="P13" s="10"/>
    </row>
    <row r="14" spans="3:17" x14ac:dyDescent="0.25">
      <c r="C14" s="10">
        <v>2</v>
      </c>
      <c r="D14" s="7" t="s">
        <v>376</v>
      </c>
      <c r="E14" s="78"/>
      <c r="F14" s="22"/>
      <c r="G14" s="7"/>
      <c r="H14" s="7"/>
      <c r="I14" s="7"/>
      <c r="J14" s="7"/>
      <c r="K14" s="7"/>
      <c r="L14" s="7"/>
      <c r="M14" s="7"/>
      <c r="N14" s="7"/>
      <c r="O14" s="10"/>
      <c r="P14" s="10"/>
    </row>
    <row r="15" spans="3:17" x14ac:dyDescent="0.25">
      <c r="C15" s="10">
        <v>3</v>
      </c>
      <c r="D15" s="7" t="s">
        <v>376</v>
      </c>
      <c r="E15" s="78"/>
      <c r="F15" s="22"/>
      <c r="G15" s="7"/>
      <c r="H15" s="7"/>
      <c r="I15" s="7"/>
      <c r="J15" s="7"/>
      <c r="K15" s="7"/>
      <c r="L15" s="7"/>
      <c r="M15" s="7"/>
      <c r="N15" s="7"/>
      <c r="O15" s="10"/>
      <c r="P15" s="10"/>
    </row>
    <row r="16" spans="3:17" x14ac:dyDescent="0.25">
      <c r="C16" s="10">
        <v>4</v>
      </c>
      <c r="D16" s="7" t="s">
        <v>374</v>
      </c>
      <c r="E16" s="78"/>
      <c r="F16" s="22"/>
      <c r="G16" s="7"/>
      <c r="H16" s="7"/>
      <c r="I16" s="7"/>
      <c r="J16" s="7"/>
      <c r="K16" s="7"/>
      <c r="L16" s="7"/>
      <c r="M16" s="7"/>
      <c r="N16" s="7"/>
      <c r="O16" s="10"/>
      <c r="P16" s="10"/>
    </row>
    <row r="17" spans="3:23" x14ac:dyDescent="0.25">
      <c r="C17" s="10">
        <v>5</v>
      </c>
      <c r="D17" s="7" t="s">
        <v>378</v>
      </c>
      <c r="E17" s="11"/>
      <c r="F17" s="7"/>
      <c r="G17" s="7"/>
      <c r="H17" s="7"/>
      <c r="I17" s="7"/>
      <c r="J17" s="7"/>
      <c r="K17" s="7"/>
      <c r="L17" s="7"/>
      <c r="M17" s="7"/>
      <c r="N17" s="7"/>
      <c r="O17" s="10"/>
      <c r="P17" s="10"/>
    </row>
    <row r="18" spans="3:23" x14ac:dyDescent="0.25">
      <c r="C18" s="104" t="s">
        <v>3</v>
      </c>
      <c r="D18" s="98"/>
      <c r="E18" s="99"/>
      <c r="F18" s="7">
        <f t="shared" ref="F18:M18" si="5">SUM(F12:F17)</f>
        <v>18000</v>
      </c>
      <c r="G18" s="7">
        <f t="shared" si="5"/>
        <v>18000</v>
      </c>
      <c r="H18" s="7">
        <f t="shared" si="5"/>
        <v>0</v>
      </c>
      <c r="I18" s="7">
        <f t="shared" si="5"/>
        <v>0</v>
      </c>
      <c r="J18" s="7">
        <f t="shared" si="5"/>
        <v>0</v>
      </c>
      <c r="K18" s="7">
        <f t="shared" si="5"/>
        <v>0</v>
      </c>
      <c r="L18" s="7">
        <f t="shared" si="5"/>
        <v>0</v>
      </c>
      <c r="M18" s="7">
        <f t="shared" si="5"/>
        <v>0</v>
      </c>
      <c r="N18" s="7">
        <f>SUM(F18:M18)</f>
        <v>36000</v>
      </c>
      <c r="O18" s="10"/>
      <c r="P18" s="10"/>
    </row>
    <row r="19" spans="3:23" x14ac:dyDescent="0.25">
      <c r="C19" s="1"/>
      <c r="E19" s="1"/>
      <c r="F19" s="16"/>
    </row>
    <row r="20" spans="3:23" ht="15.75" x14ac:dyDescent="0.25">
      <c r="C20" s="9" t="s">
        <v>8</v>
      </c>
      <c r="D20" s="4" t="s">
        <v>9</v>
      </c>
      <c r="E20" s="20" t="s">
        <v>10</v>
      </c>
      <c r="F20" s="20" t="s">
        <v>11</v>
      </c>
      <c r="G20" s="4" t="s">
        <v>4</v>
      </c>
      <c r="H20" s="4" t="s">
        <v>12</v>
      </c>
      <c r="I20" s="4" t="s">
        <v>2</v>
      </c>
      <c r="J20" s="4" t="s">
        <v>13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19</v>
      </c>
      <c r="P20" s="39" t="s">
        <v>204</v>
      </c>
      <c r="Q20" s="63" t="s">
        <v>295</v>
      </c>
      <c r="T20" s="101" t="s">
        <v>118</v>
      </c>
      <c r="U20" s="102"/>
      <c r="V20" s="102"/>
      <c r="W20" s="102"/>
    </row>
    <row r="21" spans="3:23" ht="15.75" customHeight="1" x14ac:dyDescent="0.25">
      <c r="C21" s="10">
        <v>1</v>
      </c>
      <c r="D21" s="11">
        <v>45352</v>
      </c>
      <c r="E21" s="10" t="s">
        <v>27</v>
      </c>
      <c r="F21" s="22" t="s">
        <v>482</v>
      </c>
      <c r="G21" s="7">
        <v>3000</v>
      </c>
      <c r="H21" s="12" t="s">
        <v>483</v>
      </c>
      <c r="I21" s="7">
        <v>2000</v>
      </c>
      <c r="J21" s="7"/>
      <c r="K21" s="7"/>
      <c r="L21" s="7"/>
      <c r="M21" s="7"/>
      <c r="N21" s="7"/>
      <c r="O21" s="7"/>
      <c r="P21" s="7" t="s">
        <v>84</v>
      </c>
      <c r="Q21" s="40">
        <v>1000</v>
      </c>
      <c r="T21" s="97" t="s">
        <v>172</v>
      </c>
      <c r="U21" s="98"/>
      <c r="V21" s="98"/>
      <c r="W21" s="34"/>
    </row>
    <row r="22" spans="3:23" ht="15.75" customHeight="1" x14ac:dyDescent="0.25">
      <c r="C22" s="10">
        <v>2</v>
      </c>
      <c r="D22" s="11">
        <v>45353</v>
      </c>
      <c r="E22" s="10" t="s">
        <v>27</v>
      </c>
      <c r="F22" s="22" t="s">
        <v>255</v>
      </c>
      <c r="G22" s="7">
        <v>700</v>
      </c>
      <c r="H22" s="12">
        <v>117</v>
      </c>
      <c r="I22" s="7">
        <v>700</v>
      </c>
      <c r="J22" s="7"/>
      <c r="K22" s="7"/>
      <c r="L22" s="7"/>
      <c r="M22" s="7"/>
      <c r="N22" s="7"/>
      <c r="O22" s="7"/>
      <c r="P22" s="7"/>
      <c r="Q22" s="7"/>
      <c r="T22" s="10" t="s">
        <v>121</v>
      </c>
      <c r="U22" s="7" t="s">
        <v>9</v>
      </c>
      <c r="V22" s="7" t="s">
        <v>122</v>
      </c>
      <c r="W22" s="7" t="s">
        <v>4</v>
      </c>
    </row>
    <row r="23" spans="3:23" ht="15.75" customHeight="1" x14ac:dyDescent="0.25">
      <c r="C23" s="10">
        <v>3</v>
      </c>
      <c r="D23" s="11">
        <v>45353</v>
      </c>
      <c r="E23" s="10">
        <v>690</v>
      </c>
      <c r="F23" s="22" t="s">
        <v>358</v>
      </c>
      <c r="G23" s="7">
        <v>1600</v>
      </c>
      <c r="H23" s="12">
        <v>163</v>
      </c>
      <c r="I23" s="7"/>
      <c r="J23" s="7"/>
      <c r="K23" s="7"/>
      <c r="L23" s="7"/>
      <c r="M23" s="7"/>
      <c r="N23" s="7"/>
      <c r="O23" s="7">
        <v>1600</v>
      </c>
      <c r="P23" s="7"/>
      <c r="Q23" s="7"/>
      <c r="T23" s="10">
        <v>1</v>
      </c>
      <c r="U23" s="41">
        <v>45371</v>
      </c>
      <c r="V23" s="7" t="s">
        <v>426</v>
      </c>
      <c r="W23" s="7">
        <v>16001</v>
      </c>
    </row>
    <row r="24" spans="3:23" ht="15.75" customHeight="1" x14ac:dyDescent="0.25">
      <c r="C24" s="10">
        <v>4</v>
      </c>
      <c r="D24" s="11">
        <v>45353</v>
      </c>
      <c r="E24" s="10">
        <v>691</v>
      </c>
      <c r="F24" s="22" t="s">
        <v>90</v>
      </c>
      <c r="G24" s="7">
        <v>6000</v>
      </c>
      <c r="H24" s="31" t="s">
        <v>484</v>
      </c>
      <c r="I24" s="7">
        <v>5000</v>
      </c>
      <c r="J24" s="7"/>
      <c r="K24" s="7"/>
      <c r="L24" s="7"/>
      <c r="M24" s="7">
        <v>600</v>
      </c>
      <c r="N24" s="7"/>
      <c r="O24" s="7">
        <v>400</v>
      </c>
      <c r="P24" s="7"/>
      <c r="Q24" s="7"/>
      <c r="T24" s="10">
        <v>2</v>
      </c>
      <c r="U24" s="41">
        <v>45371</v>
      </c>
      <c r="V24" s="7" t="s">
        <v>426</v>
      </c>
      <c r="W24" s="7">
        <v>18826</v>
      </c>
    </row>
    <row r="25" spans="3:23" ht="15.75" customHeight="1" x14ac:dyDescent="0.25">
      <c r="C25" s="10">
        <v>5</v>
      </c>
      <c r="D25" s="11">
        <v>45353</v>
      </c>
      <c r="E25" s="10">
        <v>692</v>
      </c>
      <c r="F25" s="22" t="s">
        <v>175</v>
      </c>
      <c r="G25" s="7">
        <v>205</v>
      </c>
      <c r="H25" s="12" t="s">
        <v>485</v>
      </c>
      <c r="I25" s="7">
        <v>180</v>
      </c>
      <c r="J25" s="7"/>
      <c r="K25" s="7"/>
      <c r="L25" s="7"/>
      <c r="M25" s="7"/>
      <c r="N25" s="7"/>
      <c r="O25" s="7"/>
      <c r="P25" s="7">
        <v>25</v>
      </c>
      <c r="Q25" s="7"/>
      <c r="T25" s="10">
        <v>3</v>
      </c>
      <c r="U25" s="41">
        <v>45371</v>
      </c>
      <c r="V25" s="7" t="s">
        <v>426</v>
      </c>
      <c r="W25" s="7">
        <v>20647</v>
      </c>
    </row>
    <row r="26" spans="3:23" ht="15.75" customHeight="1" x14ac:dyDescent="0.25">
      <c r="C26" s="10">
        <v>6</v>
      </c>
      <c r="D26" s="11">
        <v>45355</v>
      </c>
      <c r="E26" s="10">
        <v>693</v>
      </c>
      <c r="F26" s="22" t="s">
        <v>333</v>
      </c>
      <c r="G26" s="7">
        <v>2500</v>
      </c>
      <c r="H26" s="12">
        <v>115</v>
      </c>
      <c r="I26" s="7">
        <v>2500</v>
      </c>
      <c r="J26" s="7"/>
      <c r="K26" s="7"/>
      <c r="L26" s="7"/>
      <c r="M26" s="7"/>
      <c r="N26" s="7"/>
      <c r="O26" s="7"/>
      <c r="P26" s="7"/>
      <c r="Q26" s="7"/>
      <c r="T26" s="10">
        <v>4</v>
      </c>
      <c r="U26" s="41"/>
      <c r="V26" s="7"/>
      <c r="W26" s="7"/>
    </row>
    <row r="27" spans="3:23" ht="15.75" customHeight="1" x14ac:dyDescent="0.25">
      <c r="C27" s="10">
        <v>7</v>
      </c>
      <c r="D27" s="11">
        <v>45355</v>
      </c>
      <c r="E27" s="10" t="s">
        <v>486</v>
      </c>
      <c r="F27" s="22" t="s">
        <v>44</v>
      </c>
      <c r="G27" s="7">
        <v>3000</v>
      </c>
      <c r="H27" s="12" t="s">
        <v>487</v>
      </c>
      <c r="I27" s="7"/>
      <c r="J27" s="7"/>
      <c r="K27" s="7"/>
      <c r="L27" s="7"/>
      <c r="M27" s="7"/>
      <c r="N27" s="7"/>
      <c r="O27" s="7"/>
      <c r="P27" s="7">
        <v>1000</v>
      </c>
      <c r="Q27" s="7">
        <v>2000</v>
      </c>
      <c r="T27" s="10">
        <v>5</v>
      </c>
      <c r="U27" s="41"/>
      <c r="V27" s="7"/>
      <c r="W27" s="7"/>
    </row>
    <row r="28" spans="3:23" ht="15.75" customHeight="1" x14ac:dyDescent="0.25">
      <c r="C28" s="10">
        <v>8</v>
      </c>
      <c r="D28" s="11">
        <v>45355</v>
      </c>
      <c r="E28" s="10" t="s">
        <v>488</v>
      </c>
      <c r="F28" s="22" t="s">
        <v>489</v>
      </c>
      <c r="G28" s="7">
        <v>1000</v>
      </c>
      <c r="H28" s="12" t="s">
        <v>490</v>
      </c>
      <c r="I28" s="7"/>
      <c r="J28" s="7"/>
      <c r="K28" s="7">
        <v>400</v>
      </c>
      <c r="L28" s="7"/>
      <c r="M28" s="7"/>
      <c r="N28" s="7">
        <v>600</v>
      </c>
      <c r="O28" s="7"/>
      <c r="P28" s="7"/>
      <c r="Q28" s="7"/>
      <c r="T28" s="10">
        <v>6</v>
      </c>
      <c r="U28" s="41"/>
      <c r="V28" s="7"/>
      <c r="W28" s="7"/>
    </row>
    <row r="29" spans="3:23" ht="15.75" customHeight="1" x14ac:dyDescent="0.25">
      <c r="C29" s="10">
        <v>9</v>
      </c>
      <c r="D29" s="11">
        <v>45356</v>
      </c>
      <c r="E29" s="10">
        <v>696</v>
      </c>
      <c r="F29" s="22" t="s">
        <v>139</v>
      </c>
      <c r="G29" s="7">
        <v>1200</v>
      </c>
      <c r="H29" s="12">
        <v>120</v>
      </c>
      <c r="I29" s="7">
        <v>1200</v>
      </c>
      <c r="J29" s="7"/>
      <c r="K29" s="7"/>
      <c r="L29" s="7"/>
      <c r="M29" s="7"/>
      <c r="N29" s="7"/>
      <c r="O29" s="7"/>
      <c r="P29" s="7"/>
      <c r="Q29" s="7"/>
      <c r="T29" s="10">
        <v>7</v>
      </c>
      <c r="U29" s="41"/>
      <c r="V29" s="7"/>
      <c r="W29" s="7"/>
    </row>
    <row r="30" spans="3:23" ht="15.75" customHeight="1" x14ac:dyDescent="0.25">
      <c r="C30" s="10">
        <v>10</v>
      </c>
      <c r="D30" s="11">
        <v>45356</v>
      </c>
      <c r="E30" s="10">
        <v>703</v>
      </c>
      <c r="F30" s="22" t="s">
        <v>491</v>
      </c>
      <c r="G30" s="7">
        <v>25</v>
      </c>
      <c r="H30" s="12">
        <v>175</v>
      </c>
      <c r="I30" s="7"/>
      <c r="J30" s="7"/>
      <c r="K30" s="7"/>
      <c r="L30" s="7">
        <v>25</v>
      </c>
      <c r="M30" s="7"/>
      <c r="N30" s="7"/>
      <c r="O30" s="7"/>
      <c r="P30" s="7"/>
      <c r="Q30" s="7"/>
      <c r="T30" s="10">
        <v>8</v>
      </c>
      <c r="U30" s="11"/>
      <c r="V30" s="7"/>
      <c r="W30" s="7"/>
    </row>
    <row r="31" spans="3:23" ht="15.75" customHeight="1" x14ac:dyDescent="0.25">
      <c r="C31" s="10">
        <v>11</v>
      </c>
      <c r="D31" s="11">
        <v>45356</v>
      </c>
      <c r="E31" s="10" t="s">
        <v>492</v>
      </c>
      <c r="F31" s="22" t="s">
        <v>269</v>
      </c>
      <c r="G31" s="7">
        <v>6000</v>
      </c>
      <c r="H31" s="12">
        <v>158</v>
      </c>
      <c r="I31" s="7"/>
      <c r="J31" s="7"/>
      <c r="K31" s="7"/>
      <c r="L31" s="7"/>
      <c r="M31" s="7">
        <v>6000</v>
      </c>
      <c r="N31" s="7"/>
      <c r="O31" s="7"/>
      <c r="P31" s="7"/>
      <c r="Q31" s="7"/>
      <c r="T31" s="10"/>
      <c r="U31" s="7"/>
      <c r="V31" s="7"/>
      <c r="W31" s="7"/>
    </row>
    <row r="32" spans="3:23" ht="15.75" customHeight="1" x14ac:dyDescent="0.25">
      <c r="C32" s="10">
        <v>12</v>
      </c>
      <c r="D32" s="11">
        <v>45357</v>
      </c>
      <c r="E32" s="10">
        <v>704</v>
      </c>
      <c r="F32" s="22" t="s">
        <v>493</v>
      </c>
      <c r="G32" s="7">
        <v>25</v>
      </c>
      <c r="H32" s="12">
        <v>180</v>
      </c>
      <c r="I32" s="7"/>
      <c r="J32" s="7"/>
      <c r="K32" s="7"/>
      <c r="L32" s="7"/>
      <c r="M32" s="7"/>
      <c r="N32" s="7"/>
      <c r="O32" s="7"/>
      <c r="P32" s="7">
        <v>25</v>
      </c>
      <c r="Q32" s="7"/>
      <c r="T32" s="97" t="s">
        <v>181</v>
      </c>
      <c r="U32" s="98"/>
      <c r="V32" s="99"/>
      <c r="W32" s="7">
        <f>SUM(W23:W30)</f>
        <v>55474</v>
      </c>
    </row>
    <row r="33" spans="3:23" ht="15.75" customHeight="1" x14ac:dyDescent="0.25">
      <c r="C33" s="10">
        <v>13</v>
      </c>
      <c r="D33" s="11">
        <v>45360</v>
      </c>
      <c r="E33" s="10">
        <v>711</v>
      </c>
      <c r="F33" s="22" t="s">
        <v>284</v>
      </c>
      <c r="G33" s="7">
        <v>775</v>
      </c>
      <c r="H33" s="12">
        <v>167</v>
      </c>
      <c r="I33" s="7"/>
      <c r="J33" s="7"/>
      <c r="K33" s="7"/>
      <c r="L33" s="7"/>
      <c r="M33" s="7"/>
      <c r="N33" s="7"/>
      <c r="O33" s="7">
        <v>775</v>
      </c>
      <c r="P33" s="7"/>
      <c r="Q33" s="7"/>
      <c r="T33" s="97" t="s">
        <v>183</v>
      </c>
      <c r="U33" s="98"/>
      <c r="V33" s="99"/>
      <c r="W33" s="7">
        <v>185691</v>
      </c>
    </row>
    <row r="34" spans="3:23" ht="15.75" customHeight="1" x14ac:dyDescent="0.25">
      <c r="C34" s="10">
        <v>14</v>
      </c>
      <c r="D34" s="11">
        <v>45362</v>
      </c>
      <c r="E34" s="10">
        <v>713</v>
      </c>
      <c r="F34" s="22" t="s">
        <v>44</v>
      </c>
      <c r="G34" s="7">
        <v>500</v>
      </c>
      <c r="H34" s="12">
        <v>199</v>
      </c>
      <c r="I34" s="7"/>
      <c r="J34" s="7"/>
      <c r="K34" s="7"/>
      <c r="L34" s="7"/>
      <c r="M34" s="7"/>
      <c r="N34" s="7"/>
      <c r="O34" s="7"/>
      <c r="P34" s="7"/>
      <c r="Q34" s="7">
        <v>500</v>
      </c>
      <c r="T34" s="97" t="s">
        <v>184</v>
      </c>
      <c r="U34" s="98"/>
      <c r="V34" s="99"/>
      <c r="W34" s="35">
        <f>SUM(W32,W33)</f>
        <v>241165</v>
      </c>
    </row>
    <row r="35" spans="3:23" ht="15.75" customHeight="1" x14ac:dyDescent="0.25">
      <c r="C35" s="10">
        <v>15</v>
      </c>
      <c r="D35" s="11">
        <v>45363</v>
      </c>
      <c r="E35" s="10">
        <v>714</v>
      </c>
      <c r="F35" s="22" t="s">
        <v>193</v>
      </c>
      <c r="G35" s="7">
        <v>120</v>
      </c>
      <c r="H35" s="12">
        <v>4640</v>
      </c>
      <c r="I35" s="7">
        <v>4640</v>
      </c>
      <c r="J35" s="7"/>
      <c r="K35" s="7"/>
      <c r="L35" s="7"/>
      <c r="M35" s="7"/>
      <c r="N35" s="7"/>
      <c r="O35" s="7"/>
      <c r="P35" s="7"/>
      <c r="Q35" s="7"/>
      <c r="T35" s="97" t="s">
        <v>186</v>
      </c>
      <c r="U35" s="98"/>
      <c r="V35" s="99"/>
      <c r="W35" s="7">
        <f>'Mar 24'!$I$101</f>
        <v>37620</v>
      </c>
    </row>
    <row r="36" spans="3:23" ht="15.75" customHeight="1" x14ac:dyDescent="0.25">
      <c r="C36" s="10">
        <v>16</v>
      </c>
      <c r="D36" s="11">
        <v>45364</v>
      </c>
      <c r="E36" s="24" t="s">
        <v>494</v>
      </c>
      <c r="F36" s="22" t="s">
        <v>269</v>
      </c>
      <c r="G36" s="7">
        <v>1375</v>
      </c>
      <c r="H36" s="12">
        <v>157</v>
      </c>
      <c r="I36" s="7"/>
      <c r="J36" s="7"/>
      <c r="K36" s="7"/>
      <c r="L36" s="7"/>
      <c r="M36" s="7">
        <v>1375</v>
      </c>
      <c r="N36" s="7"/>
      <c r="O36" s="7"/>
      <c r="P36" s="7"/>
      <c r="Q36" s="7"/>
      <c r="T36" s="97"/>
      <c r="U36" s="98"/>
      <c r="V36" s="99"/>
      <c r="W36" s="7"/>
    </row>
    <row r="37" spans="3:23" ht="15.75" customHeight="1" x14ac:dyDescent="0.25">
      <c r="C37" s="10">
        <v>17</v>
      </c>
      <c r="D37" s="11">
        <v>45364</v>
      </c>
      <c r="E37" s="10" t="s">
        <v>495</v>
      </c>
      <c r="F37" s="22" t="s">
        <v>71</v>
      </c>
      <c r="G37" s="7">
        <v>500</v>
      </c>
      <c r="H37" s="12">
        <v>160</v>
      </c>
      <c r="I37" s="7"/>
      <c r="J37" s="7"/>
      <c r="K37" s="7"/>
      <c r="L37" s="7"/>
      <c r="M37" s="7"/>
      <c r="N37" s="7">
        <v>500</v>
      </c>
      <c r="O37" s="7"/>
      <c r="P37" s="7"/>
      <c r="Q37" s="7"/>
      <c r="T37" s="100" t="s">
        <v>188</v>
      </c>
      <c r="U37" s="98"/>
      <c r="V37" s="99"/>
      <c r="W37" s="36">
        <f>SUM(W34-W35)</f>
        <v>203545</v>
      </c>
    </row>
    <row r="38" spans="3:23" ht="15.75" customHeight="1" x14ac:dyDescent="0.25">
      <c r="C38" s="10">
        <v>18</v>
      </c>
      <c r="D38" s="11">
        <v>45365</v>
      </c>
      <c r="E38" s="10" t="s">
        <v>496</v>
      </c>
      <c r="F38" s="22" t="s">
        <v>268</v>
      </c>
      <c r="G38" s="7">
        <v>1000</v>
      </c>
      <c r="H38" s="12">
        <v>170</v>
      </c>
      <c r="I38" s="7"/>
      <c r="J38" s="7"/>
      <c r="K38" s="7"/>
      <c r="L38" s="7"/>
      <c r="M38" s="7"/>
      <c r="N38" s="7">
        <v>1000</v>
      </c>
      <c r="O38" s="7"/>
      <c r="P38" s="7"/>
      <c r="Q38" s="7"/>
    </row>
    <row r="39" spans="3:23" ht="15.75" customHeight="1" x14ac:dyDescent="0.25">
      <c r="C39" s="10">
        <v>19</v>
      </c>
      <c r="D39" s="11">
        <v>45366</v>
      </c>
      <c r="E39" s="10">
        <v>715</v>
      </c>
      <c r="F39" s="22" t="s">
        <v>40</v>
      </c>
      <c r="G39" s="7">
        <v>240</v>
      </c>
      <c r="H39" s="12">
        <v>170</v>
      </c>
      <c r="I39" s="7"/>
      <c r="J39" s="7"/>
      <c r="K39" s="7">
        <v>240</v>
      </c>
      <c r="L39" s="7"/>
      <c r="M39" s="7"/>
      <c r="N39" s="7"/>
      <c r="O39" s="7"/>
      <c r="P39" s="7"/>
      <c r="Q39" s="7"/>
    </row>
    <row r="40" spans="3:23" ht="15.75" customHeight="1" x14ac:dyDescent="0.25">
      <c r="C40" s="10">
        <v>20</v>
      </c>
      <c r="D40" s="11">
        <v>45367</v>
      </c>
      <c r="E40" s="10">
        <v>717</v>
      </c>
      <c r="F40" s="22" t="s">
        <v>394</v>
      </c>
      <c r="G40" s="7">
        <v>10000</v>
      </c>
      <c r="H40" s="12">
        <v>99</v>
      </c>
      <c r="I40" s="7">
        <v>10000</v>
      </c>
      <c r="J40" s="7"/>
      <c r="K40" s="7"/>
      <c r="L40" s="7"/>
      <c r="M40" s="7"/>
      <c r="N40" s="7"/>
      <c r="O40" s="7"/>
      <c r="P40" s="7"/>
      <c r="Q40" s="7"/>
    </row>
    <row r="41" spans="3:23" ht="15.75" customHeight="1" x14ac:dyDescent="0.25">
      <c r="C41" s="10">
        <v>21</v>
      </c>
      <c r="D41" s="11">
        <v>45369</v>
      </c>
      <c r="E41" s="10">
        <v>718</v>
      </c>
      <c r="F41" s="22" t="s">
        <v>44</v>
      </c>
      <c r="G41" s="7">
        <v>500</v>
      </c>
      <c r="H41" s="12">
        <v>117</v>
      </c>
      <c r="I41" s="7">
        <v>500</v>
      </c>
      <c r="J41" s="7"/>
      <c r="K41" s="7"/>
      <c r="L41" s="7"/>
      <c r="M41" s="7"/>
      <c r="N41" s="7"/>
      <c r="O41" s="7"/>
      <c r="P41" s="7"/>
      <c r="Q41" s="7"/>
    </row>
    <row r="42" spans="3:23" ht="15.75" customHeight="1" x14ac:dyDescent="0.25">
      <c r="C42" s="10">
        <v>22</v>
      </c>
      <c r="D42" s="11">
        <v>45369</v>
      </c>
      <c r="E42" s="10">
        <v>719</v>
      </c>
      <c r="F42" s="22" t="s">
        <v>51</v>
      </c>
      <c r="G42" s="7">
        <v>5000</v>
      </c>
      <c r="H42" s="12">
        <v>170</v>
      </c>
      <c r="I42" s="7"/>
      <c r="J42" s="7"/>
      <c r="K42" s="7"/>
      <c r="L42" s="7"/>
      <c r="M42" s="7">
        <v>5000</v>
      </c>
      <c r="N42" s="7"/>
      <c r="O42" s="7"/>
      <c r="P42" s="7"/>
      <c r="Q42" s="7"/>
    </row>
    <row r="43" spans="3:23" ht="15.75" customHeight="1" x14ac:dyDescent="0.25">
      <c r="C43" s="10">
        <v>23</v>
      </c>
      <c r="D43" s="11">
        <v>45370</v>
      </c>
      <c r="E43" s="10" t="s">
        <v>497</v>
      </c>
      <c r="F43" s="22" t="s">
        <v>269</v>
      </c>
      <c r="G43" s="7">
        <v>3075</v>
      </c>
      <c r="H43" s="12">
        <v>173</v>
      </c>
      <c r="I43" s="7"/>
      <c r="J43" s="7"/>
      <c r="K43" s="7"/>
      <c r="L43" s="7">
        <v>3075</v>
      </c>
      <c r="M43" s="7"/>
      <c r="N43" s="7"/>
      <c r="O43" s="7"/>
      <c r="P43" s="7"/>
      <c r="Q43" s="7"/>
    </row>
    <row r="44" spans="3:23" ht="15.75" customHeight="1" x14ac:dyDescent="0.25">
      <c r="C44" s="10">
        <v>24</v>
      </c>
      <c r="D44" s="11">
        <v>45370</v>
      </c>
      <c r="E44" s="10" t="s">
        <v>27</v>
      </c>
      <c r="F44" s="22" t="s">
        <v>37</v>
      </c>
      <c r="G44" s="7">
        <v>700</v>
      </c>
      <c r="H44" s="12">
        <v>125</v>
      </c>
      <c r="I44" s="7">
        <v>700</v>
      </c>
      <c r="J44" s="7"/>
      <c r="K44" s="7"/>
      <c r="L44" s="7"/>
      <c r="M44" s="7"/>
      <c r="N44" s="7"/>
      <c r="O44" s="7"/>
      <c r="P44" s="7"/>
      <c r="Q44" s="7"/>
    </row>
    <row r="45" spans="3:23" ht="15.75" customHeight="1" x14ac:dyDescent="0.25">
      <c r="C45" s="10">
        <v>26</v>
      </c>
      <c r="D45" s="11">
        <v>45371</v>
      </c>
      <c r="E45" s="10" t="s">
        <v>498</v>
      </c>
      <c r="F45" s="22" t="s">
        <v>499</v>
      </c>
      <c r="G45" s="7">
        <v>2000</v>
      </c>
      <c r="H45" s="12">
        <v>163</v>
      </c>
      <c r="I45" s="7"/>
      <c r="J45" s="7"/>
      <c r="K45" s="7"/>
      <c r="L45" s="7">
        <v>2000</v>
      </c>
      <c r="M45" s="7"/>
      <c r="N45" s="7"/>
      <c r="O45" s="7"/>
      <c r="P45" s="7"/>
      <c r="Q45" s="7"/>
    </row>
    <row r="46" spans="3:23" ht="15.75" customHeight="1" x14ac:dyDescent="0.25">
      <c r="C46" s="10">
        <v>27</v>
      </c>
      <c r="D46" s="11">
        <v>45372</v>
      </c>
      <c r="E46" s="10" t="s">
        <v>27</v>
      </c>
      <c r="F46" s="22" t="s">
        <v>500</v>
      </c>
      <c r="G46" s="7">
        <v>650</v>
      </c>
      <c r="H46" s="12" t="s">
        <v>501</v>
      </c>
      <c r="I46" s="7"/>
      <c r="J46" s="7"/>
      <c r="K46" s="7"/>
      <c r="L46" s="7"/>
      <c r="M46" s="7"/>
      <c r="N46" s="7"/>
      <c r="O46" s="7"/>
      <c r="P46" s="7">
        <v>250</v>
      </c>
      <c r="Q46" s="7">
        <v>400</v>
      </c>
    </row>
    <row r="47" spans="3:23" ht="15.75" customHeight="1" x14ac:dyDescent="0.25">
      <c r="C47" s="10">
        <v>28</v>
      </c>
      <c r="D47" s="11">
        <v>45372</v>
      </c>
      <c r="E47" s="10" t="s">
        <v>27</v>
      </c>
      <c r="F47" s="22" t="s">
        <v>255</v>
      </c>
      <c r="G47" s="7">
        <v>600</v>
      </c>
      <c r="H47" s="12">
        <v>202</v>
      </c>
      <c r="I47" s="7"/>
      <c r="J47" s="7"/>
      <c r="K47" s="7"/>
      <c r="L47" s="7"/>
      <c r="M47" s="7"/>
      <c r="N47" s="7"/>
      <c r="O47" s="7"/>
      <c r="P47" s="7"/>
      <c r="Q47" s="7">
        <v>600</v>
      </c>
    </row>
    <row r="48" spans="3:23" ht="15.75" customHeight="1" x14ac:dyDescent="0.25">
      <c r="C48" s="10">
        <v>29</v>
      </c>
      <c r="D48" s="11">
        <v>45372</v>
      </c>
      <c r="E48" s="10" t="s">
        <v>502</v>
      </c>
      <c r="F48" s="22" t="s">
        <v>43</v>
      </c>
      <c r="G48" s="7">
        <v>2000</v>
      </c>
      <c r="H48" s="12">
        <v>156</v>
      </c>
      <c r="I48" s="7"/>
      <c r="J48" s="7"/>
      <c r="K48" s="7"/>
      <c r="L48" s="7"/>
      <c r="M48" s="7"/>
      <c r="N48" s="7">
        <v>2000</v>
      </c>
      <c r="O48" s="7"/>
      <c r="P48" s="7"/>
      <c r="Q48" s="7"/>
      <c r="S48" s="1"/>
    </row>
    <row r="49" spans="3:19" ht="15.75" customHeight="1" x14ac:dyDescent="0.25">
      <c r="C49" s="10">
        <v>30</v>
      </c>
      <c r="D49" s="11">
        <v>45372</v>
      </c>
      <c r="E49" s="10" t="s">
        <v>503</v>
      </c>
      <c r="F49" s="22" t="s">
        <v>32</v>
      </c>
      <c r="G49" s="7">
        <v>600</v>
      </c>
      <c r="H49" s="12">
        <v>204</v>
      </c>
      <c r="I49" s="7"/>
      <c r="J49" s="7"/>
      <c r="K49" s="7"/>
      <c r="L49" s="7"/>
      <c r="M49" s="7"/>
      <c r="N49" s="7"/>
      <c r="O49" s="7"/>
      <c r="P49" s="7"/>
      <c r="Q49" s="7">
        <v>600</v>
      </c>
      <c r="S49" s="1"/>
    </row>
    <row r="50" spans="3:19" ht="15.75" customHeight="1" x14ac:dyDescent="0.25">
      <c r="C50" s="10">
        <v>31</v>
      </c>
      <c r="D50" s="11">
        <v>45377</v>
      </c>
      <c r="E50" s="10">
        <v>726</v>
      </c>
      <c r="F50" s="22" t="s">
        <v>394</v>
      </c>
      <c r="G50" s="7">
        <v>10000</v>
      </c>
      <c r="H50" s="12">
        <v>99</v>
      </c>
      <c r="I50" s="7">
        <v>10000</v>
      </c>
      <c r="J50" s="7"/>
      <c r="K50" s="7"/>
      <c r="L50" s="7"/>
      <c r="M50" s="7"/>
      <c r="N50" s="7"/>
      <c r="O50" s="7"/>
      <c r="P50" s="7"/>
      <c r="Q50" s="7"/>
      <c r="S50" s="1"/>
    </row>
    <row r="51" spans="3:19" ht="15.75" customHeight="1" x14ac:dyDescent="0.25">
      <c r="C51" s="10">
        <v>32</v>
      </c>
      <c r="D51" s="11">
        <v>45379</v>
      </c>
      <c r="E51" s="10">
        <v>727</v>
      </c>
      <c r="F51" s="22" t="s">
        <v>89</v>
      </c>
      <c r="G51" s="7">
        <v>100</v>
      </c>
      <c r="H51" s="12">
        <v>117</v>
      </c>
      <c r="I51" s="7">
        <v>100</v>
      </c>
      <c r="J51" s="7"/>
      <c r="K51" s="7"/>
      <c r="L51" s="7"/>
      <c r="M51" s="7"/>
      <c r="N51" s="7"/>
      <c r="O51" s="7"/>
      <c r="P51" s="7"/>
      <c r="Q51" s="7"/>
      <c r="S51" s="1"/>
    </row>
    <row r="52" spans="3:19" ht="15.75" customHeight="1" x14ac:dyDescent="0.25">
      <c r="C52" s="10">
        <v>33</v>
      </c>
      <c r="D52" s="11">
        <v>45380</v>
      </c>
      <c r="E52" s="10">
        <v>730</v>
      </c>
      <c r="F52" s="22" t="s">
        <v>305</v>
      </c>
      <c r="G52" s="7">
        <v>2000</v>
      </c>
      <c r="H52" s="12">
        <v>146</v>
      </c>
      <c r="I52" s="7"/>
      <c r="J52" s="7">
        <v>2000</v>
      </c>
      <c r="K52" s="7"/>
      <c r="L52" s="7"/>
      <c r="M52" s="7"/>
      <c r="N52" s="7"/>
      <c r="O52" s="7"/>
      <c r="P52" s="7"/>
      <c r="Q52" s="7"/>
      <c r="S52" s="1"/>
    </row>
    <row r="53" spans="3:19" ht="15.75" customHeight="1" x14ac:dyDescent="0.25">
      <c r="C53" s="10">
        <v>34</v>
      </c>
      <c r="D53" s="11">
        <v>45381</v>
      </c>
      <c r="E53" s="10">
        <v>731</v>
      </c>
      <c r="F53" s="22" t="s">
        <v>504</v>
      </c>
      <c r="G53" s="7">
        <v>100</v>
      </c>
      <c r="H53" s="12">
        <v>110</v>
      </c>
      <c r="I53" s="7">
        <v>100</v>
      </c>
      <c r="J53" s="7"/>
      <c r="K53" s="7"/>
      <c r="L53" s="7"/>
      <c r="M53" s="7"/>
      <c r="N53" s="7"/>
      <c r="O53" s="7"/>
      <c r="P53" s="7"/>
      <c r="Q53" s="7"/>
      <c r="S53" s="1"/>
    </row>
    <row r="54" spans="3:19" ht="15.75" customHeight="1" x14ac:dyDescent="0.25">
      <c r="C54" s="10">
        <v>35</v>
      </c>
      <c r="D54" s="11">
        <v>45372</v>
      </c>
      <c r="E54" s="10" t="s">
        <v>505</v>
      </c>
      <c r="F54" s="22" t="s">
        <v>269</v>
      </c>
      <c r="G54" s="7">
        <v>1000</v>
      </c>
      <c r="H54" s="12">
        <v>163</v>
      </c>
      <c r="I54" s="7"/>
      <c r="J54" s="7"/>
      <c r="K54" s="7"/>
      <c r="L54" s="7"/>
      <c r="M54" s="7"/>
      <c r="N54" s="7"/>
      <c r="O54" s="7">
        <v>1000</v>
      </c>
      <c r="P54" s="7"/>
      <c r="Q54" s="7"/>
      <c r="S54" s="1"/>
    </row>
    <row r="55" spans="3:19" ht="15.75" customHeight="1" x14ac:dyDescent="0.25">
      <c r="C55" s="10">
        <v>36</v>
      </c>
      <c r="D55" s="11">
        <v>45380</v>
      </c>
      <c r="E55" s="10" t="s">
        <v>506</v>
      </c>
      <c r="F55" s="22" t="s">
        <v>504</v>
      </c>
      <c r="G55" s="7">
        <v>100</v>
      </c>
      <c r="H55" s="12">
        <v>149</v>
      </c>
      <c r="I55" s="7"/>
      <c r="J55" s="7">
        <v>100</v>
      </c>
      <c r="K55" s="7"/>
      <c r="L55" s="7"/>
      <c r="M55" s="7"/>
      <c r="N55" s="7"/>
      <c r="O55" s="7"/>
      <c r="P55" s="7"/>
      <c r="Q55" s="7"/>
      <c r="S55" s="1"/>
    </row>
    <row r="56" spans="3:19" ht="15.75" customHeight="1" x14ac:dyDescent="0.25">
      <c r="C56" s="10">
        <v>37</v>
      </c>
      <c r="D56" s="11">
        <v>45380</v>
      </c>
      <c r="E56" s="10" t="s">
        <v>507</v>
      </c>
      <c r="F56" s="22" t="s">
        <v>49</v>
      </c>
      <c r="G56" s="7">
        <v>2000</v>
      </c>
      <c r="H56" s="12">
        <v>151</v>
      </c>
      <c r="I56" s="7"/>
      <c r="J56" s="7">
        <v>2000</v>
      </c>
      <c r="K56" s="7"/>
      <c r="L56" s="7"/>
      <c r="M56" s="7"/>
      <c r="N56" s="7"/>
      <c r="O56" s="7"/>
      <c r="P56" s="7"/>
      <c r="Q56" s="7"/>
      <c r="S56" s="1"/>
    </row>
    <row r="57" spans="3:19" ht="15.75" customHeight="1" x14ac:dyDescent="0.25">
      <c r="C57" s="10">
        <v>38</v>
      </c>
      <c r="D57" s="11">
        <v>45380</v>
      </c>
      <c r="E57" s="10" t="s">
        <v>508</v>
      </c>
      <c r="F57" s="22" t="s">
        <v>193</v>
      </c>
      <c r="G57" s="7">
        <v>1000</v>
      </c>
      <c r="H57" s="12">
        <v>149</v>
      </c>
      <c r="I57" s="7"/>
      <c r="J57" s="7">
        <v>1000</v>
      </c>
      <c r="K57" s="7"/>
      <c r="L57" s="7"/>
      <c r="M57" s="7"/>
      <c r="N57" s="7"/>
      <c r="O57" s="7"/>
      <c r="P57" s="7"/>
      <c r="Q57" s="7"/>
      <c r="S57" s="1"/>
    </row>
    <row r="58" spans="3:19" ht="15.75" customHeight="1" x14ac:dyDescent="0.25">
      <c r="C58" s="10">
        <v>39</v>
      </c>
      <c r="D58" s="11">
        <v>45380</v>
      </c>
      <c r="E58" s="10" t="s">
        <v>509</v>
      </c>
      <c r="F58" s="22" t="s">
        <v>358</v>
      </c>
      <c r="G58" s="7">
        <v>800</v>
      </c>
      <c r="H58" s="12">
        <v>149</v>
      </c>
      <c r="I58" s="7"/>
      <c r="J58" s="7">
        <v>800</v>
      </c>
      <c r="K58" s="7"/>
      <c r="L58" s="7"/>
      <c r="M58" s="7"/>
      <c r="N58" s="7"/>
      <c r="O58" s="7"/>
      <c r="P58" s="7"/>
      <c r="Q58" s="7"/>
      <c r="S58" s="1"/>
    </row>
    <row r="59" spans="3:19" ht="15.75" customHeight="1" x14ac:dyDescent="0.25">
      <c r="C59" s="10">
        <v>40</v>
      </c>
      <c r="D59" s="11">
        <v>45380</v>
      </c>
      <c r="E59" s="10" t="s">
        <v>510</v>
      </c>
      <c r="F59" s="22" t="s">
        <v>268</v>
      </c>
      <c r="G59" s="7">
        <v>2000</v>
      </c>
      <c r="H59" s="12" t="s">
        <v>511</v>
      </c>
      <c r="I59" s="7"/>
      <c r="J59" s="7">
        <v>1000</v>
      </c>
      <c r="K59" s="7"/>
      <c r="L59" s="7"/>
      <c r="M59" s="7"/>
      <c r="N59" s="7">
        <v>1000</v>
      </c>
      <c r="O59" s="7"/>
      <c r="P59" s="7"/>
      <c r="Q59" s="7"/>
      <c r="S59" s="1"/>
    </row>
    <row r="60" spans="3:19" ht="15.75" customHeight="1" x14ac:dyDescent="0.25">
      <c r="C60" s="10">
        <v>41</v>
      </c>
      <c r="D60" s="11">
        <v>45381</v>
      </c>
      <c r="E60" s="10" t="s">
        <v>512</v>
      </c>
      <c r="F60" s="22" t="s">
        <v>504</v>
      </c>
      <c r="G60" s="7">
        <v>500</v>
      </c>
      <c r="H60" s="31">
        <v>149</v>
      </c>
      <c r="I60" s="7"/>
      <c r="J60" s="7">
        <v>100</v>
      </c>
      <c r="K60" s="7"/>
      <c r="L60" s="7"/>
      <c r="M60" s="7"/>
      <c r="N60" s="7"/>
      <c r="O60" s="7"/>
      <c r="P60" s="7"/>
      <c r="Q60" s="7"/>
      <c r="S60" s="1"/>
    </row>
    <row r="61" spans="3:19" ht="15.75" customHeight="1" x14ac:dyDescent="0.25">
      <c r="C61" s="10">
        <v>42</v>
      </c>
      <c r="D61" s="11">
        <v>45381</v>
      </c>
      <c r="E61" s="10" t="s">
        <v>513</v>
      </c>
      <c r="F61" s="22" t="s">
        <v>80</v>
      </c>
      <c r="G61" s="7">
        <v>500</v>
      </c>
      <c r="H61" s="12">
        <v>151</v>
      </c>
      <c r="I61" s="7"/>
      <c r="J61" s="7">
        <v>500</v>
      </c>
      <c r="K61" s="7"/>
      <c r="L61" s="7"/>
      <c r="M61" s="7"/>
      <c r="N61" s="7"/>
      <c r="O61" s="7"/>
      <c r="P61" s="7"/>
      <c r="Q61" s="7"/>
      <c r="S61" s="1"/>
    </row>
    <row r="62" spans="3:19" ht="15.75" customHeight="1" x14ac:dyDescent="0.25">
      <c r="C62" s="10">
        <v>43</v>
      </c>
      <c r="D62" s="11"/>
      <c r="E62" s="10"/>
      <c r="F62" s="22" t="s">
        <v>71</v>
      </c>
      <c r="G62" s="7">
        <v>600</v>
      </c>
      <c r="H62" s="12">
        <v>154</v>
      </c>
      <c r="I62" s="7"/>
      <c r="J62" s="7"/>
      <c r="K62" s="7"/>
      <c r="L62" s="7"/>
      <c r="M62" s="7"/>
      <c r="N62" s="7"/>
      <c r="O62" s="7"/>
      <c r="P62" s="7"/>
      <c r="Q62" s="7"/>
      <c r="S62" s="1"/>
    </row>
    <row r="63" spans="3:19" ht="15.75" customHeight="1" x14ac:dyDescent="0.25">
      <c r="C63" s="10">
        <v>44</v>
      </c>
      <c r="D63" s="11"/>
      <c r="E63" s="10"/>
      <c r="F63" s="22" t="s">
        <v>284</v>
      </c>
      <c r="G63" s="7">
        <v>1000</v>
      </c>
      <c r="H63" s="12">
        <v>147</v>
      </c>
      <c r="I63" s="7"/>
      <c r="J63" s="7"/>
      <c r="K63" s="7"/>
      <c r="L63" s="7"/>
      <c r="M63" s="7"/>
      <c r="N63" s="7"/>
      <c r="O63" s="7"/>
      <c r="P63" s="7"/>
      <c r="Q63" s="7"/>
      <c r="S63" s="1"/>
    </row>
    <row r="64" spans="3:19" ht="15.75" customHeight="1" x14ac:dyDescent="0.25">
      <c r="C64" s="10">
        <v>45</v>
      </c>
      <c r="D64" s="11"/>
      <c r="E64" s="10"/>
      <c r="F64" s="22" t="s">
        <v>391</v>
      </c>
      <c r="G64" s="7">
        <v>4000</v>
      </c>
      <c r="H64" s="12">
        <v>115</v>
      </c>
      <c r="I64" s="7"/>
      <c r="J64" s="7"/>
      <c r="K64" s="7"/>
      <c r="L64" s="7"/>
      <c r="M64" s="7"/>
      <c r="N64" s="7"/>
      <c r="O64" s="7"/>
      <c r="P64" s="7"/>
      <c r="Q64" s="7"/>
      <c r="S64" s="1"/>
    </row>
    <row r="65" spans="3:19" ht="15.75" customHeight="1" x14ac:dyDescent="0.25">
      <c r="C65" s="10">
        <v>46</v>
      </c>
      <c r="D65" s="11"/>
      <c r="E65" s="10"/>
      <c r="F65" s="22" t="s">
        <v>476</v>
      </c>
      <c r="G65" s="7">
        <v>18000</v>
      </c>
      <c r="H65" s="12">
        <v>110</v>
      </c>
      <c r="I65" s="7"/>
      <c r="J65" s="7"/>
      <c r="K65" s="7"/>
      <c r="L65" s="7"/>
      <c r="M65" s="7"/>
      <c r="N65" s="7"/>
      <c r="O65" s="7"/>
      <c r="P65" s="7"/>
      <c r="Q65" s="7"/>
      <c r="S65" s="1"/>
    </row>
    <row r="66" spans="3:19" ht="15.75" customHeight="1" x14ac:dyDescent="0.25">
      <c r="C66" s="10">
        <v>47</v>
      </c>
      <c r="D66" s="11"/>
      <c r="E66" s="10"/>
      <c r="F66" s="22" t="s">
        <v>478</v>
      </c>
      <c r="G66" s="7">
        <v>500</v>
      </c>
      <c r="H66" s="12">
        <v>167.5</v>
      </c>
      <c r="I66" s="7"/>
      <c r="J66" s="7"/>
      <c r="K66" s="7"/>
      <c r="L66" s="7"/>
      <c r="M66" s="7"/>
      <c r="N66" s="7"/>
      <c r="O66" s="7"/>
      <c r="P66" s="7"/>
      <c r="Q66" s="7"/>
      <c r="S66" s="1"/>
    </row>
    <row r="67" spans="3:19" ht="15.75" customHeight="1" x14ac:dyDescent="0.25">
      <c r="C67" s="10">
        <v>48</v>
      </c>
      <c r="D67" s="11"/>
      <c r="E67" s="10"/>
      <c r="F67" s="22" t="s">
        <v>268</v>
      </c>
      <c r="G67" s="7">
        <v>1000</v>
      </c>
      <c r="H67" s="12">
        <v>170</v>
      </c>
      <c r="I67" s="7"/>
      <c r="J67" s="7"/>
      <c r="K67" s="7"/>
      <c r="L67" s="7"/>
      <c r="M67" s="7"/>
      <c r="N67" s="7"/>
      <c r="O67" s="7"/>
      <c r="P67" s="7"/>
      <c r="Q67" s="7"/>
      <c r="S67" s="1"/>
    </row>
    <row r="68" spans="3:19" ht="15.75" customHeight="1" x14ac:dyDescent="0.25">
      <c r="C68" s="10">
        <v>49</v>
      </c>
      <c r="D68" s="11"/>
      <c r="E68" s="10"/>
      <c r="F68" s="22" t="s">
        <v>37</v>
      </c>
      <c r="G68" s="7">
        <v>1000</v>
      </c>
      <c r="H68" s="12">
        <v>125</v>
      </c>
      <c r="I68" s="7"/>
      <c r="J68" s="7"/>
      <c r="K68" s="7"/>
      <c r="L68" s="7"/>
      <c r="M68" s="7"/>
      <c r="N68" s="7"/>
      <c r="O68" s="7"/>
      <c r="P68" s="7"/>
      <c r="Q68" s="7"/>
      <c r="S68" s="1"/>
    </row>
    <row r="69" spans="3:19" ht="15.75" customHeight="1" x14ac:dyDescent="0.25">
      <c r="C69" s="10">
        <v>50</v>
      </c>
      <c r="D69" s="11"/>
      <c r="E69" s="10"/>
      <c r="F69" s="22" t="s">
        <v>333</v>
      </c>
      <c r="G69" s="7">
        <v>20</v>
      </c>
      <c r="H69" s="12">
        <v>115</v>
      </c>
      <c r="I69" s="7"/>
      <c r="J69" s="7"/>
      <c r="K69" s="7"/>
      <c r="L69" s="7"/>
      <c r="M69" s="7"/>
      <c r="N69" s="7"/>
      <c r="O69" s="7"/>
      <c r="P69" s="7"/>
      <c r="Q69" s="7"/>
      <c r="S69" s="1"/>
    </row>
    <row r="70" spans="3:19" ht="15.75" customHeight="1" x14ac:dyDescent="0.25">
      <c r="C70" s="10">
        <v>51</v>
      </c>
      <c r="D70" s="11"/>
      <c r="E70" s="10"/>
      <c r="F70" s="22" t="s">
        <v>24</v>
      </c>
      <c r="G70" s="7">
        <v>200</v>
      </c>
      <c r="H70" s="12">
        <v>157</v>
      </c>
      <c r="I70" s="7"/>
      <c r="J70" s="7"/>
      <c r="K70" s="7"/>
      <c r="L70" s="7"/>
      <c r="M70" s="7"/>
      <c r="N70" s="7"/>
      <c r="O70" s="7"/>
      <c r="P70" s="7"/>
      <c r="Q70" s="7"/>
      <c r="S70" s="1"/>
    </row>
    <row r="71" spans="3:19" ht="15.75" customHeight="1" x14ac:dyDescent="0.25">
      <c r="C71" s="10">
        <v>52</v>
      </c>
      <c r="D71" s="11"/>
      <c r="E71" s="10"/>
      <c r="F71" s="22" t="s">
        <v>269</v>
      </c>
      <c r="G71" s="7">
        <v>100</v>
      </c>
      <c r="H71" s="31">
        <v>112</v>
      </c>
      <c r="I71" s="7"/>
      <c r="J71" s="7"/>
      <c r="K71" s="7"/>
      <c r="L71" s="7"/>
      <c r="M71" s="7"/>
      <c r="N71" s="7"/>
      <c r="O71" s="7"/>
      <c r="P71" s="7"/>
      <c r="Q71" s="7"/>
      <c r="S71" s="1"/>
    </row>
    <row r="72" spans="3:19" ht="15.75" customHeight="1" x14ac:dyDescent="0.25">
      <c r="C72" s="10">
        <v>53</v>
      </c>
      <c r="D72" s="11"/>
      <c r="E72" s="10"/>
      <c r="F72" s="22" t="s">
        <v>48</v>
      </c>
      <c r="G72" s="7">
        <v>500</v>
      </c>
      <c r="H72" s="12">
        <v>117</v>
      </c>
      <c r="I72" s="7"/>
      <c r="J72" s="7"/>
      <c r="K72" s="7"/>
      <c r="L72" s="7"/>
      <c r="M72" s="7"/>
      <c r="N72" s="7"/>
      <c r="O72" s="7"/>
      <c r="P72" s="7"/>
      <c r="Q72" s="7"/>
      <c r="S72" s="1"/>
    </row>
    <row r="73" spans="3:19" ht="15.75" customHeight="1" x14ac:dyDescent="0.25">
      <c r="C73" s="10">
        <v>54</v>
      </c>
      <c r="D73" s="11"/>
      <c r="E73" s="10"/>
      <c r="F73" s="22" t="s">
        <v>32</v>
      </c>
      <c r="G73" s="7">
        <v>500</v>
      </c>
      <c r="H73" s="12">
        <v>169</v>
      </c>
      <c r="I73" s="7"/>
      <c r="J73" s="7"/>
      <c r="K73" s="7"/>
      <c r="L73" s="7"/>
      <c r="M73" s="7"/>
      <c r="N73" s="7"/>
      <c r="O73" s="7"/>
      <c r="P73" s="7"/>
      <c r="Q73" s="7"/>
      <c r="S73" s="1"/>
    </row>
    <row r="74" spans="3:19" ht="15.75" customHeight="1" x14ac:dyDescent="0.25">
      <c r="C74" s="10">
        <v>55</v>
      </c>
      <c r="D74" s="11"/>
      <c r="E74" s="10"/>
      <c r="F74" s="22" t="s">
        <v>71</v>
      </c>
      <c r="G74" s="7">
        <v>25</v>
      </c>
      <c r="H74" s="12">
        <v>162</v>
      </c>
      <c r="I74" s="7"/>
      <c r="J74" s="7"/>
      <c r="K74" s="7"/>
      <c r="L74" s="7"/>
      <c r="M74" s="7"/>
      <c r="N74" s="7"/>
      <c r="O74" s="7"/>
      <c r="P74" s="7"/>
      <c r="Q74" s="7"/>
      <c r="S74" s="1"/>
    </row>
    <row r="75" spans="3:19" ht="15.75" customHeight="1" x14ac:dyDescent="0.25">
      <c r="C75" s="10">
        <v>56</v>
      </c>
      <c r="D75" s="11"/>
      <c r="E75" s="10"/>
      <c r="F75" s="22" t="s">
        <v>284</v>
      </c>
      <c r="G75" s="7">
        <v>1200</v>
      </c>
      <c r="H75" s="12" t="s">
        <v>416</v>
      </c>
      <c r="I75" s="7"/>
      <c r="J75" s="7"/>
      <c r="K75" s="7"/>
      <c r="L75" s="7"/>
      <c r="M75" s="7"/>
      <c r="N75" s="7"/>
      <c r="O75" s="7"/>
      <c r="P75" s="7"/>
      <c r="Q75" s="7"/>
      <c r="S75" s="1"/>
    </row>
    <row r="76" spans="3:19" ht="15.75" customHeight="1" x14ac:dyDescent="0.25">
      <c r="C76" s="10">
        <v>57</v>
      </c>
      <c r="D76" s="11"/>
      <c r="E76" s="10"/>
      <c r="F76" s="22" t="s">
        <v>71</v>
      </c>
      <c r="G76" s="7">
        <v>500</v>
      </c>
      <c r="H76" s="12">
        <v>162</v>
      </c>
      <c r="I76" s="7"/>
      <c r="J76" s="7"/>
      <c r="K76" s="7"/>
      <c r="L76" s="7"/>
      <c r="M76" s="7"/>
      <c r="N76" s="7"/>
      <c r="O76" s="7"/>
      <c r="P76" s="7"/>
      <c r="Q76" s="7"/>
      <c r="S76" s="1"/>
    </row>
    <row r="77" spans="3:19" ht="15.75" customHeight="1" x14ac:dyDescent="0.25">
      <c r="C77" s="10">
        <v>58</v>
      </c>
      <c r="D77" s="11"/>
      <c r="E77" s="10"/>
      <c r="F77" s="22" t="s">
        <v>51</v>
      </c>
      <c r="G77" s="7">
        <v>5000</v>
      </c>
      <c r="H77" s="12">
        <v>170</v>
      </c>
      <c r="I77" s="7"/>
      <c r="J77" s="7"/>
      <c r="K77" s="7"/>
      <c r="L77" s="7"/>
      <c r="M77" s="7"/>
      <c r="N77" s="7"/>
      <c r="O77" s="7"/>
      <c r="P77" s="7"/>
      <c r="Q77" s="7"/>
      <c r="S77" s="1"/>
    </row>
    <row r="78" spans="3:19" ht="15.75" customHeight="1" x14ac:dyDescent="0.25">
      <c r="C78" s="10">
        <v>59</v>
      </c>
      <c r="D78" s="11"/>
      <c r="E78" s="10"/>
      <c r="F78" s="22" t="s">
        <v>362</v>
      </c>
      <c r="G78" s="7">
        <v>1000</v>
      </c>
      <c r="H78" s="12">
        <v>156</v>
      </c>
      <c r="I78" s="7"/>
      <c r="J78" s="7"/>
      <c r="K78" s="7"/>
      <c r="L78" s="7"/>
      <c r="M78" s="7"/>
      <c r="N78" s="7"/>
      <c r="O78" s="7"/>
      <c r="P78" s="7"/>
      <c r="Q78" s="7"/>
      <c r="S78" s="1"/>
    </row>
    <row r="79" spans="3:19" ht="15.75" customHeight="1" x14ac:dyDescent="0.25">
      <c r="C79" s="10">
        <v>60</v>
      </c>
      <c r="D79" s="11"/>
      <c r="E79" s="10"/>
      <c r="F79" s="22" t="s">
        <v>193</v>
      </c>
      <c r="G79" s="7">
        <v>2000</v>
      </c>
      <c r="H79" s="12">
        <v>119</v>
      </c>
      <c r="I79" s="7"/>
      <c r="J79" s="7"/>
      <c r="K79" s="7"/>
      <c r="L79" s="7"/>
      <c r="M79" s="7"/>
      <c r="N79" s="7"/>
      <c r="O79" s="7"/>
      <c r="P79" s="7"/>
      <c r="Q79" s="7"/>
      <c r="S79" s="1"/>
    </row>
    <row r="80" spans="3:19" ht="15.75" customHeight="1" x14ac:dyDescent="0.25">
      <c r="C80" s="10">
        <v>61</v>
      </c>
      <c r="D80" s="11"/>
      <c r="E80" s="10"/>
      <c r="F80" s="22" t="s">
        <v>90</v>
      </c>
      <c r="G80" s="7">
        <v>4500</v>
      </c>
      <c r="H80" s="12">
        <v>113</v>
      </c>
      <c r="I80" s="7"/>
      <c r="J80" s="7"/>
      <c r="K80" s="7"/>
      <c r="L80" s="7"/>
      <c r="M80" s="7"/>
      <c r="N80" s="7"/>
      <c r="O80" s="7"/>
      <c r="P80" s="7"/>
      <c r="Q80" s="7"/>
      <c r="S80" s="1"/>
    </row>
    <row r="81" spans="3:19" ht="15.75" customHeight="1" x14ac:dyDescent="0.25">
      <c r="C81" s="10">
        <v>62</v>
      </c>
      <c r="D81" s="11"/>
      <c r="E81" s="10"/>
      <c r="F81" s="22" t="s">
        <v>394</v>
      </c>
      <c r="G81" s="7">
        <v>10000</v>
      </c>
      <c r="H81" s="12">
        <v>104</v>
      </c>
      <c r="I81" s="7"/>
      <c r="J81" s="7"/>
      <c r="K81" s="7"/>
      <c r="L81" s="7"/>
      <c r="M81" s="7"/>
      <c r="N81" s="7"/>
      <c r="O81" s="7"/>
      <c r="P81" s="7"/>
      <c r="Q81" s="7"/>
      <c r="S81" s="1"/>
    </row>
    <row r="82" spans="3:19" ht="15.75" customHeight="1" x14ac:dyDescent="0.25">
      <c r="C82" s="10">
        <v>63</v>
      </c>
      <c r="D82" s="11"/>
      <c r="E82" s="10"/>
      <c r="F82" s="22" t="s">
        <v>30</v>
      </c>
      <c r="G82" s="7">
        <v>300</v>
      </c>
      <c r="H82" s="12" t="s">
        <v>417</v>
      </c>
      <c r="I82" s="7"/>
      <c r="J82" s="7"/>
      <c r="K82" s="7"/>
      <c r="L82" s="7"/>
      <c r="M82" s="7"/>
      <c r="N82" s="7"/>
      <c r="O82" s="7"/>
      <c r="P82" s="7"/>
      <c r="Q82" s="7"/>
    </row>
    <row r="83" spans="3:19" ht="15.75" customHeight="1" x14ac:dyDescent="0.25">
      <c r="C83" s="10">
        <v>64</v>
      </c>
      <c r="D83" s="11"/>
      <c r="E83" s="10"/>
      <c r="F83" s="22" t="s">
        <v>80</v>
      </c>
      <c r="G83" s="7">
        <v>250</v>
      </c>
      <c r="H83" s="12">
        <v>144</v>
      </c>
      <c r="I83" s="7"/>
      <c r="J83" s="7"/>
      <c r="K83" s="7"/>
      <c r="L83" s="7"/>
      <c r="M83" s="7"/>
      <c r="N83" s="7"/>
      <c r="O83" s="7"/>
      <c r="P83" s="7"/>
      <c r="Q83" s="7"/>
    </row>
    <row r="84" spans="3:19" ht="15.75" customHeight="1" x14ac:dyDescent="0.25">
      <c r="C84" s="10">
        <v>65</v>
      </c>
      <c r="D84" s="11"/>
      <c r="E84" s="10"/>
      <c r="F84" s="22" t="s">
        <v>139</v>
      </c>
      <c r="G84" s="7">
        <v>1000</v>
      </c>
      <c r="H84" s="12">
        <v>117</v>
      </c>
      <c r="I84" s="7"/>
      <c r="J84" s="7"/>
      <c r="K84" s="7"/>
      <c r="L84" s="7"/>
      <c r="M84" s="7"/>
      <c r="N84" s="7"/>
      <c r="O84" s="7"/>
      <c r="P84" s="7"/>
      <c r="Q84" s="7"/>
    </row>
    <row r="85" spans="3:19" ht="15.75" customHeight="1" x14ac:dyDescent="0.25">
      <c r="C85" s="10">
        <v>66</v>
      </c>
      <c r="D85" s="11"/>
      <c r="E85" s="10"/>
      <c r="F85" s="22" t="s">
        <v>255</v>
      </c>
      <c r="G85" s="7">
        <v>800</v>
      </c>
      <c r="H85" s="12" t="s">
        <v>419</v>
      </c>
      <c r="I85" s="7"/>
      <c r="J85" s="7"/>
      <c r="K85" s="7"/>
      <c r="L85" s="7"/>
      <c r="M85" s="7"/>
      <c r="N85" s="7"/>
      <c r="O85" s="7"/>
      <c r="P85" s="7"/>
      <c r="Q85" s="7"/>
    </row>
    <row r="86" spans="3:19" ht="15.75" customHeight="1" x14ac:dyDescent="0.25">
      <c r="C86" s="10">
        <v>67</v>
      </c>
      <c r="D86" s="11"/>
      <c r="E86" s="10"/>
      <c r="F86" s="22" t="s">
        <v>269</v>
      </c>
      <c r="G86" s="7">
        <v>450</v>
      </c>
      <c r="H86" s="12" t="s">
        <v>421</v>
      </c>
      <c r="I86" s="7"/>
      <c r="J86" s="7"/>
      <c r="K86" s="7"/>
      <c r="L86" s="7"/>
      <c r="M86" s="7"/>
      <c r="N86" s="7"/>
      <c r="O86" s="7"/>
      <c r="P86" s="7"/>
      <c r="Q86" s="7"/>
    </row>
    <row r="87" spans="3:19" ht="15.75" customHeight="1" x14ac:dyDescent="0.25">
      <c r="C87" s="10">
        <v>68</v>
      </c>
      <c r="D87" s="11"/>
      <c r="E87" s="10"/>
      <c r="F87" s="22" t="s">
        <v>37</v>
      </c>
      <c r="G87" s="7">
        <v>597</v>
      </c>
      <c r="H87" s="12">
        <v>125</v>
      </c>
      <c r="I87" s="7"/>
      <c r="J87" s="7"/>
      <c r="K87" s="7"/>
      <c r="L87" s="7"/>
      <c r="M87" s="7"/>
      <c r="N87" s="7"/>
      <c r="O87" s="7"/>
      <c r="P87" s="7"/>
      <c r="Q87" s="7"/>
    </row>
    <row r="88" spans="3:19" ht="15.75" customHeight="1" x14ac:dyDescent="0.25">
      <c r="C88" s="10">
        <v>69</v>
      </c>
      <c r="D88" s="11"/>
      <c r="E88" s="10"/>
      <c r="F88" s="22" t="s">
        <v>112</v>
      </c>
      <c r="G88" s="7">
        <v>8000</v>
      </c>
      <c r="H88" s="12" t="s">
        <v>324</v>
      </c>
      <c r="I88" s="7"/>
      <c r="J88" s="7"/>
      <c r="K88" s="7"/>
      <c r="L88" s="7"/>
      <c r="M88" s="7"/>
      <c r="N88" s="7"/>
      <c r="O88" s="7"/>
      <c r="P88" s="7"/>
      <c r="Q88" s="7"/>
    </row>
    <row r="89" spans="3:19" ht="15.75" customHeight="1" x14ac:dyDescent="0.25">
      <c r="C89" s="10">
        <v>70</v>
      </c>
      <c r="D89" s="11"/>
      <c r="E89" s="10"/>
      <c r="F89" s="22" t="s">
        <v>325</v>
      </c>
      <c r="G89" s="7">
        <v>500</v>
      </c>
      <c r="H89" s="12">
        <v>209</v>
      </c>
      <c r="I89" s="7"/>
      <c r="J89" s="7"/>
      <c r="K89" s="7"/>
      <c r="L89" s="7"/>
      <c r="M89" s="7"/>
      <c r="N89" s="7"/>
      <c r="O89" s="7"/>
      <c r="P89" s="7"/>
      <c r="Q89" s="7"/>
    </row>
    <row r="90" spans="3:19" ht="15.75" customHeight="1" x14ac:dyDescent="0.25">
      <c r="C90" s="10">
        <v>71</v>
      </c>
      <c r="D90" s="11"/>
      <c r="E90" s="10"/>
      <c r="F90" s="22" t="s">
        <v>284</v>
      </c>
      <c r="G90" s="7">
        <v>520</v>
      </c>
      <c r="H90" s="12" t="s">
        <v>326</v>
      </c>
      <c r="I90" s="7"/>
      <c r="J90" s="7"/>
      <c r="K90" s="7"/>
      <c r="L90" s="7"/>
      <c r="M90" s="7"/>
      <c r="N90" s="7"/>
      <c r="O90" s="7"/>
      <c r="P90" s="7"/>
      <c r="Q90" s="14"/>
    </row>
    <row r="91" spans="3:19" ht="15.75" customHeight="1" x14ac:dyDescent="0.25">
      <c r="C91" s="10">
        <v>72</v>
      </c>
      <c r="D91" s="11"/>
      <c r="E91" s="10"/>
      <c r="F91" s="22" t="s">
        <v>43</v>
      </c>
      <c r="G91" s="7">
        <v>1000</v>
      </c>
      <c r="H91" s="12">
        <v>162</v>
      </c>
      <c r="I91" s="7"/>
      <c r="J91" s="7"/>
      <c r="K91" s="7"/>
      <c r="L91" s="7"/>
      <c r="M91" s="7"/>
      <c r="N91" s="7"/>
      <c r="O91" s="7"/>
      <c r="P91" s="7"/>
      <c r="Q91" s="7"/>
    </row>
    <row r="92" spans="3:19" ht="15.75" customHeight="1" x14ac:dyDescent="0.25">
      <c r="C92" s="10">
        <v>73</v>
      </c>
      <c r="D92" s="11"/>
      <c r="E92" s="10"/>
      <c r="F92" s="22" t="s">
        <v>268</v>
      </c>
      <c r="G92" s="7">
        <v>500</v>
      </c>
      <c r="H92" s="12">
        <v>200</v>
      </c>
      <c r="I92" s="7"/>
      <c r="J92" s="7"/>
      <c r="K92" s="7"/>
      <c r="L92" s="7"/>
      <c r="M92" s="7"/>
      <c r="N92" s="7"/>
      <c r="O92" s="7"/>
      <c r="P92" s="7"/>
      <c r="Q92" s="7"/>
    </row>
    <row r="93" spans="3:19" ht="15.75" customHeight="1" x14ac:dyDescent="0.25">
      <c r="C93" s="10">
        <v>74</v>
      </c>
      <c r="D93" s="11"/>
      <c r="E93" s="10"/>
      <c r="F93" s="22" t="s">
        <v>30</v>
      </c>
      <c r="G93" s="7">
        <v>300</v>
      </c>
      <c r="H93" s="12" t="s">
        <v>329</v>
      </c>
      <c r="I93" s="7"/>
      <c r="J93" s="7"/>
      <c r="K93" s="7"/>
      <c r="L93" s="7"/>
      <c r="M93" s="7"/>
      <c r="N93" s="7"/>
      <c r="O93" s="7"/>
      <c r="P93" s="7"/>
      <c r="Q93" s="7"/>
    </row>
    <row r="94" spans="3:19" ht="15.75" customHeight="1" x14ac:dyDescent="0.25">
      <c r="C94" s="10">
        <v>75</v>
      </c>
      <c r="D94" s="11"/>
      <c r="E94" s="10"/>
      <c r="F94" s="22" t="s">
        <v>190</v>
      </c>
      <c r="G94" s="7">
        <v>1100</v>
      </c>
      <c r="H94" s="12" t="s">
        <v>330</v>
      </c>
      <c r="I94" s="7"/>
      <c r="J94" s="7"/>
      <c r="K94" s="7"/>
      <c r="L94" s="7"/>
      <c r="M94" s="7"/>
      <c r="N94" s="7"/>
      <c r="O94" s="7"/>
      <c r="P94" s="7"/>
      <c r="Q94" s="7"/>
    </row>
    <row r="95" spans="3:19" ht="15.75" customHeight="1" x14ac:dyDescent="0.25">
      <c r="C95" s="10">
        <v>76</v>
      </c>
      <c r="D95" s="11"/>
      <c r="E95" s="10"/>
      <c r="F95" s="22" t="s">
        <v>331</v>
      </c>
      <c r="G95" s="7">
        <v>40</v>
      </c>
      <c r="H95" s="12">
        <v>195</v>
      </c>
      <c r="I95" s="7"/>
      <c r="J95" s="7"/>
      <c r="K95" s="7"/>
      <c r="L95" s="7"/>
      <c r="M95" s="7"/>
      <c r="N95" s="7"/>
      <c r="O95" s="7"/>
      <c r="P95" s="7"/>
      <c r="Q95" s="7"/>
    </row>
    <row r="96" spans="3:19" ht="15.75" customHeight="1" x14ac:dyDescent="0.25">
      <c r="C96" s="10">
        <v>77</v>
      </c>
      <c r="D96" s="11"/>
      <c r="E96" s="10"/>
      <c r="F96" s="22" t="s">
        <v>69</v>
      </c>
      <c r="G96" s="7">
        <v>340</v>
      </c>
      <c r="H96" s="12">
        <v>205</v>
      </c>
      <c r="I96" s="7"/>
      <c r="J96" s="7"/>
      <c r="K96" s="7"/>
      <c r="L96" s="7"/>
      <c r="M96" s="7"/>
      <c r="N96" s="7"/>
      <c r="O96" s="7"/>
      <c r="P96" s="7"/>
      <c r="Q96" s="7"/>
    </row>
    <row r="97" spans="3:17" ht="15.75" customHeight="1" x14ac:dyDescent="0.25">
      <c r="C97" s="10">
        <v>78</v>
      </c>
      <c r="D97" s="11"/>
      <c r="E97" s="10"/>
      <c r="F97" s="22" t="s">
        <v>52</v>
      </c>
      <c r="G97" s="7">
        <v>4000</v>
      </c>
      <c r="H97" s="12" t="s">
        <v>332</v>
      </c>
      <c r="I97" s="7"/>
      <c r="J97" s="7"/>
      <c r="K97" s="7"/>
      <c r="L97" s="7"/>
      <c r="M97" s="7"/>
      <c r="N97" s="7"/>
      <c r="O97" s="7"/>
      <c r="P97" s="7"/>
      <c r="Q97" s="7"/>
    </row>
    <row r="98" spans="3:17" ht="15.75" customHeight="1" x14ac:dyDescent="0.25">
      <c r="C98" s="10">
        <v>79</v>
      </c>
      <c r="D98" s="11"/>
      <c r="E98" s="10"/>
      <c r="F98" s="22" t="s">
        <v>37</v>
      </c>
      <c r="G98" s="7">
        <v>500</v>
      </c>
      <c r="H98" s="12">
        <v>125</v>
      </c>
      <c r="I98" s="7"/>
      <c r="J98" s="7"/>
      <c r="K98" s="7"/>
      <c r="L98" s="7"/>
      <c r="M98" s="7"/>
      <c r="N98" s="7"/>
      <c r="O98" s="7"/>
      <c r="P98" s="7"/>
      <c r="Q98" s="7"/>
    </row>
    <row r="99" spans="3:17" ht="15.75" customHeight="1" x14ac:dyDescent="0.25">
      <c r="C99" s="10">
        <v>80</v>
      </c>
      <c r="D99" s="11"/>
      <c r="E99" s="10"/>
      <c r="F99" s="22" t="s">
        <v>220</v>
      </c>
      <c r="G99" s="7">
        <v>1000</v>
      </c>
      <c r="H99" s="12">
        <v>163</v>
      </c>
      <c r="I99" s="7"/>
      <c r="J99" s="7"/>
      <c r="K99" s="7"/>
      <c r="L99" s="7"/>
      <c r="M99" s="7"/>
      <c r="N99" s="7"/>
      <c r="O99" s="7"/>
      <c r="P99" s="7"/>
      <c r="Q99" s="7"/>
    </row>
    <row r="100" spans="3:17" ht="15.75" customHeight="1" x14ac:dyDescent="0.25">
      <c r="C100" s="10">
        <v>81</v>
      </c>
      <c r="D100" s="11"/>
      <c r="E100" s="10"/>
      <c r="F100" s="22" t="s">
        <v>333</v>
      </c>
      <c r="G100" s="7">
        <v>1000</v>
      </c>
      <c r="H100" s="12">
        <v>147</v>
      </c>
      <c r="I100" s="7"/>
      <c r="J100" s="7"/>
      <c r="K100" s="7"/>
      <c r="L100" s="7"/>
      <c r="M100" s="7"/>
      <c r="N100" s="7"/>
      <c r="O100" s="7"/>
      <c r="P100" s="7"/>
      <c r="Q100" s="7"/>
    </row>
    <row r="101" spans="3:17" ht="15.75" customHeight="1" x14ac:dyDescent="0.25">
      <c r="C101" s="13" t="s">
        <v>3</v>
      </c>
      <c r="D101" s="14"/>
      <c r="E101" s="13"/>
      <c r="F101" s="25"/>
      <c r="G101" s="14">
        <f>SUM(G21:G100)</f>
        <v>148832</v>
      </c>
      <c r="H101" s="14"/>
      <c r="I101" s="14">
        <f t="shared" ref="I101:Q101" si="6">SUM(I21:I100)</f>
        <v>37620</v>
      </c>
      <c r="J101" s="14">
        <f t="shared" si="6"/>
        <v>7500</v>
      </c>
      <c r="K101" s="14">
        <f t="shared" si="6"/>
        <v>640</v>
      </c>
      <c r="L101" s="14">
        <f t="shared" si="6"/>
        <v>5100</v>
      </c>
      <c r="M101" s="14">
        <f t="shared" si="6"/>
        <v>12975</v>
      </c>
      <c r="N101" s="14">
        <f t="shared" si="6"/>
        <v>5100</v>
      </c>
      <c r="O101" s="14">
        <f t="shared" si="6"/>
        <v>3775</v>
      </c>
      <c r="P101" s="14">
        <f t="shared" si="6"/>
        <v>1300</v>
      </c>
      <c r="Q101" s="14">
        <f t="shared" si="6"/>
        <v>5100</v>
      </c>
    </row>
    <row r="102" spans="3:17" ht="15.75" customHeight="1" x14ac:dyDescent="0.25">
      <c r="C102" s="1"/>
      <c r="E102" s="1"/>
      <c r="F102" s="16"/>
    </row>
    <row r="103" spans="3:17" ht="15.75" customHeight="1" x14ac:dyDescent="0.25">
      <c r="C103" s="1"/>
      <c r="D103" s="1"/>
      <c r="E103" s="1"/>
      <c r="F103" s="16"/>
      <c r="I103" s="33">
        <f>SUM('Mar 24'!$I$101:'Mar 24'!$Q$101)</f>
        <v>79110</v>
      </c>
    </row>
    <row r="104" spans="3:17" ht="15.75" customHeight="1" x14ac:dyDescent="0.25">
      <c r="E104" s="1"/>
      <c r="F104" s="16"/>
    </row>
    <row r="105" spans="3:17" ht="15.75" customHeight="1" x14ac:dyDescent="0.25"/>
    <row r="106" spans="3:17" ht="15.75" customHeight="1" x14ac:dyDescent="0.25"/>
    <row r="107" spans="3:17" ht="15.75" customHeight="1" x14ac:dyDescent="0.25"/>
    <row r="108" spans="3:17" ht="15.75" customHeight="1" x14ac:dyDescent="0.25"/>
    <row r="109" spans="3:17" ht="15.75" customHeight="1" x14ac:dyDescent="0.25"/>
    <row r="110" spans="3:17" ht="15.75" customHeight="1" x14ac:dyDescent="0.25"/>
    <row r="111" spans="3:17" ht="15.75" customHeight="1" x14ac:dyDescent="0.25"/>
    <row r="112" spans="3:1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T35:V35"/>
    <mergeCell ref="T36:V36"/>
    <mergeCell ref="T37:V37"/>
    <mergeCell ref="C11:D11"/>
    <mergeCell ref="C18:E18"/>
    <mergeCell ref="T20:W20"/>
    <mergeCell ref="T21:V21"/>
    <mergeCell ref="T32:V32"/>
    <mergeCell ref="T33:V33"/>
    <mergeCell ref="T34:V34"/>
  </mergeCells>
  <pageMargins left="0.7" right="0.7" top="0.75" bottom="0.75" header="0" footer="0"/>
  <pageSetup orientation="portrait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4:W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8" customWidth="1"/>
    <col min="3" max="3" width="9.85546875" customWidth="1"/>
    <col min="4" max="4" width="13.140625" customWidth="1"/>
    <col min="5" max="5" width="10.42578125" customWidth="1"/>
    <col min="6" max="6" width="9.42578125" customWidth="1"/>
    <col min="7" max="7" width="8.7109375" customWidth="1"/>
    <col min="8" max="8" width="12.28515625" customWidth="1"/>
    <col min="9" max="14" width="8.7109375" customWidth="1"/>
    <col min="15" max="15" width="11.7109375" customWidth="1"/>
    <col min="16" max="16" width="11.42578125" customWidth="1"/>
    <col min="17" max="17" width="11.85546875" customWidth="1"/>
    <col min="18" max="20" width="8.7109375" customWidth="1"/>
    <col min="21" max="21" width="10.7109375" customWidth="1"/>
    <col min="22" max="26" width="8.7109375" customWidth="1"/>
  </cols>
  <sheetData>
    <row r="4" spans="3:17" ht="15.75" x14ac:dyDescent="0.25">
      <c r="C4" s="1"/>
      <c r="D4" s="2" t="s">
        <v>450</v>
      </c>
      <c r="E4" s="17"/>
      <c r="F4" s="18"/>
      <c r="G4" s="2"/>
      <c r="H4" s="2"/>
      <c r="I4" s="2"/>
      <c r="J4" s="2"/>
      <c r="K4" s="8"/>
      <c r="L4" s="2"/>
      <c r="M4" s="3"/>
      <c r="N4" s="3"/>
      <c r="O4" s="65" t="s">
        <v>88</v>
      </c>
      <c r="P4" s="60" t="s">
        <v>2</v>
      </c>
      <c r="Q4" s="66" t="s">
        <v>117</v>
      </c>
    </row>
    <row r="5" spans="3:17" ht="15.75" x14ac:dyDescent="0.25">
      <c r="C5" s="1"/>
      <c r="D5" s="67" t="s">
        <v>1</v>
      </c>
      <c r="E5" s="44" t="s">
        <v>2</v>
      </c>
      <c r="F5" s="45">
        <v>1799</v>
      </c>
      <c r="G5" s="46">
        <v>2699</v>
      </c>
      <c r="H5" s="46">
        <v>588</v>
      </c>
      <c r="I5" s="46">
        <v>2088</v>
      </c>
      <c r="J5" s="46">
        <v>2488</v>
      </c>
      <c r="K5" s="46">
        <v>2688</v>
      </c>
      <c r="L5" s="45">
        <v>3099</v>
      </c>
      <c r="M5" s="62" t="s">
        <v>295</v>
      </c>
      <c r="N5" s="45" t="s">
        <v>3</v>
      </c>
      <c r="O5" s="47"/>
      <c r="P5" s="42"/>
      <c r="Q5" s="42"/>
    </row>
    <row r="6" spans="3:17" ht="18.75" x14ac:dyDescent="0.3">
      <c r="C6" s="1"/>
      <c r="D6" s="6" t="s">
        <v>259</v>
      </c>
      <c r="E6" s="7">
        <v>203545</v>
      </c>
      <c r="F6" s="12">
        <v>10500</v>
      </c>
      <c r="G6" s="7">
        <v>21285</v>
      </c>
      <c r="H6" s="7">
        <v>5020</v>
      </c>
      <c r="I6" s="7">
        <v>0</v>
      </c>
      <c r="J6" s="7">
        <v>21885</v>
      </c>
      <c r="K6" s="7">
        <v>12775</v>
      </c>
      <c r="L6" s="7">
        <v>17125</v>
      </c>
      <c r="M6" s="7">
        <v>9300</v>
      </c>
      <c r="N6" s="7">
        <f t="shared" ref="N6:N8" si="0">SUM(E6:M6)</f>
        <v>301435</v>
      </c>
      <c r="O6" s="68">
        <f t="shared" ref="O6:O9" si="1">SUM(F6:M6)</f>
        <v>97890</v>
      </c>
      <c r="P6" s="69">
        <f t="shared" ref="P6:P9" si="2">E6</f>
        <v>203545</v>
      </c>
      <c r="Q6" s="70">
        <f t="shared" ref="Q6:Q7" si="3">O6+P6</f>
        <v>301435</v>
      </c>
    </row>
    <row r="7" spans="3:17" ht="18.75" x14ac:dyDescent="0.3">
      <c r="C7" s="1"/>
      <c r="D7" s="6" t="s">
        <v>365</v>
      </c>
      <c r="E7" s="7">
        <f>W32</f>
        <v>38231</v>
      </c>
      <c r="F7" s="7">
        <f t="shared" ref="F7:M7" si="4">F18</f>
        <v>18000</v>
      </c>
      <c r="G7" s="7">
        <f t="shared" si="4"/>
        <v>0</v>
      </c>
      <c r="H7" s="7">
        <f t="shared" si="4"/>
        <v>0</v>
      </c>
      <c r="I7" s="7">
        <f t="shared" si="4"/>
        <v>0</v>
      </c>
      <c r="J7" s="7">
        <f t="shared" si="4"/>
        <v>0</v>
      </c>
      <c r="K7" s="7">
        <f t="shared" si="4"/>
        <v>0</v>
      </c>
      <c r="L7" s="7">
        <f t="shared" si="4"/>
        <v>0</v>
      </c>
      <c r="M7" s="7">
        <f t="shared" si="4"/>
        <v>0</v>
      </c>
      <c r="N7" s="7">
        <f t="shared" si="0"/>
        <v>56231</v>
      </c>
      <c r="O7" s="68">
        <f t="shared" si="1"/>
        <v>18000</v>
      </c>
      <c r="P7" s="69">
        <f t="shared" si="2"/>
        <v>38231</v>
      </c>
      <c r="Q7" s="70">
        <f t="shared" si="3"/>
        <v>56231</v>
      </c>
    </row>
    <row r="8" spans="3:17" ht="21" x14ac:dyDescent="0.35">
      <c r="C8" s="1"/>
      <c r="D8" s="71" t="s">
        <v>514</v>
      </c>
      <c r="E8" s="48">
        <f>'April 24'!$I$101</f>
        <v>69900</v>
      </c>
      <c r="F8" s="48">
        <f>'April 24'!$J$101</f>
        <v>14900</v>
      </c>
      <c r="G8" s="49">
        <f>'April 24'!$K$101</f>
        <v>14500</v>
      </c>
      <c r="H8" s="49">
        <f>'April 24'!$L$101</f>
        <v>1000</v>
      </c>
      <c r="I8" s="49">
        <f>'April 24'!$M$101</f>
        <v>0</v>
      </c>
      <c r="J8" s="49">
        <f>'April 24'!$N$101</f>
        <v>2700</v>
      </c>
      <c r="K8" s="49">
        <f>'April 24'!$O$101</f>
        <v>2500</v>
      </c>
      <c r="L8" s="49">
        <f>'April 24'!$P$101</f>
        <v>0</v>
      </c>
      <c r="M8" s="49">
        <f>'April 24'!$Q$101</f>
        <v>3840</v>
      </c>
      <c r="N8" s="72">
        <f t="shared" si="0"/>
        <v>109340</v>
      </c>
      <c r="O8" s="73">
        <f t="shared" si="1"/>
        <v>39440</v>
      </c>
      <c r="P8" s="74">
        <f t="shared" si="2"/>
        <v>69900</v>
      </c>
      <c r="Q8" s="75">
        <f t="shared" ref="Q8:Q9" si="5">SUM(O8,P8)</f>
        <v>109340</v>
      </c>
    </row>
    <row r="9" spans="3:17" ht="17.25" x14ac:dyDescent="0.3">
      <c r="C9" s="1"/>
      <c r="D9" s="6" t="s">
        <v>261</v>
      </c>
      <c r="E9" s="12">
        <f t="shared" ref="E9:M9" si="6">SUM(E6,E7-E8)</f>
        <v>171876</v>
      </c>
      <c r="F9" s="12">
        <f t="shared" si="6"/>
        <v>13600</v>
      </c>
      <c r="G9" s="12">
        <f t="shared" si="6"/>
        <v>6785</v>
      </c>
      <c r="H9" s="12">
        <f t="shared" si="6"/>
        <v>4020</v>
      </c>
      <c r="I9" s="12">
        <f t="shared" si="6"/>
        <v>0</v>
      </c>
      <c r="J9" s="12">
        <f t="shared" si="6"/>
        <v>19185</v>
      </c>
      <c r="K9" s="12">
        <f t="shared" si="6"/>
        <v>10275</v>
      </c>
      <c r="L9" s="12">
        <f t="shared" si="6"/>
        <v>17125</v>
      </c>
      <c r="M9" s="12">
        <f t="shared" si="6"/>
        <v>5460</v>
      </c>
      <c r="N9" s="12">
        <f>SUM(N6+N7-N8)</f>
        <v>248326</v>
      </c>
      <c r="O9" s="55">
        <f t="shared" si="1"/>
        <v>76450</v>
      </c>
      <c r="P9" s="56">
        <f t="shared" si="2"/>
        <v>171876</v>
      </c>
      <c r="Q9" s="57">
        <f t="shared" si="5"/>
        <v>248326</v>
      </c>
    </row>
    <row r="10" spans="3:17" x14ac:dyDescent="0.25">
      <c r="C10" s="1"/>
      <c r="E10" s="1"/>
      <c r="F10" s="16"/>
    </row>
    <row r="11" spans="3:17" ht="15.75" x14ac:dyDescent="0.25">
      <c r="C11" s="103" t="s">
        <v>367</v>
      </c>
      <c r="D11" s="99"/>
      <c r="E11" s="21" t="s">
        <v>368</v>
      </c>
      <c r="F11" s="45">
        <v>1799</v>
      </c>
      <c r="G11" s="46">
        <v>2699</v>
      </c>
      <c r="H11" s="46">
        <v>588</v>
      </c>
      <c r="I11" s="46">
        <v>2088</v>
      </c>
      <c r="J11" s="46">
        <v>2488</v>
      </c>
      <c r="K11" s="46">
        <v>2688</v>
      </c>
      <c r="L11" s="45">
        <v>3099</v>
      </c>
      <c r="M11" s="62" t="s">
        <v>295</v>
      </c>
      <c r="N11" s="45" t="s">
        <v>3</v>
      </c>
      <c r="O11" s="76" t="s">
        <v>369</v>
      </c>
      <c r="P11" s="76" t="s">
        <v>370</v>
      </c>
    </row>
    <row r="12" spans="3:17" x14ac:dyDescent="0.25">
      <c r="C12" s="9" t="s">
        <v>371</v>
      </c>
      <c r="D12" s="79" t="s">
        <v>372</v>
      </c>
      <c r="E12" s="9" t="s">
        <v>373</v>
      </c>
      <c r="F12" s="22"/>
      <c r="G12" s="7"/>
      <c r="H12" s="7"/>
      <c r="I12" s="7"/>
      <c r="J12" s="7"/>
      <c r="K12" s="7"/>
      <c r="L12" s="7"/>
      <c r="M12" s="7"/>
      <c r="N12" s="7">
        <f>SUM(F12:M12)</f>
        <v>0</v>
      </c>
      <c r="O12" s="10"/>
      <c r="P12" s="10"/>
    </row>
    <row r="13" spans="3:17" x14ac:dyDescent="0.25">
      <c r="C13" s="10">
        <v>1</v>
      </c>
      <c r="D13" s="7" t="s">
        <v>374</v>
      </c>
      <c r="E13" s="78">
        <v>45386</v>
      </c>
      <c r="F13" s="10">
        <v>18000</v>
      </c>
      <c r="G13" s="7"/>
      <c r="H13" s="7"/>
      <c r="I13" s="7"/>
      <c r="J13" s="7"/>
      <c r="K13" s="7"/>
      <c r="L13" s="7"/>
      <c r="M13" s="7"/>
      <c r="N13" s="7"/>
      <c r="O13" s="10"/>
      <c r="P13" s="10"/>
    </row>
    <row r="14" spans="3:17" x14ac:dyDescent="0.25">
      <c r="C14" s="10">
        <v>2</v>
      </c>
      <c r="D14" s="7" t="s">
        <v>376</v>
      </c>
      <c r="E14" s="78"/>
      <c r="F14" s="22"/>
      <c r="G14" s="7"/>
      <c r="H14" s="7"/>
      <c r="I14" s="7"/>
      <c r="J14" s="7"/>
      <c r="K14" s="7"/>
      <c r="L14" s="7"/>
      <c r="M14" s="7"/>
      <c r="N14" s="7"/>
      <c r="O14" s="10"/>
      <c r="P14" s="10"/>
    </row>
    <row r="15" spans="3:17" x14ac:dyDescent="0.25">
      <c r="C15" s="10">
        <v>3</v>
      </c>
      <c r="D15" s="7" t="s">
        <v>376</v>
      </c>
      <c r="E15" s="78"/>
      <c r="F15" s="22"/>
      <c r="G15" s="7"/>
      <c r="H15" s="7"/>
      <c r="I15" s="7"/>
      <c r="J15" s="7"/>
      <c r="K15" s="7"/>
      <c r="L15" s="7"/>
      <c r="M15" s="7"/>
      <c r="N15" s="7"/>
      <c r="O15" s="10"/>
      <c r="P15" s="10"/>
    </row>
    <row r="16" spans="3:17" x14ac:dyDescent="0.25">
      <c r="C16" s="10">
        <v>4</v>
      </c>
      <c r="D16" s="7" t="s">
        <v>374</v>
      </c>
      <c r="E16" s="78"/>
      <c r="F16" s="22"/>
      <c r="G16" s="7"/>
      <c r="H16" s="7"/>
      <c r="I16" s="7"/>
      <c r="J16" s="7"/>
      <c r="K16" s="7"/>
      <c r="L16" s="7"/>
      <c r="M16" s="7"/>
      <c r="N16" s="7"/>
      <c r="O16" s="10"/>
      <c r="P16" s="10"/>
    </row>
    <row r="17" spans="3:23" x14ac:dyDescent="0.25">
      <c r="C17" s="10">
        <v>5</v>
      </c>
      <c r="D17" s="7" t="s">
        <v>378</v>
      </c>
      <c r="E17" s="11"/>
      <c r="F17" s="7"/>
      <c r="G17" s="7"/>
      <c r="H17" s="7"/>
      <c r="I17" s="7"/>
      <c r="J17" s="7"/>
      <c r="K17" s="7"/>
      <c r="L17" s="7"/>
      <c r="M17" s="7"/>
      <c r="N17" s="7"/>
      <c r="O17" s="10"/>
      <c r="P17" s="10"/>
    </row>
    <row r="18" spans="3:23" x14ac:dyDescent="0.25">
      <c r="C18" s="104" t="s">
        <v>3</v>
      </c>
      <c r="D18" s="98"/>
      <c r="E18" s="99"/>
      <c r="F18" s="7">
        <f t="shared" ref="F18:M18" si="7">SUM(F12:F17)</f>
        <v>18000</v>
      </c>
      <c r="G18" s="7">
        <f t="shared" si="7"/>
        <v>0</v>
      </c>
      <c r="H18" s="7">
        <f t="shared" si="7"/>
        <v>0</v>
      </c>
      <c r="I18" s="7">
        <f t="shared" si="7"/>
        <v>0</v>
      </c>
      <c r="J18" s="7">
        <f t="shared" si="7"/>
        <v>0</v>
      </c>
      <c r="K18" s="7">
        <f t="shared" si="7"/>
        <v>0</v>
      </c>
      <c r="L18" s="7">
        <f t="shared" si="7"/>
        <v>0</v>
      </c>
      <c r="M18" s="7">
        <f t="shared" si="7"/>
        <v>0</v>
      </c>
      <c r="N18" s="7">
        <f>SUM(F18:M18)</f>
        <v>18000</v>
      </c>
      <c r="O18" s="10"/>
      <c r="P18" s="10"/>
    </row>
    <row r="19" spans="3:23" x14ac:dyDescent="0.25">
      <c r="C19" s="1"/>
      <c r="E19" s="1"/>
      <c r="F19" s="16"/>
    </row>
    <row r="20" spans="3:23" ht="15.75" x14ac:dyDescent="0.25">
      <c r="C20" s="9" t="s">
        <v>8</v>
      </c>
      <c r="D20" s="4" t="s">
        <v>9</v>
      </c>
      <c r="E20" s="20" t="s">
        <v>10</v>
      </c>
      <c r="F20" s="20" t="s">
        <v>11</v>
      </c>
      <c r="G20" s="4" t="s">
        <v>4</v>
      </c>
      <c r="H20" s="4" t="s">
        <v>12</v>
      </c>
      <c r="I20" s="4" t="s">
        <v>2</v>
      </c>
      <c r="J20" s="4" t="s">
        <v>13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19</v>
      </c>
      <c r="P20" s="39" t="s">
        <v>204</v>
      </c>
      <c r="Q20" s="63" t="s">
        <v>295</v>
      </c>
      <c r="T20" s="101" t="s">
        <v>118</v>
      </c>
      <c r="U20" s="102"/>
      <c r="V20" s="102"/>
      <c r="W20" s="102"/>
    </row>
    <row r="21" spans="3:23" ht="15.75" customHeight="1" x14ac:dyDescent="0.25">
      <c r="C21" s="10">
        <v>3</v>
      </c>
      <c r="D21" s="11">
        <v>45383</v>
      </c>
      <c r="E21" s="10" t="s">
        <v>515</v>
      </c>
      <c r="F21" s="22" t="s">
        <v>80</v>
      </c>
      <c r="G21" s="7">
        <v>500</v>
      </c>
      <c r="H21" s="12">
        <v>151</v>
      </c>
      <c r="I21" s="7"/>
      <c r="J21" s="7">
        <v>500</v>
      </c>
      <c r="K21" s="7"/>
      <c r="L21" s="7"/>
      <c r="M21" s="7"/>
      <c r="N21" s="7"/>
      <c r="O21" s="7"/>
      <c r="P21" s="7"/>
      <c r="Q21" s="40"/>
      <c r="T21" s="97" t="s">
        <v>172</v>
      </c>
      <c r="U21" s="98"/>
      <c r="V21" s="98"/>
      <c r="W21" s="34"/>
    </row>
    <row r="22" spans="3:23" ht="15.75" customHeight="1" x14ac:dyDescent="0.25">
      <c r="C22" s="10">
        <v>4</v>
      </c>
      <c r="D22" s="11">
        <v>45383</v>
      </c>
      <c r="E22" s="10" t="s">
        <v>516</v>
      </c>
      <c r="F22" s="22" t="s">
        <v>478</v>
      </c>
      <c r="G22" s="7">
        <v>500</v>
      </c>
      <c r="H22" s="31">
        <v>167</v>
      </c>
      <c r="I22" s="7"/>
      <c r="J22" s="7"/>
      <c r="K22" s="7">
        <v>500</v>
      </c>
      <c r="L22" s="7"/>
      <c r="M22" s="7"/>
      <c r="N22" s="7"/>
      <c r="O22" s="7"/>
      <c r="P22" s="7"/>
      <c r="Q22" s="7"/>
      <c r="T22" s="10" t="s">
        <v>121</v>
      </c>
      <c r="U22" s="7" t="s">
        <v>9</v>
      </c>
      <c r="V22" s="7" t="s">
        <v>122</v>
      </c>
      <c r="W22" s="7" t="s">
        <v>4</v>
      </c>
    </row>
    <row r="23" spans="3:23" ht="15.75" customHeight="1" x14ac:dyDescent="0.25">
      <c r="C23" s="10">
        <v>5</v>
      </c>
      <c r="D23" s="11">
        <v>45383</v>
      </c>
      <c r="E23" s="10" t="s">
        <v>517</v>
      </c>
      <c r="F23" s="22" t="s">
        <v>49</v>
      </c>
      <c r="G23" s="7">
        <v>4000</v>
      </c>
      <c r="H23" s="12" t="s">
        <v>518</v>
      </c>
      <c r="I23" s="7"/>
      <c r="J23" s="7">
        <v>3000</v>
      </c>
      <c r="K23" s="7">
        <v>1000</v>
      </c>
      <c r="L23" s="7"/>
      <c r="M23" s="7"/>
      <c r="N23" s="7"/>
      <c r="O23" s="7"/>
      <c r="P23" s="7"/>
      <c r="Q23" s="7"/>
      <c r="T23" s="10">
        <v>1</v>
      </c>
      <c r="U23" s="41">
        <v>45401</v>
      </c>
      <c r="V23" s="7" t="s">
        <v>426</v>
      </c>
      <c r="W23" s="7">
        <v>19114</v>
      </c>
    </row>
    <row r="24" spans="3:23" ht="15.75" customHeight="1" x14ac:dyDescent="0.25">
      <c r="C24" s="10">
        <v>1</v>
      </c>
      <c r="D24" s="11">
        <v>45384</v>
      </c>
      <c r="E24" s="10">
        <v>1</v>
      </c>
      <c r="F24" s="22" t="s">
        <v>248</v>
      </c>
      <c r="G24" s="7">
        <v>1500</v>
      </c>
      <c r="H24" s="12">
        <v>165</v>
      </c>
      <c r="I24" s="7"/>
      <c r="J24" s="7"/>
      <c r="K24" s="7">
        <v>1500</v>
      </c>
      <c r="L24" s="7"/>
      <c r="M24" s="7"/>
      <c r="N24" s="7"/>
      <c r="O24" s="7"/>
      <c r="P24" s="7"/>
      <c r="Q24" s="7"/>
      <c r="T24" s="10">
        <v>2</v>
      </c>
      <c r="U24" s="41">
        <v>45401</v>
      </c>
      <c r="V24" s="7" t="s">
        <v>426</v>
      </c>
      <c r="W24" s="7">
        <v>19117</v>
      </c>
    </row>
    <row r="25" spans="3:23" ht="15.75" customHeight="1" x14ac:dyDescent="0.25">
      <c r="C25" s="10">
        <v>2</v>
      </c>
      <c r="D25" s="11">
        <v>45385</v>
      </c>
      <c r="E25" s="10" t="s">
        <v>27</v>
      </c>
      <c r="F25" s="22" t="s">
        <v>255</v>
      </c>
      <c r="G25" s="7">
        <v>2000</v>
      </c>
      <c r="H25" s="12" t="s">
        <v>519</v>
      </c>
      <c r="I25" s="7">
        <v>500</v>
      </c>
      <c r="J25" s="7">
        <v>1500</v>
      </c>
      <c r="K25" s="7"/>
      <c r="L25" s="7"/>
      <c r="M25" s="7"/>
      <c r="N25" s="7"/>
      <c r="O25" s="7"/>
      <c r="P25" s="7"/>
      <c r="Q25" s="7"/>
      <c r="T25" s="10">
        <v>3</v>
      </c>
      <c r="U25" s="41"/>
      <c r="V25" s="7" t="s">
        <v>426</v>
      </c>
      <c r="W25" s="7"/>
    </row>
    <row r="26" spans="3:23" ht="15.75" customHeight="1" x14ac:dyDescent="0.25">
      <c r="C26" s="10">
        <v>6</v>
      </c>
      <c r="D26" s="11">
        <v>45385</v>
      </c>
      <c r="E26" s="10" t="s">
        <v>520</v>
      </c>
      <c r="F26" s="22" t="s">
        <v>521</v>
      </c>
      <c r="G26" s="7">
        <v>10000</v>
      </c>
      <c r="H26" s="12">
        <v>158</v>
      </c>
      <c r="I26" s="7"/>
      <c r="J26" s="7"/>
      <c r="K26" s="7">
        <v>10000</v>
      </c>
      <c r="L26" s="7"/>
      <c r="M26" s="7"/>
      <c r="N26" s="7"/>
      <c r="O26" s="7"/>
      <c r="P26" s="7"/>
      <c r="Q26" s="7"/>
      <c r="T26" s="10">
        <v>4</v>
      </c>
      <c r="U26" s="41"/>
      <c r="V26" s="7"/>
      <c r="W26" s="7"/>
    </row>
    <row r="27" spans="3:23" ht="15.75" customHeight="1" x14ac:dyDescent="0.25">
      <c r="C27" s="10">
        <v>7</v>
      </c>
      <c r="D27" s="11">
        <v>45385</v>
      </c>
      <c r="E27" s="10" t="s">
        <v>522</v>
      </c>
      <c r="F27" s="22" t="s">
        <v>80</v>
      </c>
      <c r="G27" s="7">
        <v>500</v>
      </c>
      <c r="H27" s="12">
        <v>154</v>
      </c>
      <c r="I27" s="7"/>
      <c r="J27" s="7">
        <v>500</v>
      </c>
      <c r="K27" s="7"/>
      <c r="L27" s="7"/>
      <c r="M27" s="7"/>
      <c r="N27" s="7"/>
      <c r="O27" s="7"/>
      <c r="P27" s="7"/>
      <c r="Q27" s="7"/>
      <c r="T27" s="10">
        <v>5</v>
      </c>
      <c r="U27" s="41"/>
      <c r="V27" s="7"/>
      <c r="W27" s="7"/>
    </row>
    <row r="28" spans="3:23" ht="15.75" customHeight="1" x14ac:dyDescent="0.25">
      <c r="C28" s="10">
        <v>8</v>
      </c>
      <c r="D28" s="11">
        <v>45386</v>
      </c>
      <c r="E28" s="10" t="s">
        <v>523</v>
      </c>
      <c r="F28" s="22" t="s">
        <v>32</v>
      </c>
      <c r="G28" s="7">
        <v>500</v>
      </c>
      <c r="H28" s="12">
        <v>171</v>
      </c>
      <c r="I28" s="7"/>
      <c r="J28" s="7"/>
      <c r="K28" s="7"/>
      <c r="L28" s="7"/>
      <c r="M28" s="7"/>
      <c r="N28" s="7">
        <v>500</v>
      </c>
      <c r="O28" s="7"/>
      <c r="P28" s="7"/>
      <c r="Q28" s="7"/>
      <c r="T28" s="10">
        <v>6</v>
      </c>
      <c r="U28" s="41"/>
      <c r="V28" s="7"/>
      <c r="W28" s="7"/>
    </row>
    <row r="29" spans="3:23" ht="15.75" customHeight="1" x14ac:dyDescent="0.25">
      <c r="C29" s="10">
        <v>9</v>
      </c>
      <c r="D29" s="11">
        <v>45386</v>
      </c>
      <c r="E29" s="10">
        <v>3</v>
      </c>
      <c r="F29" s="22" t="s">
        <v>333</v>
      </c>
      <c r="G29" s="7">
        <v>80</v>
      </c>
      <c r="H29" s="12">
        <v>115</v>
      </c>
      <c r="I29" s="7">
        <v>80</v>
      </c>
      <c r="J29" s="7"/>
      <c r="K29" s="7"/>
      <c r="L29" s="7"/>
      <c r="M29" s="7"/>
      <c r="N29" s="7"/>
      <c r="O29" s="7"/>
      <c r="P29" s="7"/>
      <c r="Q29" s="7"/>
      <c r="T29" s="10">
        <v>7</v>
      </c>
      <c r="U29" s="41"/>
      <c r="V29" s="7"/>
      <c r="W29" s="7"/>
    </row>
    <row r="30" spans="3:23" ht="15.75" customHeight="1" x14ac:dyDescent="0.25">
      <c r="C30" s="10">
        <v>10</v>
      </c>
      <c r="D30" s="11">
        <v>45386</v>
      </c>
      <c r="E30" s="10">
        <v>4</v>
      </c>
      <c r="F30" s="22" t="s">
        <v>46</v>
      </c>
      <c r="G30" s="7">
        <v>440</v>
      </c>
      <c r="H30" s="12" t="s">
        <v>524</v>
      </c>
      <c r="I30" s="7">
        <v>240</v>
      </c>
      <c r="J30" s="7"/>
      <c r="K30" s="7"/>
      <c r="L30" s="7"/>
      <c r="M30" s="7"/>
      <c r="N30" s="7">
        <v>200</v>
      </c>
      <c r="O30" s="7"/>
      <c r="P30" s="7"/>
      <c r="Q30" s="7"/>
      <c r="T30" s="10">
        <v>8</v>
      </c>
      <c r="U30" s="11"/>
      <c r="V30" s="7"/>
      <c r="W30" s="7"/>
    </row>
    <row r="31" spans="3:23" ht="15.75" customHeight="1" x14ac:dyDescent="0.25">
      <c r="C31" s="10">
        <v>11</v>
      </c>
      <c r="D31" s="11">
        <v>45387</v>
      </c>
      <c r="E31" s="10">
        <v>5</v>
      </c>
      <c r="F31" s="22" t="s">
        <v>525</v>
      </c>
      <c r="G31" s="7">
        <v>240</v>
      </c>
      <c r="H31" s="12">
        <v>120</v>
      </c>
      <c r="I31" s="7">
        <v>240</v>
      </c>
      <c r="J31" s="7"/>
      <c r="K31" s="7"/>
      <c r="L31" s="7"/>
      <c r="M31" s="7"/>
      <c r="N31" s="7"/>
      <c r="O31" s="7"/>
      <c r="P31" s="7"/>
      <c r="Q31" s="7"/>
      <c r="T31" s="10"/>
      <c r="U31" s="7"/>
      <c r="V31" s="7"/>
      <c r="W31" s="7"/>
    </row>
    <row r="32" spans="3:23" ht="15.75" customHeight="1" x14ac:dyDescent="0.25">
      <c r="C32" s="10">
        <v>12</v>
      </c>
      <c r="D32" s="11">
        <v>45387</v>
      </c>
      <c r="E32" s="10">
        <v>6</v>
      </c>
      <c r="F32" s="22" t="s">
        <v>248</v>
      </c>
      <c r="G32" s="7">
        <v>500</v>
      </c>
      <c r="H32" s="12">
        <v>120</v>
      </c>
      <c r="I32" s="7">
        <v>500</v>
      </c>
      <c r="J32" s="7"/>
      <c r="K32" s="7"/>
      <c r="L32" s="7"/>
      <c r="M32" s="7"/>
      <c r="N32" s="7"/>
      <c r="O32" s="7"/>
      <c r="P32" s="7"/>
      <c r="Q32" s="7"/>
      <c r="T32" s="97" t="s">
        <v>181</v>
      </c>
      <c r="U32" s="98"/>
      <c r="V32" s="99"/>
      <c r="W32" s="7">
        <f>SUM(W23:W30)</f>
        <v>38231</v>
      </c>
    </row>
    <row r="33" spans="3:23" ht="15.75" customHeight="1" x14ac:dyDescent="0.25">
      <c r="C33" s="10">
        <v>13</v>
      </c>
      <c r="D33" s="11">
        <v>45387</v>
      </c>
      <c r="E33" s="10" t="s">
        <v>27</v>
      </c>
      <c r="F33" s="22" t="s">
        <v>255</v>
      </c>
      <c r="G33" s="7">
        <v>500</v>
      </c>
      <c r="H33" s="12">
        <v>117</v>
      </c>
      <c r="I33" s="7">
        <v>500</v>
      </c>
      <c r="J33" s="7"/>
      <c r="K33" s="7"/>
      <c r="L33" s="7"/>
      <c r="M33" s="7"/>
      <c r="N33" s="7"/>
      <c r="O33" s="7"/>
      <c r="P33" s="7"/>
      <c r="Q33" s="7"/>
      <c r="T33" s="97" t="s">
        <v>183</v>
      </c>
      <c r="U33" s="98"/>
      <c r="V33" s="99"/>
      <c r="W33" s="7">
        <v>203545</v>
      </c>
    </row>
    <row r="34" spans="3:23" ht="15.75" customHeight="1" x14ac:dyDescent="0.25">
      <c r="C34" s="10">
        <v>14</v>
      </c>
      <c r="D34" s="11">
        <v>45388</v>
      </c>
      <c r="E34" s="10">
        <v>8</v>
      </c>
      <c r="F34" s="22" t="s">
        <v>52</v>
      </c>
      <c r="G34" s="7">
        <v>7500</v>
      </c>
      <c r="H34" s="12">
        <v>113</v>
      </c>
      <c r="I34" s="7">
        <v>7500</v>
      </c>
      <c r="J34" s="7"/>
      <c r="K34" s="7"/>
      <c r="L34" s="7"/>
      <c r="M34" s="7"/>
      <c r="N34" s="7"/>
      <c r="O34" s="7"/>
      <c r="P34" s="7"/>
      <c r="Q34" s="7"/>
      <c r="T34" s="97" t="s">
        <v>184</v>
      </c>
      <c r="U34" s="98"/>
      <c r="V34" s="99"/>
      <c r="W34" s="35">
        <f>SUM(W32,W33)</f>
        <v>241776</v>
      </c>
    </row>
    <row r="35" spans="3:23" ht="15.75" customHeight="1" x14ac:dyDescent="0.25">
      <c r="C35" s="10">
        <v>15</v>
      </c>
      <c r="D35" s="11">
        <v>45390</v>
      </c>
      <c r="E35" s="10" t="s">
        <v>526</v>
      </c>
      <c r="F35" s="22" t="s">
        <v>48</v>
      </c>
      <c r="G35" s="7">
        <v>700</v>
      </c>
      <c r="H35" s="12">
        <v>117</v>
      </c>
      <c r="I35" s="7">
        <v>700</v>
      </c>
      <c r="J35" s="7"/>
      <c r="K35" s="7"/>
      <c r="L35" s="7"/>
      <c r="M35" s="7"/>
      <c r="N35" s="7"/>
      <c r="O35" s="7"/>
      <c r="P35" s="7"/>
      <c r="Q35" s="7"/>
      <c r="T35" s="97" t="s">
        <v>186</v>
      </c>
      <c r="U35" s="98"/>
      <c r="V35" s="99"/>
      <c r="W35" s="7">
        <f>'April 24'!$I$101</f>
        <v>69900</v>
      </c>
    </row>
    <row r="36" spans="3:23" ht="15.75" customHeight="1" x14ac:dyDescent="0.25">
      <c r="C36" s="10">
        <v>19</v>
      </c>
      <c r="D36" s="11">
        <v>45390</v>
      </c>
      <c r="E36" s="10" t="s">
        <v>527</v>
      </c>
      <c r="F36" s="22" t="s">
        <v>71</v>
      </c>
      <c r="G36" s="7">
        <v>500</v>
      </c>
      <c r="H36" s="12">
        <v>158</v>
      </c>
      <c r="I36" s="7"/>
      <c r="J36" s="7"/>
      <c r="K36" s="7"/>
      <c r="L36" s="7"/>
      <c r="M36" s="7"/>
      <c r="N36" s="7">
        <v>500</v>
      </c>
      <c r="O36" s="7"/>
      <c r="P36" s="7"/>
      <c r="Q36" s="7"/>
      <c r="T36" s="97"/>
      <c r="U36" s="98"/>
      <c r="V36" s="99"/>
      <c r="W36" s="7"/>
    </row>
    <row r="37" spans="3:23" ht="15.75" customHeight="1" x14ac:dyDescent="0.25">
      <c r="C37" s="10">
        <v>20</v>
      </c>
      <c r="D37" s="11">
        <v>45390</v>
      </c>
      <c r="E37" s="10" t="s">
        <v>528</v>
      </c>
      <c r="F37" s="22" t="s">
        <v>49</v>
      </c>
      <c r="G37" s="7">
        <v>2000</v>
      </c>
      <c r="H37" s="12">
        <v>153</v>
      </c>
      <c r="I37" s="7"/>
      <c r="J37" s="7">
        <v>2000</v>
      </c>
      <c r="K37" s="7"/>
      <c r="L37" s="7"/>
      <c r="M37" s="7"/>
      <c r="N37" s="7"/>
      <c r="O37" s="7"/>
      <c r="P37" s="7"/>
      <c r="Q37" s="7"/>
      <c r="T37" s="100" t="s">
        <v>188</v>
      </c>
      <c r="U37" s="98"/>
      <c r="V37" s="99"/>
      <c r="W37" s="36">
        <f>SUM(W34-W35)</f>
        <v>171876</v>
      </c>
    </row>
    <row r="38" spans="3:23" ht="15.75" customHeight="1" x14ac:dyDescent="0.25">
      <c r="C38" s="10">
        <v>16</v>
      </c>
      <c r="D38" s="11">
        <v>45392</v>
      </c>
      <c r="E38" s="24">
        <v>12</v>
      </c>
      <c r="F38" s="22" t="s">
        <v>333</v>
      </c>
      <c r="G38" s="7">
        <v>1500</v>
      </c>
      <c r="H38" s="12">
        <v>115</v>
      </c>
      <c r="I38" s="7">
        <v>1500</v>
      </c>
      <c r="J38" s="7"/>
      <c r="K38" s="7"/>
      <c r="L38" s="7"/>
      <c r="M38" s="7"/>
      <c r="N38" s="7"/>
      <c r="O38" s="7"/>
      <c r="P38" s="7"/>
      <c r="Q38" s="7"/>
    </row>
    <row r="39" spans="3:23" ht="15.75" customHeight="1" x14ac:dyDescent="0.25">
      <c r="C39" s="10">
        <v>17</v>
      </c>
      <c r="D39" s="11">
        <v>45393</v>
      </c>
      <c r="E39" s="10" t="s">
        <v>529</v>
      </c>
      <c r="F39" s="22" t="s">
        <v>44</v>
      </c>
      <c r="G39" s="7">
        <v>4280</v>
      </c>
      <c r="H39" s="12" t="s">
        <v>530</v>
      </c>
      <c r="I39" s="7"/>
      <c r="J39" s="7">
        <v>1000</v>
      </c>
      <c r="K39" s="7"/>
      <c r="L39" s="7"/>
      <c r="M39" s="7"/>
      <c r="N39" s="7"/>
      <c r="O39" s="7">
        <v>2000</v>
      </c>
      <c r="P39" s="7"/>
      <c r="Q39" s="7">
        <v>1280</v>
      </c>
    </row>
    <row r="40" spans="3:23" ht="15.75" customHeight="1" x14ac:dyDescent="0.25">
      <c r="C40" s="10">
        <v>18</v>
      </c>
      <c r="D40" s="11">
        <v>45393</v>
      </c>
      <c r="E40" s="10">
        <v>15</v>
      </c>
      <c r="F40" s="22" t="s">
        <v>269</v>
      </c>
      <c r="G40" s="7">
        <v>40</v>
      </c>
      <c r="H40" s="12">
        <v>109</v>
      </c>
      <c r="I40" s="7">
        <v>40</v>
      </c>
      <c r="J40" s="7"/>
      <c r="K40" s="7"/>
      <c r="L40" s="7"/>
      <c r="M40" s="7"/>
      <c r="N40" s="7"/>
      <c r="O40" s="7"/>
      <c r="P40" s="7"/>
      <c r="Q40" s="7"/>
    </row>
    <row r="41" spans="3:23" ht="15.75" customHeight="1" x14ac:dyDescent="0.25">
      <c r="C41" s="10">
        <v>21</v>
      </c>
      <c r="D41" s="11">
        <v>45395</v>
      </c>
      <c r="E41" s="10" t="s">
        <v>531</v>
      </c>
      <c r="F41" s="22" t="s">
        <v>394</v>
      </c>
      <c r="G41" s="7">
        <v>105000</v>
      </c>
      <c r="H41" s="12">
        <v>99</v>
      </c>
      <c r="I41" s="7">
        <v>10000</v>
      </c>
      <c r="J41" s="7"/>
      <c r="K41" s="7"/>
      <c r="L41" s="7"/>
      <c r="M41" s="7"/>
      <c r="N41" s="7">
        <v>500</v>
      </c>
      <c r="O41" s="7"/>
      <c r="P41" s="7"/>
      <c r="Q41" s="7"/>
    </row>
    <row r="42" spans="3:23" ht="15.75" customHeight="1" x14ac:dyDescent="0.25">
      <c r="C42" s="10">
        <v>22</v>
      </c>
      <c r="D42" s="11">
        <v>45395</v>
      </c>
      <c r="E42" s="10">
        <v>18</v>
      </c>
      <c r="F42" s="22" t="s">
        <v>24</v>
      </c>
      <c r="G42" s="7">
        <v>500</v>
      </c>
      <c r="H42" s="12">
        <v>114</v>
      </c>
      <c r="I42" s="7">
        <v>500</v>
      </c>
      <c r="J42" s="7"/>
      <c r="K42" s="7"/>
      <c r="L42" s="7"/>
      <c r="M42" s="7"/>
      <c r="N42" s="7"/>
      <c r="O42" s="7"/>
      <c r="P42" s="7"/>
      <c r="Q42" s="7"/>
    </row>
    <row r="43" spans="3:23" ht="15.75" customHeight="1" x14ac:dyDescent="0.25">
      <c r="C43" s="10">
        <v>23</v>
      </c>
      <c r="D43" s="11">
        <v>45395</v>
      </c>
      <c r="E43" s="10" t="s">
        <v>532</v>
      </c>
      <c r="F43" s="22" t="s">
        <v>533</v>
      </c>
      <c r="G43" s="7">
        <v>1000</v>
      </c>
      <c r="H43" s="12">
        <v>194</v>
      </c>
      <c r="I43" s="7"/>
      <c r="J43" s="7"/>
      <c r="K43" s="7"/>
      <c r="L43" s="7"/>
      <c r="M43" s="7"/>
      <c r="N43" s="7"/>
      <c r="O43" s="7"/>
      <c r="P43" s="7"/>
      <c r="Q43" s="7">
        <v>1000</v>
      </c>
    </row>
    <row r="44" spans="3:23" ht="15.75" customHeight="1" x14ac:dyDescent="0.25">
      <c r="C44" s="10">
        <v>24</v>
      </c>
      <c r="D44" s="11">
        <v>45397</v>
      </c>
      <c r="E44" s="10" t="s">
        <v>534</v>
      </c>
      <c r="F44" s="22" t="s">
        <v>49</v>
      </c>
      <c r="G44" s="7">
        <v>2000</v>
      </c>
      <c r="H44" s="12">
        <v>153</v>
      </c>
      <c r="I44" s="7"/>
      <c r="J44" s="7">
        <v>2000</v>
      </c>
      <c r="K44" s="7"/>
      <c r="L44" s="7"/>
      <c r="M44" s="7"/>
      <c r="N44" s="7"/>
      <c r="O44" s="7"/>
      <c r="P44" s="7"/>
      <c r="Q44" s="7"/>
    </row>
    <row r="45" spans="3:23" ht="15.75" customHeight="1" x14ac:dyDescent="0.25">
      <c r="C45" s="10">
        <v>26</v>
      </c>
      <c r="D45" s="11">
        <v>45397</v>
      </c>
      <c r="E45" s="10" t="s">
        <v>535</v>
      </c>
      <c r="F45" s="22" t="s">
        <v>32</v>
      </c>
      <c r="G45" s="7">
        <v>860</v>
      </c>
      <c r="H45" s="12">
        <v>204</v>
      </c>
      <c r="I45" s="7"/>
      <c r="J45" s="7"/>
      <c r="K45" s="7"/>
      <c r="L45" s="7"/>
      <c r="M45" s="7"/>
      <c r="N45" s="7"/>
      <c r="O45" s="7"/>
      <c r="P45" s="7"/>
      <c r="Q45" s="7">
        <v>860</v>
      </c>
    </row>
    <row r="46" spans="3:23" ht="15.75" customHeight="1" x14ac:dyDescent="0.25">
      <c r="C46" s="10">
        <v>27</v>
      </c>
      <c r="D46" s="11">
        <v>45398</v>
      </c>
      <c r="E46" s="10" t="s">
        <v>536</v>
      </c>
      <c r="F46" s="22" t="s">
        <v>268</v>
      </c>
      <c r="G46" s="7">
        <v>1500</v>
      </c>
      <c r="H46" s="12" t="s">
        <v>537</v>
      </c>
      <c r="I46" s="7"/>
      <c r="J46" s="7">
        <v>1000</v>
      </c>
      <c r="K46" s="7"/>
      <c r="L46" s="7"/>
      <c r="M46" s="7"/>
      <c r="N46" s="7">
        <v>500</v>
      </c>
      <c r="O46" s="7"/>
      <c r="P46" s="7"/>
      <c r="Q46" s="7"/>
    </row>
    <row r="47" spans="3:23" ht="15.75" customHeight="1" x14ac:dyDescent="0.25">
      <c r="C47" s="10">
        <v>28</v>
      </c>
      <c r="D47" s="11">
        <v>45398</v>
      </c>
      <c r="E47" s="10" t="s">
        <v>538</v>
      </c>
      <c r="F47" s="22" t="s">
        <v>80</v>
      </c>
      <c r="G47" s="7">
        <v>500</v>
      </c>
      <c r="H47" s="12">
        <v>151</v>
      </c>
      <c r="I47" s="7"/>
      <c r="J47" s="7">
        <v>500</v>
      </c>
      <c r="K47" s="7"/>
      <c r="L47" s="7"/>
      <c r="M47" s="7"/>
      <c r="N47" s="7"/>
      <c r="O47" s="7"/>
      <c r="P47" s="7"/>
      <c r="Q47" s="7"/>
    </row>
    <row r="48" spans="3:23" ht="15.75" customHeight="1" x14ac:dyDescent="0.25">
      <c r="C48" s="10">
        <v>29</v>
      </c>
      <c r="D48" s="11">
        <v>45398</v>
      </c>
      <c r="E48" s="10">
        <v>22</v>
      </c>
      <c r="F48" s="22" t="s">
        <v>333</v>
      </c>
      <c r="G48" s="7">
        <v>10000</v>
      </c>
      <c r="H48" s="12">
        <v>115</v>
      </c>
      <c r="I48" s="7">
        <v>10000</v>
      </c>
      <c r="J48" s="7"/>
      <c r="K48" s="7"/>
      <c r="L48" s="7"/>
      <c r="M48" s="7"/>
      <c r="N48" s="7"/>
      <c r="O48" s="7"/>
      <c r="P48" s="7"/>
      <c r="Q48" s="7"/>
      <c r="S48" s="1"/>
    </row>
    <row r="49" spans="3:19" ht="15.75" customHeight="1" x14ac:dyDescent="0.25">
      <c r="C49" s="10">
        <v>30</v>
      </c>
      <c r="D49" s="11">
        <v>45399</v>
      </c>
      <c r="E49" s="10" t="s">
        <v>539</v>
      </c>
      <c r="F49" s="22" t="s">
        <v>268</v>
      </c>
      <c r="G49" s="7">
        <v>500</v>
      </c>
      <c r="H49" s="12" t="s">
        <v>540</v>
      </c>
      <c r="I49" s="7"/>
      <c r="J49" s="7">
        <v>400</v>
      </c>
      <c r="K49" s="7"/>
      <c r="L49" s="7"/>
      <c r="M49" s="7"/>
      <c r="N49" s="7"/>
      <c r="O49" s="7"/>
      <c r="P49" s="7"/>
      <c r="Q49" s="7">
        <v>100</v>
      </c>
      <c r="S49" s="1"/>
    </row>
    <row r="50" spans="3:19" ht="15.75" customHeight="1" x14ac:dyDescent="0.25">
      <c r="C50" s="10">
        <v>31</v>
      </c>
      <c r="D50" s="11">
        <v>45399</v>
      </c>
      <c r="E50" s="10" t="s">
        <v>541</v>
      </c>
      <c r="F50" s="22" t="s">
        <v>49</v>
      </c>
      <c r="G50" s="7">
        <v>2000</v>
      </c>
      <c r="H50" s="12">
        <v>154</v>
      </c>
      <c r="I50" s="7"/>
      <c r="J50" s="7">
        <v>2000</v>
      </c>
      <c r="K50" s="7"/>
      <c r="L50" s="7"/>
      <c r="M50" s="7"/>
      <c r="N50" s="7"/>
      <c r="O50" s="7"/>
      <c r="P50" s="7"/>
      <c r="Q50" s="7"/>
      <c r="S50" s="1"/>
    </row>
    <row r="51" spans="3:19" ht="15.75" customHeight="1" x14ac:dyDescent="0.25">
      <c r="C51" s="10">
        <v>32</v>
      </c>
      <c r="D51" s="11">
        <v>45401</v>
      </c>
      <c r="E51" s="10">
        <v>23</v>
      </c>
      <c r="F51" s="22" t="s">
        <v>391</v>
      </c>
      <c r="G51" s="7">
        <v>5000</v>
      </c>
      <c r="H51" s="12">
        <v>116</v>
      </c>
      <c r="I51" s="7">
        <v>5000</v>
      </c>
      <c r="J51" s="7"/>
      <c r="K51" s="7"/>
      <c r="L51" s="7"/>
      <c r="M51" s="7"/>
      <c r="N51" s="7"/>
      <c r="O51" s="7"/>
      <c r="P51" s="7"/>
      <c r="Q51" s="7"/>
      <c r="S51" s="1"/>
    </row>
    <row r="52" spans="3:19" ht="15.75" customHeight="1" x14ac:dyDescent="0.25">
      <c r="C52" s="10">
        <v>33</v>
      </c>
      <c r="D52" s="11">
        <v>45401</v>
      </c>
      <c r="E52" s="10">
        <v>24</v>
      </c>
      <c r="F52" s="22" t="s">
        <v>80</v>
      </c>
      <c r="G52" s="7">
        <v>500</v>
      </c>
      <c r="H52" s="12">
        <v>128</v>
      </c>
      <c r="I52" s="7">
        <v>500</v>
      </c>
      <c r="J52" s="7"/>
      <c r="K52" s="7"/>
      <c r="L52" s="7"/>
      <c r="M52" s="7"/>
      <c r="N52" s="7"/>
      <c r="O52" s="7"/>
      <c r="P52" s="7"/>
      <c r="Q52" s="7"/>
      <c r="S52" s="1"/>
    </row>
    <row r="53" spans="3:19" ht="15.75" customHeight="1" x14ac:dyDescent="0.25">
      <c r="C53" s="10">
        <v>34</v>
      </c>
      <c r="D53" s="11">
        <v>45402</v>
      </c>
      <c r="E53" s="10">
        <v>26</v>
      </c>
      <c r="F53" s="22" t="s">
        <v>394</v>
      </c>
      <c r="G53" s="7">
        <v>10000</v>
      </c>
      <c r="H53" s="12">
        <v>99</v>
      </c>
      <c r="I53" s="7">
        <v>10000</v>
      </c>
      <c r="J53" s="7"/>
      <c r="K53" s="7"/>
      <c r="L53" s="7"/>
      <c r="M53" s="7"/>
      <c r="N53" s="7"/>
      <c r="O53" s="7"/>
      <c r="P53" s="7"/>
      <c r="Q53" s="7"/>
      <c r="S53" s="1"/>
    </row>
    <row r="54" spans="3:19" ht="15.75" customHeight="1" x14ac:dyDescent="0.25">
      <c r="C54" s="10">
        <v>35</v>
      </c>
      <c r="D54" s="11">
        <v>45402</v>
      </c>
      <c r="E54" s="10">
        <v>27</v>
      </c>
      <c r="F54" s="22" t="s">
        <v>333</v>
      </c>
      <c r="G54" s="7">
        <v>100</v>
      </c>
      <c r="H54" s="12">
        <v>115</v>
      </c>
      <c r="I54" s="7"/>
      <c r="J54" s="7"/>
      <c r="K54" s="7"/>
      <c r="L54" s="7"/>
      <c r="M54" s="7"/>
      <c r="N54" s="7"/>
      <c r="O54" s="7"/>
      <c r="P54" s="7"/>
      <c r="Q54" s="7"/>
      <c r="S54" s="1"/>
    </row>
    <row r="55" spans="3:19" ht="15.75" customHeight="1" x14ac:dyDescent="0.25">
      <c r="C55" s="10">
        <v>36</v>
      </c>
      <c r="D55" s="11">
        <v>45402</v>
      </c>
      <c r="E55" s="10" t="s">
        <v>27</v>
      </c>
      <c r="F55" s="22" t="s">
        <v>30</v>
      </c>
      <c r="G55" s="7">
        <v>200</v>
      </c>
      <c r="H55" s="12">
        <v>199</v>
      </c>
      <c r="I55" s="7"/>
      <c r="J55" s="7"/>
      <c r="K55" s="7"/>
      <c r="L55" s="7"/>
      <c r="M55" s="7"/>
      <c r="N55" s="7"/>
      <c r="O55" s="7"/>
      <c r="P55" s="7"/>
      <c r="Q55" s="7">
        <v>200</v>
      </c>
      <c r="S55" s="1"/>
    </row>
    <row r="56" spans="3:19" ht="15.75" customHeight="1" x14ac:dyDescent="0.25">
      <c r="C56" s="10">
        <v>37</v>
      </c>
      <c r="D56" s="11">
        <v>45402</v>
      </c>
      <c r="E56" s="10" t="s">
        <v>27</v>
      </c>
      <c r="F56" s="22" t="s">
        <v>542</v>
      </c>
      <c r="G56" s="7">
        <v>1500</v>
      </c>
      <c r="H56" s="12">
        <v>167</v>
      </c>
      <c r="I56" s="7"/>
      <c r="J56" s="7"/>
      <c r="K56" s="7">
        <v>1000</v>
      </c>
      <c r="L56" s="7"/>
      <c r="M56" s="7"/>
      <c r="N56" s="7"/>
      <c r="O56" s="7">
        <v>500</v>
      </c>
      <c r="P56" s="7"/>
      <c r="Q56" s="7"/>
      <c r="S56" s="1"/>
    </row>
    <row r="57" spans="3:19" ht="15.75" customHeight="1" x14ac:dyDescent="0.25">
      <c r="C57" s="10">
        <v>38</v>
      </c>
      <c r="D57" s="11">
        <v>45402</v>
      </c>
      <c r="E57" s="10" t="s">
        <v>27</v>
      </c>
      <c r="F57" s="22" t="s">
        <v>37</v>
      </c>
      <c r="G57" s="7">
        <v>500</v>
      </c>
      <c r="H57" s="12">
        <v>125</v>
      </c>
      <c r="I57" s="7">
        <v>500</v>
      </c>
      <c r="J57" s="7"/>
      <c r="K57" s="7"/>
      <c r="L57" s="7"/>
      <c r="M57" s="7"/>
      <c r="N57" s="7"/>
      <c r="O57" s="7"/>
      <c r="P57" s="7"/>
      <c r="Q57" s="7"/>
      <c r="S57" s="1"/>
    </row>
    <row r="58" spans="3:19" ht="15.75" customHeight="1" x14ac:dyDescent="0.25">
      <c r="C58" s="10">
        <v>41</v>
      </c>
      <c r="D58" s="11">
        <v>45404</v>
      </c>
      <c r="E58" s="10" t="s">
        <v>152</v>
      </c>
      <c r="F58" s="22" t="s">
        <v>478</v>
      </c>
      <c r="G58" s="7">
        <v>500</v>
      </c>
      <c r="H58" s="31">
        <v>167</v>
      </c>
      <c r="I58" s="7"/>
      <c r="J58" s="7"/>
      <c r="K58" s="7">
        <v>500</v>
      </c>
      <c r="L58" s="7"/>
      <c r="M58" s="7"/>
      <c r="N58" s="7"/>
      <c r="O58" s="7"/>
      <c r="P58" s="7"/>
      <c r="Q58" s="7"/>
      <c r="S58" s="1"/>
    </row>
    <row r="59" spans="3:19" ht="15.75" customHeight="1" x14ac:dyDescent="0.25">
      <c r="C59" s="10">
        <v>39</v>
      </c>
      <c r="D59" s="11">
        <v>45405</v>
      </c>
      <c r="E59" s="10">
        <v>28</v>
      </c>
      <c r="F59" s="22" t="s">
        <v>476</v>
      </c>
      <c r="G59" s="7">
        <v>21000</v>
      </c>
      <c r="H59" s="12">
        <v>110</v>
      </c>
      <c r="I59" s="7">
        <v>21000</v>
      </c>
      <c r="J59" s="7"/>
      <c r="K59" s="7"/>
      <c r="L59" s="7"/>
      <c r="M59" s="7"/>
      <c r="N59" s="7"/>
      <c r="O59" s="7"/>
      <c r="P59" s="7"/>
      <c r="Q59" s="7"/>
      <c r="S59" s="1"/>
    </row>
    <row r="60" spans="3:19" ht="15.75" customHeight="1" x14ac:dyDescent="0.25">
      <c r="C60" s="10">
        <v>42</v>
      </c>
      <c r="D60" s="11">
        <v>45405</v>
      </c>
      <c r="E60" s="10" t="s">
        <v>153</v>
      </c>
      <c r="F60" s="22" t="s">
        <v>32</v>
      </c>
      <c r="G60" s="7">
        <v>500</v>
      </c>
      <c r="H60" s="12">
        <v>171</v>
      </c>
      <c r="I60" s="7"/>
      <c r="J60" s="7"/>
      <c r="K60" s="7"/>
      <c r="L60" s="7"/>
      <c r="M60" s="7"/>
      <c r="N60" s="7">
        <v>500</v>
      </c>
      <c r="O60" s="7"/>
      <c r="P60" s="7"/>
      <c r="Q60" s="7"/>
      <c r="S60" s="1"/>
    </row>
    <row r="61" spans="3:19" ht="15.75" customHeight="1" x14ac:dyDescent="0.25">
      <c r="C61" s="10">
        <v>40</v>
      </c>
      <c r="D61" s="11">
        <v>45406</v>
      </c>
      <c r="E61" s="10">
        <v>29</v>
      </c>
      <c r="F61" s="22" t="s">
        <v>80</v>
      </c>
      <c r="G61" s="7">
        <v>120</v>
      </c>
      <c r="H61" s="12" t="s">
        <v>543</v>
      </c>
      <c r="I61" s="7">
        <v>20</v>
      </c>
      <c r="J61" s="7"/>
      <c r="K61" s="7"/>
      <c r="L61" s="7"/>
      <c r="M61" s="7"/>
      <c r="N61" s="7"/>
      <c r="O61" s="7"/>
      <c r="P61" s="7"/>
      <c r="Q61" s="7">
        <v>100</v>
      </c>
      <c r="S61" s="1"/>
    </row>
    <row r="62" spans="3:19" ht="15.75" customHeight="1" x14ac:dyDescent="0.25">
      <c r="C62" s="10">
        <v>43</v>
      </c>
      <c r="D62" s="11">
        <v>45406</v>
      </c>
      <c r="E62" s="10" t="s">
        <v>156</v>
      </c>
      <c r="F62" s="22" t="s">
        <v>268</v>
      </c>
      <c r="G62" s="7">
        <v>300</v>
      </c>
      <c r="H62" s="12">
        <v>205</v>
      </c>
      <c r="I62" s="7"/>
      <c r="J62" s="7"/>
      <c r="K62" s="7"/>
      <c r="L62" s="7"/>
      <c r="M62" s="7"/>
      <c r="N62" s="7"/>
      <c r="O62" s="7"/>
      <c r="P62" s="7"/>
      <c r="Q62" s="7">
        <v>300</v>
      </c>
      <c r="S62" s="1"/>
    </row>
    <row r="63" spans="3:19" ht="15.75" customHeight="1" x14ac:dyDescent="0.25">
      <c r="C63" s="10">
        <v>44</v>
      </c>
      <c r="D63" s="11">
        <v>45407</v>
      </c>
      <c r="E63" s="10">
        <v>30</v>
      </c>
      <c r="F63" s="22" t="s">
        <v>80</v>
      </c>
      <c r="G63" s="7" t="s">
        <v>544</v>
      </c>
      <c r="H63" s="12" t="s">
        <v>545</v>
      </c>
      <c r="I63" s="7">
        <v>100</v>
      </c>
      <c r="J63" s="7">
        <v>500</v>
      </c>
      <c r="K63" s="7"/>
      <c r="L63" s="7"/>
      <c r="M63" s="7"/>
      <c r="N63" s="7"/>
      <c r="O63" s="7"/>
      <c r="P63" s="7"/>
      <c r="Q63" s="7"/>
      <c r="S63" s="1"/>
    </row>
    <row r="64" spans="3:19" ht="15.75" customHeight="1" x14ac:dyDescent="0.25">
      <c r="C64" s="10">
        <v>45</v>
      </c>
      <c r="D64" s="11">
        <v>45411</v>
      </c>
      <c r="E64" s="10">
        <v>31</v>
      </c>
      <c r="F64" s="22" t="s">
        <v>546</v>
      </c>
      <c r="G64" s="7">
        <v>1000</v>
      </c>
      <c r="H64" s="12">
        <v>164</v>
      </c>
      <c r="I64" s="7"/>
      <c r="J64" s="7"/>
      <c r="K64" s="7"/>
      <c r="L64" s="7">
        <v>1000</v>
      </c>
      <c r="M64" s="7"/>
      <c r="N64" s="7"/>
      <c r="O64" s="7"/>
      <c r="P64" s="7"/>
      <c r="Q64" s="7"/>
      <c r="S64" s="1"/>
    </row>
    <row r="65" spans="3:19" ht="15.75" customHeight="1" x14ac:dyDescent="0.25">
      <c r="C65" s="10">
        <v>46</v>
      </c>
      <c r="D65" s="11">
        <v>45412</v>
      </c>
      <c r="E65" s="10">
        <v>32</v>
      </c>
      <c r="F65" s="22" t="s">
        <v>333</v>
      </c>
      <c r="G65" s="7">
        <v>80</v>
      </c>
      <c r="H65" s="12">
        <v>115</v>
      </c>
      <c r="I65" s="7">
        <v>80</v>
      </c>
      <c r="J65" s="7"/>
      <c r="K65" s="7"/>
      <c r="L65" s="7"/>
      <c r="M65" s="7"/>
      <c r="N65" s="7"/>
      <c r="O65" s="7"/>
      <c r="P65" s="7"/>
      <c r="Q65" s="7"/>
      <c r="S65" s="1"/>
    </row>
    <row r="66" spans="3:19" ht="15.75" customHeight="1" x14ac:dyDescent="0.25">
      <c r="C66" s="10">
        <v>47</v>
      </c>
      <c r="D66" s="11">
        <v>45412</v>
      </c>
      <c r="E66" s="10" t="s">
        <v>27</v>
      </c>
      <c r="F66" s="22" t="s">
        <v>37</v>
      </c>
      <c r="G66" s="7">
        <v>400</v>
      </c>
      <c r="H66" s="12">
        <v>125</v>
      </c>
      <c r="I66" s="7">
        <v>400</v>
      </c>
      <c r="J66" s="7"/>
      <c r="K66" s="7"/>
      <c r="L66" s="7"/>
      <c r="M66" s="7"/>
      <c r="N66" s="7"/>
      <c r="O66" s="7"/>
      <c r="P66" s="7"/>
      <c r="Q66" s="7"/>
      <c r="S66" s="1"/>
    </row>
    <row r="67" spans="3:19" ht="15.75" customHeight="1" x14ac:dyDescent="0.25">
      <c r="C67" s="10">
        <v>48</v>
      </c>
      <c r="D67" s="11"/>
      <c r="E67" s="10"/>
      <c r="F67" s="22" t="s">
        <v>268</v>
      </c>
      <c r="G67" s="7"/>
      <c r="H67" s="12"/>
      <c r="I67" s="7"/>
      <c r="J67" s="7"/>
      <c r="K67" s="7"/>
      <c r="L67" s="7"/>
      <c r="M67" s="7"/>
      <c r="N67" s="7"/>
      <c r="O67" s="7"/>
      <c r="P67" s="7"/>
      <c r="Q67" s="7"/>
      <c r="S67" s="1"/>
    </row>
    <row r="68" spans="3:19" ht="15.75" customHeight="1" x14ac:dyDescent="0.25">
      <c r="C68" s="10">
        <v>49</v>
      </c>
      <c r="D68" s="11"/>
      <c r="E68" s="10"/>
      <c r="F68" s="22" t="s">
        <v>37</v>
      </c>
      <c r="G68" s="7"/>
      <c r="H68" s="12"/>
      <c r="I68" s="7"/>
      <c r="J68" s="7"/>
      <c r="K68" s="7"/>
      <c r="L68" s="7"/>
      <c r="M68" s="7"/>
      <c r="N68" s="7"/>
      <c r="O68" s="7"/>
      <c r="P68" s="7"/>
      <c r="Q68" s="7"/>
      <c r="S68" s="1"/>
    </row>
    <row r="69" spans="3:19" ht="15.75" customHeight="1" x14ac:dyDescent="0.25">
      <c r="C69" s="10">
        <v>50</v>
      </c>
      <c r="D69" s="11"/>
      <c r="E69" s="10"/>
      <c r="F69" s="22" t="s">
        <v>333</v>
      </c>
      <c r="G69" s="7"/>
      <c r="H69" s="12"/>
      <c r="I69" s="7"/>
      <c r="J69" s="7"/>
      <c r="K69" s="7"/>
      <c r="L69" s="7"/>
      <c r="M69" s="7"/>
      <c r="N69" s="7"/>
      <c r="O69" s="7"/>
      <c r="P69" s="7"/>
      <c r="Q69" s="7"/>
      <c r="S69" s="1"/>
    </row>
    <row r="70" spans="3:19" ht="15.75" customHeight="1" x14ac:dyDescent="0.25">
      <c r="C70" s="10">
        <v>51</v>
      </c>
      <c r="D70" s="11"/>
      <c r="E70" s="10"/>
      <c r="F70" s="22" t="s">
        <v>24</v>
      </c>
      <c r="G70" s="7"/>
      <c r="H70" s="12"/>
      <c r="I70" s="7"/>
      <c r="J70" s="7"/>
      <c r="K70" s="7"/>
      <c r="L70" s="7"/>
      <c r="M70" s="7"/>
      <c r="N70" s="7"/>
      <c r="O70" s="7"/>
      <c r="P70" s="7"/>
      <c r="Q70" s="7"/>
      <c r="S70" s="1"/>
    </row>
    <row r="71" spans="3:19" ht="15.75" customHeight="1" x14ac:dyDescent="0.25">
      <c r="C71" s="10">
        <v>52</v>
      </c>
      <c r="D71" s="11"/>
      <c r="E71" s="10"/>
      <c r="F71" s="22" t="s">
        <v>269</v>
      </c>
      <c r="G71" s="7"/>
      <c r="H71" s="31"/>
      <c r="I71" s="7"/>
      <c r="J71" s="7"/>
      <c r="K71" s="7"/>
      <c r="L71" s="7"/>
      <c r="M71" s="7"/>
      <c r="N71" s="7"/>
      <c r="O71" s="7"/>
      <c r="P71" s="7"/>
      <c r="Q71" s="7"/>
      <c r="S71" s="1"/>
    </row>
    <row r="72" spans="3:19" ht="15.75" customHeight="1" x14ac:dyDescent="0.25">
      <c r="C72" s="10">
        <v>53</v>
      </c>
      <c r="D72" s="11"/>
      <c r="E72" s="10"/>
      <c r="F72" s="22" t="s">
        <v>48</v>
      </c>
      <c r="G72" s="7"/>
      <c r="H72" s="12"/>
      <c r="I72" s="7"/>
      <c r="J72" s="7"/>
      <c r="K72" s="7"/>
      <c r="L72" s="7"/>
      <c r="M72" s="7"/>
      <c r="N72" s="7"/>
      <c r="O72" s="7"/>
      <c r="P72" s="7"/>
      <c r="Q72" s="7"/>
      <c r="S72" s="1"/>
    </row>
    <row r="73" spans="3:19" ht="15.75" customHeight="1" x14ac:dyDescent="0.25">
      <c r="C73" s="10">
        <v>54</v>
      </c>
      <c r="D73" s="11"/>
      <c r="E73" s="10"/>
      <c r="F73" s="22" t="s">
        <v>32</v>
      </c>
      <c r="G73" s="7"/>
      <c r="H73" s="12"/>
      <c r="I73" s="7"/>
      <c r="J73" s="7"/>
      <c r="K73" s="7"/>
      <c r="L73" s="7"/>
      <c r="M73" s="7"/>
      <c r="N73" s="7"/>
      <c r="O73" s="7"/>
      <c r="P73" s="7"/>
      <c r="Q73" s="7"/>
      <c r="S73" s="1"/>
    </row>
    <row r="74" spans="3:19" ht="15.75" customHeight="1" x14ac:dyDescent="0.25">
      <c r="C74" s="10">
        <v>55</v>
      </c>
      <c r="D74" s="11"/>
      <c r="E74" s="10"/>
      <c r="F74" s="22" t="s">
        <v>71</v>
      </c>
      <c r="G74" s="7"/>
      <c r="H74" s="12"/>
      <c r="I74" s="7"/>
      <c r="J74" s="7"/>
      <c r="K74" s="7"/>
      <c r="L74" s="7"/>
      <c r="M74" s="7"/>
      <c r="N74" s="7"/>
      <c r="O74" s="7"/>
      <c r="P74" s="7"/>
      <c r="Q74" s="7"/>
      <c r="S74" s="1"/>
    </row>
    <row r="75" spans="3:19" ht="15.75" customHeight="1" x14ac:dyDescent="0.25">
      <c r="C75" s="10">
        <v>56</v>
      </c>
      <c r="D75" s="11"/>
      <c r="E75" s="10"/>
      <c r="F75" s="22" t="s">
        <v>284</v>
      </c>
      <c r="G75" s="7"/>
      <c r="H75" s="12"/>
      <c r="I75" s="7"/>
      <c r="J75" s="7"/>
      <c r="K75" s="7"/>
      <c r="L75" s="7"/>
      <c r="M75" s="7"/>
      <c r="N75" s="7"/>
      <c r="O75" s="7"/>
      <c r="P75" s="7"/>
      <c r="Q75" s="7"/>
      <c r="S75" s="1"/>
    </row>
    <row r="76" spans="3:19" ht="15.75" customHeight="1" x14ac:dyDescent="0.25">
      <c r="C76" s="10">
        <v>57</v>
      </c>
      <c r="D76" s="11"/>
      <c r="E76" s="10"/>
      <c r="F76" s="22" t="s">
        <v>71</v>
      </c>
      <c r="G76" s="7"/>
      <c r="H76" s="12"/>
      <c r="I76" s="7"/>
      <c r="J76" s="7"/>
      <c r="K76" s="7"/>
      <c r="L76" s="7"/>
      <c r="M76" s="7"/>
      <c r="N76" s="7"/>
      <c r="O76" s="7"/>
      <c r="P76" s="7"/>
      <c r="Q76" s="7"/>
      <c r="S76" s="1"/>
    </row>
    <row r="77" spans="3:19" ht="15.75" customHeight="1" x14ac:dyDescent="0.25">
      <c r="C77" s="10">
        <v>58</v>
      </c>
      <c r="D77" s="11"/>
      <c r="E77" s="10"/>
      <c r="F77" s="22" t="s">
        <v>51</v>
      </c>
      <c r="G77" s="7"/>
      <c r="H77" s="12"/>
      <c r="I77" s="7"/>
      <c r="J77" s="7"/>
      <c r="K77" s="7"/>
      <c r="L77" s="7"/>
      <c r="M77" s="7"/>
      <c r="N77" s="7"/>
      <c r="O77" s="7"/>
      <c r="P77" s="7"/>
      <c r="Q77" s="7"/>
      <c r="S77" s="1"/>
    </row>
    <row r="78" spans="3:19" ht="15.75" customHeight="1" x14ac:dyDescent="0.25">
      <c r="C78" s="10">
        <v>59</v>
      </c>
      <c r="D78" s="11"/>
      <c r="E78" s="10"/>
      <c r="F78" s="22" t="s">
        <v>362</v>
      </c>
      <c r="G78" s="7"/>
      <c r="H78" s="12"/>
      <c r="I78" s="7"/>
      <c r="J78" s="7"/>
      <c r="K78" s="7"/>
      <c r="L78" s="7"/>
      <c r="M78" s="7"/>
      <c r="N78" s="7"/>
      <c r="O78" s="7"/>
      <c r="P78" s="7"/>
      <c r="Q78" s="7"/>
      <c r="S78" s="1"/>
    </row>
    <row r="79" spans="3:19" ht="15.75" customHeight="1" x14ac:dyDescent="0.25">
      <c r="C79" s="10">
        <v>60</v>
      </c>
      <c r="D79" s="11"/>
      <c r="E79" s="10"/>
      <c r="F79" s="22" t="s">
        <v>193</v>
      </c>
      <c r="G79" s="7"/>
      <c r="H79" s="12"/>
      <c r="I79" s="7"/>
      <c r="J79" s="7"/>
      <c r="K79" s="7"/>
      <c r="L79" s="7"/>
      <c r="M79" s="7"/>
      <c r="N79" s="7"/>
      <c r="O79" s="7"/>
      <c r="P79" s="7"/>
      <c r="Q79" s="7"/>
      <c r="S79" s="1"/>
    </row>
    <row r="80" spans="3:19" ht="15.75" customHeight="1" x14ac:dyDescent="0.25">
      <c r="C80" s="10">
        <v>61</v>
      </c>
      <c r="D80" s="11"/>
      <c r="E80" s="10"/>
      <c r="F80" s="22" t="s">
        <v>90</v>
      </c>
      <c r="G80" s="7"/>
      <c r="H80" s="12"/>
      <c r="I80" s="7"/>
      <c r="J80" s="7"/>
      <c r="K80" s="7"/>
      <c r="L80" s="7"/>
      <c r="M80" s="7"/>
      <c r="N80" s="7"/>
      <c r="O80" s="7"/>
      <c r="P80" s="7"/>
      <c r="Q80" s="7"/>
      <c r="S80" s="1"/>
    </row>
    <row r="81" spans="3:19" ht="15.75" customHeight="1" x14ac:dyDescent="0.25">
      <c r="C81" s="10">
        <v>62</v>
      </c>
      <c r="D81" s="11"/>
      <c r="E81" s="10"/>
      <c r="F81" s="22" t="s">
        <v>394</v>
      </c>
      <c r="G81" s="7"/>
      <c r="H81" s="12"/>
      <c r="I81" s="7"/>
      <c r="J81" s="7"/>
      <c r="K81" s="7"/>
      <c r="L81" s="7"/>
      <c r="M81" s="7"/>
      <c r="N81" s="7"/>
      <c r="O81" s="7"/>
      <c r="P81" s="7"/>
      <c r="Q81" s="7"/>
      <c r="S81" s="1"/>
    </row>
    <row r="82" spans="3:19" ht="15.75" customHeight="1" x14ac:dyDescent="0.25">
      <c r="C82" s="10">
        <v>63</v>
      </c>
      <c r="D82" s="11"/>
      <c r="E82" s="10"/>
      <c r="F82" s="22" t="s">
        <v>30</v>
      </c>
      <c r="G82" s="7"/>
      <c r="H82" s="12"/>
      <c r="I82" s="7"/>
      <c r="J82" s="7"/>
      <c r="K82" s="7"/>
      <c r="L82" s="7"/>
      <c r="M82" s="7"/>
      <c r="N82" s="7"/>
      <c r="O82" s="7"/>
      <c r="P82" s="7"/>
      <c r="Q82" s="7"/>
    </row>
    <row r="83" spans="3:19" ht="15.75" customHeight="1" x14ac:dyDescent="0.25">
      <c r="C83" s="10">
        <v>64</v>
      </c>
      <c r="D83" s="11"/>
      <c r="E83" s="10"/>
      <c r="F83" s="22" t="s">
        <v>80</v>
      </c>
      <c r="G83" s="7"/>
      <c r="H83" s="12"/>
      <c r="I83" s="7"/>
      <c r="J83" s="7"/>
      <c r="K83" s="7"/>
      <c r="L83" s="7"/>
      <c r="M83" s="7"/>
      <c r="N83" s="7"/>
      <c r="O83" s="7"/>
      <c r="P83" s="7"/>
      <c r="Q83" s="7"/>
    </row>
    <row r="84" spans="3:19" ht="15.75" customHeight="1" x14ac:dyDescent="0.25">
      <c r="C84" s="10">
        <v>65</v>
      </c>
      <c r="D84" s="11"/>
      <c r="E84" s="10"/>
      <c r="F84" s="22" t="s">
        <v>139</v>
      </c>
      <c r="G84" s="7"/>
      <c r="H84" s="12"/>
      <c r="I84" s="7"/>
      <c r="J84" s="7"/>
      <c r="K84" s="7"/>
      <c r="L84" s="7"/>
      <c r="M84" s="7"/>
      <c r="N84" s="7"/>
      <c r="O84" s="7"/>
      <c r="P84" s="7"/>
      <c r="Q84" s="7"/>
    </row>
    <row r="85" spans="3:19" ht="15.75" customHeight="1" x14ac:dyDescent="0.25">
      <c r="C85" s="10">
        <v>66</v>
      </c>
      <c r="D85" s="11"/>
      <c r="E85" s="10"/>
      <c r="F85" s="22" t="s">
        <v>255</v>
      </c>
      <c r="G85" s="7"/>
      <c r="H85" s="12"/>
      <c r="I85" s="7"/>
      <c r="J85" s="7"/>
      <c r="K85" s="7"/>
      <c r="L85" s="7"/>
      <c r="M85" s="7"/>
      <c r="N85" s="7"/>
      <c r="O85" s="7"/>
      <c r="P85" s="7"/>
      <c r="Q85" s="7"/>
    </row>
    <row r="86" spans="3:19" ht="15.75" customHeight="1" x14ac:dyDescent="0.25">
      <c r="C86" s="10">
        <v>67</v>
      </c>
      <c r="D86" s="11"/>
      <c r="E86" s="10"/>
      <c r="F86" s="22" t="s">
        <v>269</v>
      </c>
      <c r="G86" s="7"/>
      <c r="H86" s="12"/>
      <c r="I86" s="7"/>
      <c r="J86" s="7"/>
      <c r="K86" s="7"/>
      <c r="L86" s="7"/>
      <c r="M86" s="7"/>
      <c r="N86" s="7"/>
      <c r="O86" s="7"/>
      <c r="P86" s="7"/>
      <c r="Q86" s="7"/>
    </row>
    <row r="87" spans="3:19" ht="15.75" customHeight="1" x14ac:dyDescent="0.25">
      <c r="C87" s="10">
        <v>68</v>
      </c>
      <c r="D87" s="11"/>
      <c r="E87" s="10"/>
      <c r="F87" s="22" t="s">
        <v>37</v>
      </c>
      <c r="G87" s="7"/>
      <c r="H87" s="12"/>
      <c r="I87" s="7"/>
      <c r="J87" s="7"/>
      <c r="K87" s="7"/>
      <c r="L87" s="7"/>
      <c r="M87" s="7"/>
      <c r="N87" s="7"/>
      <c r="O87" s="7"/>
      <c r="P87" s="7"/>
      <c r="Q87" s="7"/>
    </row>
    <row r="88" spans="3:19" ht="15.75" customHeight="1" x14ac:dyDescent="0.25">
      <c r="C88" s="10">
        <v>69</v>
      </c>
      <c r="D88" s="11"/>
      <c r="E88" s="10"/>
      <c r="F88" s="22" t="s">
        <v>112</v>
      </c>
      <c r="G88" s="7"/>
      <c r="H88" s="12"/>
      <c r="I88" s="7"/>
      <c r="J88" s="7"/>
      <c r="K88" s="7"/>
      <c r="L88" s="7"/>
      <c r="M88" s="7"/>
      <c r="N88" s="7"/>
      <c r="O88" s="7"/>
      <c r="P88" s="7"/>
      <c r="Q88" s="7"/>
    </row>
    <row r="89" spans="3:19" ht="15.75" customHeight="1" x14ac:dyDescent="0.25">
      <c r="C89" s="10">
        <v>70</v>
      </c>
      <c r="D89" s="11"/>
      <c r="E89" s="10"/>
      <c r="F89" s="22" t="s">
        <v>325</v>
      </c>
      <c r="G89" s="7"/>
      <c r="H89" s="12"/>
      <c r="I89" s="7"/>
      <c r="J89" s="7"/>
      <c r="K89" s="7"/>
      <c r="L89" s="7"/>
      <c r="M89" s="7"/>
      <c r="N89" s="7"/>
      <c r="O89" s="7"/>
      <c r="P89" s="7"/>
      <c r="Q89" s="7"/>
    </row>
    <row r="90" spans="3:19" ht="15.75" customHeight="1" x14ac:dyDescent="0.25">
      <c r="C90" s="10">
        <v>71</v>
      </c>
      <c r="D90" s="11"/>
      <c r="E90" s="10"/>
      <c r="F90" s="22" t="s">
        <v>284</v>
      </c>
      <c r="G90" s="7"/>
      <c r="H90" s="12"/>
      <c r="I90" s="7"/>
      <c r="J90" s="7"/>
      <c r="K90" s="7"/>
      <c r="L90" s="7"/>
      <c r="M90" s="7"/>
      <c r="N90" s="7"/>
      <c r="O90" s="7"/>
      <c r="P90" s="7"/>
      <c r="Q90" s="14"/>
    </row>
    <row r="91" spans="3:19" ht="15.75" customHeight="1" x14ac:dyDescent="0.25">
      <c r="C91" s="10">
        <v>72</v>
      </c>
      <c r="D91" s="11"/>
      <c r="E91" s="10"/>
      <c r="F91" s="22" t="s">
        <v>43</v>
      </c>
      <c r="G91" s="7"/>
      <c r="H91" s="12"/>
      <c r="I91" s="7"/>
      <c r="J91" s="7"/>
      <c r="K91" s="7"/>
      <c r="L91" s="7"/>
      <c r="M91" s="7"/>
      <c r="N91" s="7"/>
      <c r="O91" s="7"/>
      <c r="P91" s="7"/>
      <c r="Q91" s="7"/>
    </row>
    <row r="92" spans="3:19" ht="15.75" customHeight="1" x14ac:dyDescent="0.25">
      <c r="C92" s="10">
        <v>73</v>
      </c>
      <c r="D92" s="11"/>
      <c r="E92" s="10"/>
      <c r="F92" s="22" t="s">
        <v>268</v>
      </c>
      <c r="G92" s="7"/>
      <c r="H92" s="12"/>
      <c r="I92" s="7"/>
      <c r="J92" s="7"/>
      <c r="K92" s="7"/>
      <c r="L92" s="7"/>
      <c r="M92" s="7"/>
      <c r="N92" s="7"/>
      <c r="O92" s="7"/>
      <c r="P92" s="7"/>
      <c r="Q92" s="7"/>
    </row>
    <row r="93" spans="3:19" ht="15.75" customHeight="1" x14ac:dyDescent="0.25">
      <c r="C93" s="10">
        <v>74</v>
      </c>
      <c r="D93" s="11"/>
      <c r="E93" s="10"/>
      <c r="F93" s="22" t="s">
        <v>30</v>
      </c>
      <c r="G93" s="7"/>
      <c r="H93" s="12"/>
      <c r="I93" s="7"/>
      <c r="J93" s="7"/>
      <c r="K93" s="7"/>
      <c r="L93" s="7"/>
      <c r="M93" s="7"/>
      <c r="N93" s="7"/>
      <c r="O93" s="7"/>
      <c r="P93" s="7"/>
      <c r="Q93" s="7"/>
    </row>
    <row r="94" spans="3:19" ht="15.75" customHeight="1" x14ac:dyDescent="0.25">
      <c r="C94" s="10">
        <v>75</v>
      </c>
      <c r="D94" s="11"/>
      <c r="E94" s="10"/>
      <c r="F94" s="22" t="s">
        <v>190</v>
      </c>
      <c r="G94" s="7"/>
      <c r="H94" s="12"/>
      <c r="I94" s="7"/>
      <c r="J94" s="7"/>
      <c r="K94" s="7"/>
      <c r="L94" s="7"/>
      <c r="M94" s="7"/>
      <c r="N94" s="7"/>
      <c r="O94" s="7"/>
      <c r="P94" s="7"/>
      <c r="Q94" s="7"/>
    </row>
    <row r="95" spans="3:19" ht="15.75" customHeight="1" x14ac:dyDescent="0.25">
      <c r="C95" s="10">
        <v>76</v>
      </c>
      <c r="D95" s="11"/>
      <c r="E95" s="10"/>
      <c r="F95" s="22" t="s">
        <v>331</v>
      </c>
      <c r="G95" s="7"/>
      <c r="H95" s="12"/>
      <c r="I95" s="7"/>
      <c r="J95" s="7"/>
      <c r="K95" s="7"/>
      <c r="L95" s="7"/>
      <c r="M95" s="7"/>
      <c r="N95" s="7"/>
      <c r="O95" s="7"/>
      <c r="P95" s="7"/>
      <c r="Q95" s="7"/>
    </row>
    <row r="96" spans="3:19" ht="15.75" customHeight="1" x14ac:dyDescent="0.25">
      <c r="C96" s="10">
        <v>77</v>
      </c>
      <c r="D96" s="11"/>
      <c r="E96" s="10"/>
      <c r="F96" s="22" t="s">
        <v>69</v>
      </c>
      <c r="G96" s="7"/>
      <c r="H96" s="12"/>
      <c r="I96" s="7"/>
      <c r="J96" s="7"/>
      <c r="K96" s="7"/>
      <c r="L96" s="7"/>
      <c r="M96" s="7"/>
      <c r="N96" s="7"/>
      <c r="O96" s="7"/>
      <c r="P96" s="7"/>
      <c r="Q96" s="7"/>
    </row>
    <row r="97" spans="3:17" ht="15.75" customHeight="1" x14ac:dyDescent="0.25">
      <c r="C97" s="10">
        <v>78</v>
      </c>
      <c r="D97" s="11"/>
      <c r="E97" s="10"/>
      <c r="F97" s="22" t="s">
        <v>52</v>
      </c>
      <c r="G97" s="7"/>
      <c r="H97" s="12"/>
      <c r="I97" s="7"/>
      <c r="J97" s="7"/>
      <c r="K97" s="7"/>
      <c r="L97" s="7"/>
      <c r="M97" s="7"/>
      <c r="N97" s="7"/>
      <c r="O97" s="7"/>
      <c r="P97" s="7"/>
      <c r="Q97" s="7"/>
    </row>
    <row r="98" spans="3:17" ht="15.75" customHeight="1" x14ac:dyDescent="0.25">
      <c r="C98" s="10">
        <v>79</v>
      </c>
      <c r="D98" s="11"/>
      <c r="E98" s="10"/>
      <c r="F98" s="22" t="s">
        <v>37</v>
      </c>
      <c r="G98" s="7"/>
      <c r="H98" s="12"/>
      <c r="I98" s="7"/>
      <c r="J98" s="7"/>
      <c r="K98" s="7"/>
      <c r="L98" s="7"/>
      <c r="M98" s="7"/>
      <c r="N98" s="7"/>
      <c r="O98" s="7"/>
      <c r="P98" s="7"/>
      <c r="Q98" s="7"/>
    </row>
    <row r="99" spans="3:17" ht="15.75" customHeight="1" x14ac:dyDescent="0.25">
      <c r="C99" s="10">
        <v>80</v>
      </c>
      <c r="D99" s="11"/>
      <c r="E99" s="10"/>
      <c r="F99" s="22" t="s">
        <v>220</v>
      </c>
      <c r="G99" s="7"/>
      <c r="H99" s="12"/>
      <c r="I99" s="7"/>
      <c r="J99" s="7"/>
      <c r="K99" s="7"/>
      <c r="L99" s="7"/>
      <c r="M99" s="7"/>
      <c r="N99" s="7"/>
      <c r="O99" s="7"/>
      <c r="P99" s="7"/>
      <c r="Q99" s="7"/>
    </row>
    <row r="100" spans="3:17" ht="15.75" customHeight="1" x14ac:dyDescent="0.25">
      <c r="C100" s="10">
        <v>81</v>
      </c>
      <c r="D100" s="11"/>
      <c r="E100" s="10"/>
      <c r="F100" s="22" t="s">
        <v>333</v>
      </c>
      <c r="G100" s="7"/>
      <c r="H100" s="12"/>
      <c r="I100" s="7"/>
      <c r="J100" s="7"/>
      <c r="K100" s="7"/>
      <c r="L100" s="7"/>
      <c r="M100" s="7"/>
      <c r="N100" s="7"/>
      <c r="O100" s="7"/>
      <c r="P100" s="7"/>
      <c r="Q100" s="7"/>
    </row>
    <row r="101" spans="3:17" ht="15.75" customHeight="1" x14ac:dyDescent="0.25">
      <c r="C101" s="13" t="s">
        <v>3</v>
      </c>
      <c r="D101" s="14"/>
      <c r="E101" s="13"/>
      <c r="F101" s="25"/>
      <c r="G101" s="14">
        <f>SUM(G21:G100)</f>
        <v>203340</v>
      </c>
      <c r="H101" s="14"/>
      <c r="I101" s="14">
        <f t="shared" ref="I101:Q101" si="8">SUM(I21:I100)</f>
        <v>69900</v>
      </c>
      <c r="J101" s="14">
        <f t="shared" si="8"/>
        <v>14900</v>
      </c>
      <c r="K101" s="14">
        <f t="shared" si="8"/>
        <v>14500</v>
      </c>
      <c r="L101" s="14">
        <f t="shared" si="8"/>
        <v>1000</v>
      </c>
      <c r="M101" s="14">
        <f t="shared" si="8"/>
        <v>0</v>
      </c>
      <c r="N101" s="14">
        <f t="shared" si="8"/>
        <v>2700</v>
      </c>
      <c r="O101" s="14">
        <f t="shared" si="8"/>
        <v>2500</v>
      </c>
      <c r="P101" s="14">
        <f t="shared" si="8"/>
        <v>0</v>
      </c>
      <c r="Q101" s="14">
        <f t="shared" si="8"/>
        <v>3840</v>
      </c>
    </row>
    <row r="102" spans="3:17" ht="15.75" customHeight="1" x14ac:dyDescent="0.25">
      <c r="C102" s="1"/>
      <c r="E102" s="1"/>
      <c r="F102" s="16"/>
    </row>
    <row r="103" spans="3:17" ht="15.75" customHeight="1" x14ac:dyDescent="0.25">
      <c r="C103" s="1"/>
      <c r="D103" s="1"/>
      <c r="E103" s="1"/>
      <c r="F103" s="16"/>
      <c r="I103" s="33">
        <f>SUM('April 24'!$I$101:'April 24'!$Q$101)</f>
        <v>109340</v>
      </c>
    </row>
    <row r="104" spans="3:17" ht="15.75" customHeight="1" x14ac:dyDescent="0.25">
      <c r="E104" s="1"/>
      <c r="F104" s="16"/>
    </row>
    <row r="105" spans="3:17" ht="15.75" customHeight="1" x14ac:dyDescent="0.25"/>
    <row r="106" spans="3:17" ht="15.75" customHeight="1" x14ac:dyDescent="0.25"/>
    <row r="107" spans="3:17" ht="15.75" customHeight="1" x14ac:dyDescent="0.25"/>
    <row r="108" spans="3:17" ht="15.75" customHeight="1" x14ac:dyDescent="0.25"/>
    <row r="109" spans="3:17" ht="15.75" customHeight="1" x14ac:dyDescent="0.25"/>
    <row r="110" spans="3:17" ht="15.75" customHeight="1" x14ac:dyDescent="0.25"/>
    <row r="111" spans="3:17" ht="15.75" customHeight="1" x14ac:dyDescent="0.25"/>
    <row r="112" spans="3:1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T35:V35"/>
    <mergeCell ref="T36:V36"/>
    <mergeCell ref="T37:V37"/>
    <mergeCell ref="C11:D11"/>
    <mergeCell ref="C18:E18"/>
    <mergeCell ref="T20:W20"/>
    <mergeCell ref="T21:V21"/>
    <mergeCell ref="T32:V32"/>
    <mergeCell ref="T33:V33"/>
    <mergeCell ref="T34:V34"/>
  </mergeCells>
  <pageMargins left="0.7" right="0.7" top="0.75" bottom="0.75" header="0" footer="0"/>
  <pageSetup orientation="portrait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C4:X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8" customWidth="1"/>
    <col min="3" max="3" width="9.85546875" customWidth="1"/>
    <col min="4" max="4" width="13.140625" customWidth="1"/>
    <col min="5" max="5" width="10.42578125" customWidth="1"/>
    <col min="6" max="6" width="9.42578125" customWidth="1"/>
    <col min="7" max="7" width="8.7109375" customWidth="1"/>
    <col min="8" max="8" width="12.28515625" customWidth="1"/>
    <col min="9" max="14" width="8.7109375" customWidth="1"/>
    <col min="15" max="15" width="11.7109375" customWidth="1"/>
    <col min="16" max="16" width="11.42578125" customWidth="1"/>
    <col min="17" max="17" width="11.85546875" customWidth="1"/>
    <col min="18" max="20" width="8.7109375" customWidth="1"/>
    <col min="21" max="21" width="10.7109375" customWidth="1"/>
    <col min="22" max="26" width="8.7109375" customWidth="1"/>
  </cols>
  <sheetData>
    <row r="4" spans="3:17" ht="15.75" x14ac:dyDescent="0.25">
      <c r="C4" s="1"/>
      <c r="D4" s="2" t="s">
        <v>547</v>
      </c>
      <c r="E4" s="17"/>
      <c r="F4" s="18"/>
      <c r="G4" s="2"/>
      <c r="H4" s="2"/>
      <c r="I4" s="2"/>
      <c r="J4" s="2"/>
      <c r="K4" s="8"/>
      <c r="L4" s="2"/>
      <c r="M4" s="3"/>
      <c r="N4" s="3"/>
      <c r="O4" s="65" t="s">
        <v>88</v>
      </c>
      <c r="P4" s="60" t="s">
        <v>2</v>
      </c>
      <c r="Q4" s="66" t="s">
        <v>117</v>
      </c>
    </row>
    <row r="5" spans="3:17" ht="15.75" x14ac:dyDescent="0.25">
      <c r="C5" s="1"/>
      <c r="D5" s="67" t="s">
        <v>1</v>
      </c>
      <c r="E5" s="44" t="s">
        <v>2</v>
      </c>
      <c r="F5" s="45">
        <v>1799</v>
      </c>
      <c r="G5" s="46">
        <v>2699</v>
      </c>
      <c r="H5" s="46">
        <v>588</v>
      </c>
      <c r="I5" s="46">
        <v>2088</v>
      </c>
      <c r="J5" s="46">
        <v>2488</v>
      </c>
      <c r="K5" s="46">
        <v>2688</v>
      </c>
      <c r="L5" s="45">
        <v>3099</v>
      </c>
      <c r="M5" s="62" t="s">
        <v>295</v>
      </c>
      <c r="N5" s="45" t="s">
        <v>3</v>
      </c>
      <c r="O5" s="47"/>
      <c r="P5" s="42"/>
      <c r="Q5" s="42"/>
    </row>
    <row r="6" spans="3:17" ht="17.25" x14ac:dyDescent="0.3">
      <c r="C6" s="1"/>
      <c r="D6" s="6" t="s">
        <v>259</v>
      </c>
      <c r="E6" s="12">
        <v>171876</v>
      </c>
      <c r="F6" s="12">
        <v>13600</v>
      </c>
      <c r="G6" s="12">
        <v>6785</v>
      </c>
      <c r="H6" s="12">
        <v>4020</v>
      </c>
      <c r="I6" s="12">
        <v>0</v>
      </c>
      <c r="J6" s="12">
        <v>19185</v>
      </c>
      <c r="K6" s="12">
        <v>10275</v>
      </c>
      <c r="L6" s="12">
        <v>17125</v>
      </c>
      <c r="M6" s="12">
        <v>5460</v>
      </c>
      <c r="N6" s="12">
        <v>248326</v>
      </c>
      <c r="O6" s="55">
        <f t="shared" ref="O6:O9" si="0">SUM(F6:M6)</f>
        <v>76450</v>
      </c>
      <c r="P6" s="56">
        <f t="shared" ref="P6:P9" si="1">E6</f>
        <v>171876</v>
      </c>
      <c r="Q6" s="57">
        <f>SUM(E6:M6)</f>
        <v>248326</v>
      </c>
    </row>
    <row r="7" spans="3:17" ht="18.75" x14ac:dyDescent="0.3">
      <c r="C7" s="1"/>
      <c r="D7" s="6" t="s">
        <v>365</v>
      </c>
      <c r="E7" s="7">
        <f>W32</f>
        <v>90936</v>
      </c>
      <c r="F7" s="7">
        <f t="shared" ref="F7:M7" si="2">F18</f>
        <v>0</v>
      </c>
      <c r="G7" s="7">
        <f t="shared" si="2"/>
        <v>0</v>
      </c>
      <c r="H7" s="7">
        <f t="shared" si="2"/>
        <v>0</v>
      </c>
      <c r="I7" s="7">
        <f t="shared" si="2"/>
        <v>0</v>
      </c>
      <c r="J7" s="7">
        <f t="shared" si="2"/>
        <v>0</v>
      </c>
      <c r="K7" s="7">
        <f t="shared" si="2"/>
        <v>0</v>
      </c>
      <c r="L7" s="7">
        <f t="shared" si="2"/>
        <v>0</v>
      </c>
      <c r="M7" s="7">
        <f t="shared" si="2"/>
        <v>0</v>
      </c>
      <c r="N7" s="7">
        <f t="shared" ref="N7:N8" si="3">SUM(E7:M7)</f>
        <v>90936</v>
      </c>
      <c r="O7" s="68">
        <f t="shared" si="0"/>
        <v>0</v>
      </c>
      <c r="P7" s="69">
        <f t="shared" si="1"/>
        <v>90936</v>
      </c>
      <c r="Q7" s="70">
        <f>O7+P7</f>
        <v>90936</v>
      </c>
    </row>
    <row r="8" spans="3:17" ht="21" x14ac:dyDescent="0.35">
      <c r="C8" s="1"/>
      <c r="D8" s="71" t="s">
        <v>548</v>
      </c>
      <c r="E8" s="48">
        <f>'May 2024'!$I$101</f>
        <v>63140</v>
      </c>
      <c r="F8" s="48">
        <f>'May 2024'!$J$101</f>
        <v>12400</v>
      </c>
      <c r="G8" s="49">
        <f>'May 2024'!$K$101</f>
        <v>5540</v>
      </c>
      <c r="H8" s="49">
        <f>'May 2024'!$L$101</f>
        <v>0</v>
      </c>
      <c r="I8" s="49">
        <f>'May 2024'!$M$101</f>
        <v>0</v>
      </c>
      <c r="J8" s="49">
        <f>'May 2024'!$N$101</f>
        <v>13860</v>
      </c>
      <c r="K8" s="49">
        <f>'May 2024'!$O$101</f>
        <v>2000</v>
      </c>
      <c r="L8" s="49">
        <f>'May 2024'!$P$101</f>
        <v>8500</v>
      </c>
      <c r="M8" s="49">
        <f>'May 2024'!$Q$101</f>
        <v>2060</v>
      </c>
      <c r="N8" s="72">
        <f t="shared" si="3"/>
        <v>107500</v>
      </c>
      <c r="O8" s="73">
        <f t="shared" si="0"/>
        <v>44360</v>
      </c>
      <c r="P8" s="74">
        <f t="shared" si="1"/>
        <v>63140</v>
      </c>
      <c r="Q8" s="75">
        <f t="shared" ref="Q8:Q9" si="4">SUM(O8,P8)</f>
        <v>107500</v>
      </c>
    </row>
    <row r="9" spans="3:17" ht="17.25" x14ac:dyDescent="0.3">
      <c r="C9" s="1"/>
      <c r="D9" s="6" t="s">
        <v>261</v>
      </c>
      <c r="E9" s="12">
        <f t="shared" ref="E9:M9" si="5">SUM(E6,E7-E8)</f>
        <v>199672</v>
      </c>
      <c r="F9" s="12">
        <f t="shared" si="5"/>
        <v>1200</v>
      </c>
      <c r="G9" s="12">
        <f t="shared" si="5"/>
        <v>1245</v>
      </c>
      <c r="H9" s="12">
        <f t="shared" si="5"/>
        <v>4020</v>
      </c>
      <c r="I9" s="12">
        <f t="shared" si="5"/>
        <v>0</v>
      </c>
      <c r="J9" s="12">
        <f t="shared" si="5"/>
        <v>5325</v>
      </c>
      <c r="K9" s="12">
        <f t="shared" si="5"/>
        <v>8275</v>
      </c>
      <c r="L9" s="12">
        <f t="shared" si="5"/>
        <v>8625</v>
      </c>
      <c r="M9" s="12">
        <f t="shared" si="5"/>
        <v>3400</v>
      </c>
      <c r="N9" s="12">
        <f>SUM(N6+N7-N8)</f>
        <v>231762</v>
      </c>
      <c r="O9" s="55">
        <f t="shared" si="0"/>
        <v>32090</v>
      </c>
      <c r="P9" s="56">
        <f t="shared" si="1"/>
        <v>199672</v>
      </c>
      <c r="Q9" s="57">
        <f t="shared" si="4"/>
        <v>231762</v>
      </c>
    </row>
    <row r="10" spans="3:17" x14ac:dyDescent="0.25">
      <c r="C10" s="1"/>
      <c r="E10" s="1"/>
      <c r="F10" s="16"/>
    </row>
    <row r="11" spans="3:17" ht="15.75" x14ac:dyDescent="0.25">
      <c r="C11" s="103" t="s">
        <v>367</v>
      </c>
      <c r="D11" s="99"/>
      <c r="E11" s="21" t="s">
        <v>368</v>
      </c>
      <c r="F11" s="45">
        <v>1799</v>
      </c>
      <c r="G11" s="46">
        <v>2699</v>
      </c>
      <c r="H11" s="46">
        <v>588</v>
      </c>
      <c r="I11" s="46">
        <v>2088</v>
      </c>
      <c r="J11" s="46">
        <v>2488</v>
      </c>
      <c r="K11" s="46">
        <v>2688</v>
      </c>
      <c r="L11" s="45">
        <v>3099</v>
      </c>
      <c r="M11" s="62" t="s">
        <v>295</v>
      </c>
      <c r="N11" s="45" t="s">
        <v>3</v>
      </c>
      <c r="O11" s="76" t="s">
        <v>369</v>
      </c>
      <c r="P11" s="76" t="s">
        <v>370</v>
      </c>
    </row>
    <row r="12" spans="3:17" x14ac:dyDescent="0.25">
      <c r="C12" s="9" t="s">
        <v>371</v>
      </c>
      <c r="D12" s="79" t="s">
        <v>372</v>
      </c>
      <c r="E12" s="9" t="s">
        <v>373</v>
      </c>
      <c r="F12" s="22"/>
      <c r="G12" s="7"/>
      <c r="H12" s="7"/>
      <c r="I12" s="7"/>
      <c r="J12" s="7"/>
      <c r="K12" s="7"/>
      <c r="L12" s="7"/>
      <c r="M12" s="7"/>
      <c r="N12" s="7">
        <f>SUM(F12:M12)</f>
        <v>0</v>
      </c>
      <c r="O12" s="10"/>
      <c r="P12" s="10"/>
    </row>
    <row r="13" spans="3:17" x14ac:dyDescent="0.25">
      <c r="C13" s="10">
        <v>1</v>
      </c>
      <c r="D13" s="7" t="s">
        <v>374</v>
      </c>
      <c r="E13" s="78"/>
      <c r="F13" s="10"/>
      <c r="G13" s="7"/>
      <c r="H13" s="7"/>
      <c r="I13" s="7"/>
      <c r="J13" s="7"/>
      <c r="K13" s="7"/>
      <c r="L13" s="7"/>
      <c r="M13" s="7"/>
      <c r="N13" s="7"/>
      <c r="O13" s="10"/>
      <c r="P13" s="10"/>
    </row>
    <row r="14" spans="3:17" x14ac:dyDescent="0.25">
      <c r="C14" s="10">
        <v>2</v>
      </c>
      <c r="D14" s="7" t="s">
        <v>376</v>
      </c>
      <c r="E14" s="78"/>
      <c r="F14" s="22"/>
      <c r="G14" s="7"/>
      <c r="H14" s="7"/>
      <c r="I14" s="7"/>
      <c r="J14" s="7"/>
      <c r="K14" s="7"/>
      <c r="L14" s="7"/>
      <c r="M14" s="7"/>
      <c r="N14" s="7"/>
      <c r="O14" s="10"/>
      <c r="P14" s="10"/>
    </row>
    <row r="15" spans="3:17" x14ac:dyDescent="0.25">
      <c r="C15" s="10">
        <v>3</v>
      </c>
      <c r="D15" s="7" t="s">
        <v>376</v>
      </c>
      <c r="E15" s="78"/>
      <c r="F15" s="22"/>
      <c r="G15" s="7"/>
      <c r="H15" s="7"/>
      <c r="I15" s="7"/>
      <c r="J15" s="7"/>
      <c r="K15" s="7"/>
      <c r="L15" s="7"/>
      <c r="M15" s="7"/>
      <c r="N15" s="7"/>
      <c r="O15" s="10"/>
      <c r="P15" s="10"/>
    </row>
    <row r="16" spans="3:17" x14ac:dyDescent="0.25">
      <c r="C16" s="10">
        <v>4</v>
      </c>
      <c r="D16" s="7" t="s">
        <v>374</v>
      </c>
      <c r="E16" s="78"/>
      <c r="F16" s="22"/>
      <c r="G16" s="7"/>
      <c r="H16" s="7"/>
      <c r="I16" s="7"/>
      <c r="J16" s="7"/>
      <c r="K16" s="7"/>
      <c r="L16" s="7"/>
      <c r="M16" s="7"/>
      <c r="N16" s="7"/>
      <c r="O16" s="10"/>
      <c r="P16" s="10"/>
    </row>
    <row r="17" spans="3:24" x14ac:dyDescent="0.25">
      <c r="C17" s="10">
        <v>5</v>
      </c>
      <c r="D17" s="7" t="s">
        <v>378</v>
      </c>
      <c r="E17" s="11"/>
      <c r="F17" s="7"/>
      <c r="G17" s="7"/>
      <c r="H17" s="7"/>
      <c r="I17" s="7"/>
      <c r="J17" s="7"/>
      <c r="K17" s="7"/>
      <c r="L17" s="7"/>
      <c r="M17" s="7"/>
      <c r="N17" s="7"/>
      <c r="O17" s="10"/>
      <c r="P17" s="10"/>
    </row>
    <row r="18" spans="3:24" x14ac:dyDescent="0.25">
      <c r="C18" s="104" t="s">
        <v>3</v>
      </c>
      <c r="D18" s="98"/>
      <c r="E18" s="99"/>
      <c r="F18" s="7">
        <f t="shared" ref="F18:M18" si="6">SUM(F12:F17)</f>
        <v>0</v>
      </c>
      <c r="G18" s="7">
        <f t="shared" si="6"/>
        <v>0</v>
      </c>
      <c r="H18" s="7">
        <f t="shared" si="6"/>
        <v>0</v>
      </c>
      <c r="I18" s="7">
        <f t="shared" si="6"/>
        <v>0</v>
      </c>
      <c r="J18" s="7">
        <f t="shared" si="6"/>
        <v>0</v>
      </c>
      <c r="K18" s="7">
        <f t="shared" si="6"/>
        <v>0</v>
      </c>
      <c r="L18" s="7">
        <f t="shared" si="6"/>
        <v>0</v>
      </c>
      <c r="M18" s="7">
        <f t="shared" si="6"/>
        <v>0</v>
      </c>
      <c r="N18" s="7">
        <f>SUM(F18:M18)</f>
        <v>0</v>
      </c>
      <c r="O18" s="10"/>
      <c r="P18" s="10"/>
    </row>
    <row r="19" spans="3:24" x14ac:dyDescent="0.25">
      <c r="C19" s="1"/>
      <c r="E19" s="1"/>
      <c r="F19" s="16"/>
    </row>
    <row r="20" spans="3:24" ht="15.75" x14ac:dyDescent="0.25">
      <c r="C20" s="9" t="s">
        <v>8</v>
      </c>
      <c r="D20" s="4" t="s">
        <v>9</v>
      </c>
      <c r="E20" s="20" t="s">
        <v>10</v>
      </c>
      <c r="F20" s="20" t="s">
        <v>11</v>
      </c>
      <c r="G20" s="4" t="s">
        <v>4</v>
      </c>
      <c r="H20" s="4" t="s">
        <v>12</v>
      </c>
      <c r="I20" s="4" t="s">
        <v>2</v>
      </c>
      <c r="J20" s="4" t="s">
        <v>13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19</v>
      </c>
      <c r="P20" s="39" t="s">
        <v>204</v>
      </c>
      <c r="Q20" s="63" t="s">
        <v>295</v>
      </c>
      <c r="T20" s="101" t="s">
        <v>118</v>
      </c>
      <c r="U20" s="102"/>
      <c r="V20" s="102"/>
      <c r="W20" s="102"/>
    </row>
    <row r="21" spans="3:24" ht="15.75" customHeight="1" x14ac:dyDescent="0.25">
      <c r="C21" s="10">
        <v>1</v>
      </c>
      <c r="D21" s="11">
        <v>45414</v>
      </c>
      <c r="E21" s="10">
        <v>33</v>
      </c>
      <c r="F21" s="22" t="s">
        <v>394</v>
      </c>
      <c r="G21" s="7">
        <v>10000</v>
      </c>
      <c r="H21" s="12">
        <v>99</v>
      </c>
      <c r="I21" s="7">
        <v>10000</v>
      </c>
      <c r="J21" s="7"/>
      <c r="K21" s="7"/>
      <c r="L21" s="7"/>
      <c r="M21" s="7"/>
      <c r="N21" s="7"/>
      <c r="O21" s="7"/>
      <c r="P21" s="7"/>
      <c r="Q21" s="40"/>
      <c r="T21" s="97" t="s">
        <v>172</v>
      </c>
      <c r="U21" s="98"/>
      <c r="V21" s="98"/>
      <c r="W21" s="34"/>
    </row>
    <row r="22" spans="3:24" ht="15.75" customHeight="1" x14ac:dyDescent="0.25">
      <c r="C22" s="10">
        <v>2</v>
      </c>
      <c r="D22" s="11">
        <v>45414</v>
      </c>
      <c r="E22" s="10">
        <v>34</v>
      </c>
      <c r="F22" s="22" t="s">
        <v>333</v>
      </c>
      <c r="G22" s="7">
        <v>420</v>
      </c>
      <c r="H22" s="31">
        <v>115</v>
      </c>
      <c r="I22" s="7">
        <v>420</v>
      </c>
      <c r="J22" s="7"/>
      <c r="K22" s="7"/>
      <c r="L22" s="7"/>
      <c r="M22" s="7"/>
      <c r="N22" s="7"/>
      <c r="O22" s="7"/>
      <c r="P22" s="7"/>
      <c r="Q22" s="7"/>
      <c r="T22" s="10" t="s">
        <v>121</v>
      </c>
      <c r="U22" s="7" t="s">
        <v>9</v>
      </c>
      <c r="V22" s="7" t="s">
        <v>122</v>
      </c>
      <c r="W22" s="7" t="s">
        <v>4</v>
      </c>
      <c r="X22" s="7" t="s">
        <v>549</v>
      </c>
    </row>
    <row r="23" spans="3:24" ht="15.75" customHeight="1" x14ac:dyDescent="0.25">
      <c r="C23" s="10">
        <v>3</v>
      </c>
      <c r="D23" s="11">
        <v>45414</v>
      </c>
      <c r="E23" s="10" t="s">
        <v>550</v>
      </c>
      <c r="F23" s="22" t="s">
        <v>43</v>
      </c>
      <c r="G23" s="7">
        <v>40000</v>
      </c>
      <c r="H23" s="12">
        <v>151</v>
      </c>
      <c r="I23" s="7"/>
      <c r="J23" s="7">
        <v>4000</v>
      </c>
      <c r="K23" s="7"/>
      <c r="L23" s="7"/>
      <c r="M23" s="7"/>
      <c r="N23" s="7"/>
      <c r="O23" s="7"/>
      <c r="P23" s="7"/>
      <c r="Q23" s="7"/>
      <c r="T23" s="10">
        <v>1</v>
      </c>
      <c r="U23" s="41">
        <v>45426</v>
      </c>
      <c r="V23" s="7" t="s">
        <v>426</v>
      </c>
      <c r="W23" s="7">
        <v>16702</v>
      </c>
      <c r="X23" s="7">
        <v>78</v>
      </c>
    </row>
    <row r="24" spans="3:24" ht="15.75" customHeight="1" x14ac:dyDescent="0.25">
      <c r="C24" s="10">
        <v>4</v>
      </c>
      <c r="D24" s="11">
        <v>45414</v>
      </c>
      <c r="E24" s="10" t="s">
        <v>159</v>
      </c>
      <c r="F24" s="22" t="s">
        <v>269</v>
      </c>
      <c r="G24" s="7">
        <v>25</v>
      </c>
      <c r="H24" s="12">
        <v>166</v>
      </c>
      <c r="I24" s="7"/>
      <c r="J24" s="7"/>
      <c r="K24" s="7">
        <v>25</v>
      </c>
      <c r="L24" s="7"/>
      <c r="M24" s="7"/>
      <c r="N24" s="7"/>
      <c r="O24" s="7"/>
      <c r="P24" s="7"/>
      <c r="Q24" s="7"/>
      <c r="T24" s="10">
        <v>2</v>
      </c>
      <c r="U24" s="41">
        <v>45427</v>
      </c>
      <c r="V24" s="7" t="s">
        <v>426</v>
      </c>
      <c r="W24" s="7">
        <v>18648</v>
      </c>
      <c r="X24" s="7">
        <v>78</v>
      </c>
    </row>
    <row r="25" spans="3:24" ht="15.75" customHeight="1" x14ac:dyDescent="0.25">
      <c r="C25" s="10">
        <v>5</v>
      </c>
      <c r="D25" s="11">
        <v>45414</v>
      </c>
      <c r="E25" s="10" t="s">
        <v>166</v>
      </c>
      <c r="F25" s="22" t="s">
        <v>268</v>
      </c>
      <c r="G25" s="7">
        <v>2500</v>
      </c>
      <c r="H25" s="12" t="s">
        <v>551</v>
      </c>
      <c r="I25" s="7"/>
      <c r="J25" s="7">
        <v>500</v>
      </c>
      <c r="K25" s="7"/>
      <c r="L25" s="7"/>
      <c r="M25" s="7"/>
      <c r="N25" s="7">
        <v>2000</v>
      </c>
      <c r="O25" s="7"/>
      <c r="P25" s="7"/>
      <c r="Q25" s="7"/>
      <c r="T25" s="10">
        <v>3</v>
      </c>
      <c r="U25" s="41">
        <v>45429</v>
      </c>
      <c r="V25" s="7" t="s">
        <v>426</v>
      </c>
      <c r="W25" s="7">
        <v>18524</v>
      </c>
      <c r="X25" s="7">
        <v>78</v>
      </c>
    </row>
    <row r="26" spans="3:24" ht="15.75" customHeight="1" x14ac:dyDescent="0.25">
      <c r="C26" s="10">
        <v>6</v>
      </c>
      <c r="D26" s="11">
        <v>45415</v>
      </c>
      <c r="E26" s="10">
        <v>36</v>
      </c>
      <c r="F26" s="22" t="s">
        <v>333</v>
      </c>
      <c r="G26" s="7">
        <v>400</v>
      </c>
      <c r="H26" s="12">
        <v>115</v>
      </c>
      <c r="I26" s="7">
        <v>400</v>
      </c>
      <c r="J26" s="7"/>
      <c r="K26" s="7"/>
      <c r="L26" s="7"/>
      <c r="M26" s="7"/>
      <c r="N26" s="7"/>
      <c r="O26" s="7"/>
      <c r="P26" s="7"/>
      <c r="Q26" s="7"/>
      <c r="T26" s="10">
        <v>4</v>
      </c>
      <c r="U26" s="41">
        <v>45423</v>
      </c>
      <c r="V26" s="7" t="s">
        <v>552</v>
      </c>
      <c r="W26" s="7">
        <v>10120</v>
      </c>
      <c r="X26" s="7">
        <v>92</v>
      </c>
    </row>
    <row r="27" spans="3:24" ht="15.75" customHeight="1" x14ac:dyDescent="0.25">
      <c r="C27" s="10">
        <v>7</v>
      </c>
      <c r="D27" s="11">
        <v>45416</v>
      </c>
      <c r="E27" s="10">
        <v>38</v>
      </c>
      <c r="F27" s="22" t="s">
        <v>180</v>
      </c>
      <c r="G27" s="7">
        <v>500</v>
      </c>
      <c r="H27" s="12">
        <v>169</v>
      </c>
      <c r="I27" s="7"/>
      <c r="J27" s="7"/>
      <c r="K27" s="7">
        <v>500</v>
      </c>
      <c r="L27" s="7"/>
      <c r="M27" s="7"/>
      <c r="N27" s="7"/>
      <c r="O27" s="7"/>
      <c r="P27" s="7"/>
      <c r="Q27" s="7"/>
      <c r="T27" s="10">
        <v>5</v>
      </c>
      <c r="U27" s="41">
        <v>45423</v>
      </c>
      <c r="V27" s="7" t="s">
        <v>552</v>
      </c>
      <c r="W27" s="7">
        <v>11380</v>
      </c>
      <c r="X27" s="7">
        <v>92</v>
      </c>
    </row>
    <row r="28" spans="3:24" ht="15.75" customHeight="1" x14ac:dyDescent="0.25">
      <c r="C28" s="10">
        <v>8</v>
      </c>
      <c r="D28" s="11">
        <v>45419</v>
      </c>
      <c r="E28" s="10" t="s">
        <v>553</v>
      </c>
      <c r="F28" s="22" t="s">
        <v>248</v>
      </c>
      <c r="G28" s="7">
        <v>1500</v>
      </c>
      <c r="H28" s="12">
        <v>170</v>
      </c>
      <c r="I28" s="7"/>
      <c r="J28" s="7"/>
      <c r="K28" s="7"/>
      <c r="L28" s="7"/>
      <c r="M28" s="7"/>
      <c r="N28" s="7"/>
      <c r="O28" s="7"/>
      <c r="P28" s="7">
        <v>1500</v>
      </c>
      <c r="Q28" s="7"/>
      <c r="T28" s="10">
        <v>6</v>
      </c>
      <c r="U28" s="41">
        <v>45430</v>
      </c>
      <c r="V28" s="7" t="s">
        <v>552</v>
      </c>
      <c r="W28" s="7">
        <v>8452</v>
      </c>
      <c r="X28" s="7">
        <v>92</v>
      </c>
    </row>
    <row r="29" spans="3:24" ht="15.75" customHeight="1" x14ac:dyDescent="0.25">
      <c r="C29" s="10">
        <v>9</v>
      </c>
      <c r="D29" s="11">
        <v>45419</v>
      </c>
      <c r="E29" s="10" t="s">
        <v>554</v>
      </c>
      <c r="F29" s="22" t="s">
        <v>80</v>
      </c>
      <c r="G29" s="7">
        <v>400</v>
      </c>
      <c r="H29" s="12">
        <v>154</v>
      </c>
      <c r="I29" s="7"/>
      <c r="J29" s="7">
        <v>400</v>
      </c>
      <c r="K29" s="7"/>
      <c r="L29" s="7"/>
      <c r="M29" s="7"/>
      <c r="N29" s="7"/>
      <c r="O29" s="7"/>
      <c r="P29" s="7"/>
      <c r="Q29" s="7"/>
      <c r="T29" s="10">
        <v>7</v>
      </c>
      <c r="U29" s="41">
        <v>45430</v>
      </c>
      <c r="V29" s="7" t="s">
        <v>552</v>
      </c>
      <c r="W29" s="7">
        <v>7110</v>
      </c>
      <c r="X29" s="7">
        <v>92</v>
      </c>
    </row>
    <row r="30" spans="3:24" ht="15.75" customHeight="1" x14ac:dyDescent="0.25">
      <c r="C30" s="10">
        <v>10</v>
      </c>
      <c r="D30" s="11">
        <v>45418</v>
      </c>
      <c r="E30" s="10" t="s">
        <v>27</v>
      </c>
      <c r="F30" s="22" t="s">
        <v>37</v>
      </c>
      <c r="G30" s="7">
        <v>400</v>
      </c>
      <c r="H30" s="12">
        <v>125</v>
      </c>
      <c r="I30" s="7">
        <v>400</v>
      </c>
      <c r="J30" s="7"/>
      <c r="K30" s="7"/>
      <c r="L30" s="7"/>
      <c r="M30" s="7"/>
      <c r="N30" s="7"/>
      <c r="O30" s="7"/>
      <c r="P30" s="7"/>
      <c r="Q30" s="7"/>
      <c r="T30" s="10">
        <v>8</v>
      </c>
      <c r="U30" s="11"/>
      <c r="V30" s="7"/>
      <c r="W30" s="7"/>
      <c r="X30" s="7"/>
    </row>
    <row r="31" spans="3:24" ht="15.75" customHeight="1" x14ac:dyDescent="0.25">
      <c r="C31" s="10">
        <v>11</v>
      </c>
      <c r="D31" s="11">
        <v>45421</v>
      </c>
      <c r="E31" s="10">
        <v>41</v>
      </c>
      <c r="F31" s="22" t="s">
        <v>394</v>
      </c>
      <c r="G31" s="7">
        <v>10000</v>
      </c>
      <c r="H31" s="12">
        <v>99</v>
      </c>
      <c r="I31" s="7">
        <v>10000</v>
      </c>
      <c r="J31" s="7"/>
      <c r="K31" s="7"/>
      <c r="L31" s="7"/>
      <c r="M31" s="7"/>
      <c r="N31" s="7"/>
      <c r="O31" s="7"/>
      <c r="P31" s="7"/>
      <c r="Q31" s="7"/>
      <c r="T31" s="10"/>
      <c r="U31" s="7"/>
      <c r="V31" s="7"/>
      <c r="W31" s="7"/>
      <c r="X31" s="7"/>
    </row>
    <row r="32" spans="3:24" ht="15.75" customHeight="1" x14ac:dyDescent="0.25">
      <c r="C32" s="10">
        <v>12</v>
      </c>
      <c r="D32" s="11">
        <v>45421</v>
      </c>
      <c r="E32" s="10">
        <v>42</v>
      </c>
      <c r="F32" s="22" t="s">
        <v>80</v>
      </c>
      <c r="G32" s="7">
        <v>1000</v>
      </c>
      <c r="H32" s="12">
        <v>127</v>
      </c>
      <c r="I32" s="7">
        <v>1000</v>
      </c>
      <c r="J32" s="7"/>
      <c r="K32" s="7"/>
      <c r="L32" s="7"/>
      <c r="M32" s="7"/>
      <c r="N32" s="7"/>
      <c r="O32" s="7"/>
      <c r="P32" s="7"/>
      <c r="Q32" s="7"/>
      <c r="T32" s="97" t="s">
        <v>181</v>
      </c>
      <c r="U32" s="98"/>
      <c r="V32" s="99"/>
      <c r="W32" s="7">
        <f>SUM(W23:W30)</f>
        <v>90936</v>
      </c>
    </row>
    <row r="33" spans="3:23" ht="15.75" customHeight="1" x14ac:dyDescent="0.25">
      <c r="C33" s="10">
        <v>13</v>
      </c>
      <c r="D33" s="11">
        <v>45426</v>
      </c>
      <c r="E33" s="10">
        <v>44</v>
      </c>
      <c r="F33" s="22" t="s">
        <v>394</v>
      </c>
      <c r="G33" s="7">
        <v>10000</v>
      </c>
      <c r="H33" s="12">
        <v>99</v>
      </c>
      <c r="I33" s="7">
        <v>10000</v>
      </c>
      <c r="J33" s="7"/>
      <c r="K33" s="7"/>
      <c r="L33" s="7"/>
      <c r="M33" s="7"/>
      <c r="N33" s="7"/>
      <c r="O33" s="7"/>
      <c r="P33" s="7"/>
      <c r="Q33" s="7"/>
      <c r="T33" s="97" t="s">
        <v>183</v>
      </c>
      <c r="U33" s="98"/>
      <c r="V33" s="99"/>
      <c r="W33" s="7">
        <v>171876</v>
      </c>
    </row>
    <row r="34" spans="3:23" ht="15.75" customHeight="1" x14ac:dyDescent="0.25">
      <c r="C34" s="10">
        <v>14</v>
      </c>
      <c r="D34" s="11">
        <v>45426</v>
      </c>
      <c r="E34" s="10">
        <v>45</v>
      </c>
      <c r="F34" s="22" t="s">
        <v>80</v>
      </c>
      <c r="G34" s="7">
        <v>100</v>
      </c>
      <c r="H34" s="12">
        <v>120</v>
      </c>
      <c r="I34" s="7">
        <v>100</v>
      </c>
      <c r="J34" s="7"/>
      <c r="K34" s="7"/>
      <c r="L34" s="7"/>
      <c r="M34" s="7"/>
      <c r="N34" s="7"/>
      <c r="O34" s="7"/>
      <c r="P34" s="7"/>
      <c r="Q34" s="7"/>
      <c r="T34" s="97" t="s">
        <v>184</v>
      </c>
      <c r="U34" s="98"/>
      <c r="V34" s="99"/>
      <c r="W34" s="35">
        <f>SUM(W32,W33)</f>
        <v>262812</v>
      </c>
    </row>
    <row r="35" spans="3:23" ht="15.75" customHeight="1" x14ac:dyDescent="0.25">
      <c r="C35" s="10">
        <v>15</v>
      </c>
      <c r="D35" s="11">
        <v>45426</v>
      </c>
      <c r="E35" s="10">
        <v>46</v>
      </c>
      <c r="F35" s="22" t="s">
        <v>555</v>
      </c>
      <c r="G35" s="7">
        <v>200</v>
      </c>
      <c r="H35" s="12">
        <v>114</v>
      </c>
      <c r="I35" s="7">
        <v>200</v>
      </c>
      <c r="J35" s="7"/>
      <c r="K35" s="7"/>
      <c r="L35" s="7"/>
      <c r="M35" s="7"/>
      <c r="N35" s="7"/>
      <c r="O35" s="7"/>
      <c r="P35" s="7"/>
      <c r="Q35" s="7"/>
      <c r="T35" s="97" t="s">
        <v>186</v>
      </c>
      <c r="U35" s="98"/>
      <c r="V35" s="99"/>
      <c r="W35" s="7">
        <f>'May 2024'!$I$101</f>
        <v>63140</v>
      </c>
    </row>
    <row r="36" spans="3:23" ht="15.75" customHeight="1" x14ac:dyDescent="0.25">
      <c r="C36" s="10">
        <v>16</v>
      </c>
      <c r="D36" s="11">
        <v>45427</v>
      </c>
      <c r="E36" s="10">
        <v>47</v>
      </c>
      <c r="F36" s="22" t="s">
        <v>139</v>
      </c>
      <c r="G36" s="7">
        <v>1000</v>
      </c>
      <c r="H36" s="12">
        <v>125</v>
      </c>
      <c r="I36" s="7">
        <v>1000</v>
      </c>
      <c r="J36" s="7"/>
      <c r="K36" s="7"/>
      <c r="L36" s="7"/>
      <c r="M36" s="7"/>
      <c r="N36" s="7"/>
      <c r="O36" s="7"/>
      <c r="P36" s="7"/>
      <c r="Q36" s="7"/>
      <c r="T36" s="97"/>
      <c r="U36" s="98"/>
      <c r="V36" s="99"/>
      <c r="W36" s="7"/>
    </row>
    <row r="37" spans="3:23" ht="15.75" customHeight="1" x14ac:dyDescent="0.25">
      <c r="C37" s="10">
        <v>17</v>
      </c>
      <c r="D37" s="11">
        <v>45421</v>
      </c>
      <c r="E37" s="10" t="s">
        <v>556</v>
      </c>
      <c r="F37" s="22" t="s">
        <v>394</v>
      </c>
      <c r="G37" s="7">
        <v>1000</v>
      </c>
      <c r="H37" s="12">
        <v>160</v>
      </c>
      <c r="I37" s="7"/>
      <c r="J37" s="7"/>
      <c r="K37" s="7"/>
      <c r="L37" s="7"/>
      <c r="M37" s="7"/>
      <c r="N37" s="7">
        <v>10000</v>
      </c>
      <c r="O37" s="7"/>
      <c r="P37" s="7"/>
      <c r="Q37" s="7"/>
      <c r="T37" s="100" t="s">
        <v>188</v>
      </c>
      <c r="U37" s="98"/>
      <c r="V37" s="99"/>
      <c r="W37" s="36">
        <f>SUM(W34-W35)</f>
        <v>199672</v>
      </c>
    </row>
    <row r="38" spans="3:23" ht="15.75" customHeight="1" x14ac:dyDescent="0.25">
      <c r="C38" s="10">
        <v>18</v>
      </c>
      <c r="D38" s="11">
        <v>45422</v>
      </c>
      <c r="E38" s="24" t="s">
        <v>557</v>
      </c>
      <c r="F38" s="22" t="s">
        <v>297</v>
      </c>
      <c r="G38" s="7">
        <v>10000</v>
      </c>
      <c r="H38" s="12" t="s">
        <v>558</v>
      </c>
      <c r="I38" s="7"/>
      <c r="J38" s="7"/>
      <c r="K38" s="7">
        <v>3000</v>
      </c>
      <c r="L38" s="7"/>
      <c r="M38" s="7"/>
      <c r="N38" s="7"/>
      <c r="O38" s="7"/>
      <c r="P38" s="7">
        <v>7000</v>
      </c>
      <c r="Q38" s="7"/>
    </row>
    <row r="39" spans="3:23" ht="15.75" customHeight="1" x14ac:dyDescent="0.25">
      <c r="C39" s="10">
        <v>19</v>
      </c>
      <c r="D39" s="11">
        <v>45427</v>
      </c>
      <c r="E39" s="10" t="s">
        <v>559</v>
      </c>
      <c r="F39" s="22" t="s">
        <v>32</v>
      </c>
      <c r="G39" s="7">
        <v>500</v>
      </c>
      <c r="H39" s="12">
        <v>171</v>
      </c>
      <c r="I39" s="7"/>
      <c r="J39" s="7"/>
      <c r="K39" s="7"/>
      <c r="L39" s="7"/>
      <c r="M39" s="7"/>
      <c r="N39" s="7">
        <v>500</v>
      </c>
      <c r="O39" s="7"/>
      <c r="P39" s="7"/>
      <c r="Q39" s="7"/>
    </row>
    <row r="40" spans="3:23" ht="15.75" customHeight="1" x14ac:dyDescent="0.25">
      <c r="C40" s="10">
        <v>20</v>
      </c>
      <c r="D40" s="11">
        <v>45427</v>
      </c>
      <c r="E40" s="10" t="s">
        <v>560</v>
      </c>
      <c r="F40" s="22" t="s">
        <v>49</v>
      </c>
      <c r="G40" s="7">
        <v>3000</v>
      </c>
      <c r="H40" s="12">
        <v>151</v>
      </c>
      <c r="I40" s="7"/>
      <c r="J40" s="7">
        <v>3000</v>
      </c>
      <c r="K40" s="7"/>
      <c r="L40" s="7"/>
      <c r="M40" s="7"/>
      <c r="N40" s="7"/>
      <c r="O40" s="7"/>
      <c r="P40" s="7"/>
      <c r="Q40" s="7"/>
    </row>
    <row r="41" spans="3:23" ht="15.75" customHeight="1" x14ac:dyDescent="0.25">
      <c r="C41" s="10">
        <v>21</v>
      </c>
      <c r="D41" s="11">
        <v>45428</v>
      </c>
      <c r="E41" s="10">
        <v>51</v>
      </c>
      <c r="F41" s="22" t="s">
        <v>561</v>
      </c>
      <c r="G41" s="7">
        <v>15000</v>
      </c>
      <c r="H41" s="12">
        <v>110</v>
      </c>
      <c r="I41" s="7">
        <v>15000</v>
      </c>
      <c r="J41" s="7"/>
      <c r="K41" s="7"/>
      <c r="L41" s="7"/>
      <c r="M41" s="7"/>
      <c r="N41" s="7"/>
      <c r="O41" s="7"/>
      <c r="P41" s="7"/>
      <c r="Q41" s="7"/>
    </row>
    <row r="42" spans="3:23" ht="15.75" customHeight="1" x14ac:dyDescent="0.25">
      <c r="C42" s="10">
        <v>22</v>
      </c>
      <c r="D42" s="11">
        <v>45428</v>
      </c>
      <c r="E42" s="10">
        <v>52</v>
      </c>
      <c r="F42" s="22" t="s">
        <v>561</v>
      </c>
      <c r="G42" s="7">
        <v>280</v>
      </c>
      <c r="H42" s="12">
        <v>208</v>
      </c>
      <c r="I42" s="7"/>
      <c r="J42" s="7"/>
      <c r="K42" s="7"/>
      <c r="L42" s="7"/>
      <c r="M42" s="7"/>
      <c r="N42" s="7"/>
      <c r="O42" s="7"/>
      <c r="P42" s="7"/>
      <c r="Q42" s="7">
        <v>280</v>
      </c>
    </row>
    <row r="43" spans="3:23" ht="15.75" customHeight="1" x14ac:dyDescent="0.25">
      <c r="C43" s="10">
        <v>23</v>
      </c>
      <c r="D43" s="11">
        <v>45429</v>
      </c>
      <c r="E43" s="10" t="s">
        <v>562</v>
      </c>
      <c r="F43" s="22" t="s">
        <v>49</v>
      </c>
      <c r="G43" s="7">
        <v>1000</v>
      </c>
      <c r="H43" s="12">
        <v>160</v>
      </c>
      <c r="I43" s="7"/>
      <c r="J43" s="7"/>
      <c r="K43" s="7">
        <v>1000</v>
      </c>
      <c r="L43" s="7"/>
      <c r="M43" s="7"/>
      <c r="N43" s="7"/>
      <c r="O43" s="7"/>
      <c r="P43" s="7"/>
      <c r="Q43" s="7"/>
    </row>
    <row r="44" spans="3:23" ht="15.75" customHeight="1" x14ac:dyDescent="0.25">
      <c r="C44" s="10">
        <v>24</v>
      </c>
      <c r="D44" s="11">
        <v>45430</v>
      </c>
      <c r="E44" s="10">
        <v>54</v>
      </c>
      <c r="F44" s="22" t="s">
        <v>409</v>
      </c>
      <c r="G44" s="7">
        <v>2000</v>
      </c>
      <c r="H44" s="12">
        <v>169</v>
      </c>
      <c r="I44" s="7"/>
      <c r="J44" s="7"/>
      <c r="K44" s="7"/>
      <c r="L44" s="7"/>
      <c r="M44" s="7"/>
      <c r="N44" s="7"/>
      <c r="O44" s="7">
        <v>2000</v>
      </c>
      <c r="P44" s="7"/>
      <c r="Q44" s="7"/>
    </row>
    <row r="45" spans="3:23" ht="15.75" customHeight="1" x14ac:dyDescent="0.25">
      <c r="C45" s="10">
        <v>26</v>
      </c>
      <c r="D45" s="11">
        <v>45433</v>
      </c>
      <c r="E45" s="10">
        <v>55</v>
      </c>
      <c r="F45" s="22" t="s">
        <v>333</v>
      </c>
      <c r="G45" s="7">
        <v>380</v>
      </c>
      <c r="H45" s="12">
        <v>115</v>
      </c>
      <c r="I45" s="7">
        <v>380</v>
      </c>
      <c r="J45" s="7"/>
      <c r="K45" s="7"/>
      <c r="L45" s="7"/>
      <c r="M45" s="7"/>
      <c r="N45" s="7"/>
      <c r="O45" s="7"/>
      <c r="P45" s="7"/>
      <c r="Q45" s="7"/>
    </row>
    <row r="46" spans="3:23" ht="15.75" customHeight="1" x14ac:dyDescent="0.25">
      <c r="C46" s="10">
        <v>27</v>
      </c>
      <c r="D46" s="11">
        <v>45435</v>
      </c>
      <c r="E46" s="10" t="s">
        <v>563</v>
      </c>
      <c r="F46" s="22" t="s">
        <v>43</v>
      </c>
      <c r="G46" s="7">
        <v>3975</v>
      </c>
      <c r="H46" s="12" t="s">
        <v>564</v>
      </c>
      <c r="I46" s="7"/>
      <c r="J46" s="7">
        <v>3000</v>
      </c>
      <c r="K46" s="7">
        <v>975</v>
      </c>
      <c r="L46" s="7"/>
      <c r="M46" s="7"/>
      <c r="N46" s="7"/>
      <c r="O46" s="7"/>
      <c r="P46" s="7"/>
      <c r="Q46" s="7"/>
    </row>
    <row r="47" spans="3:23" ht="15.75" customHeight="1" x14ac:dyDescent="0.25">
      <c r="C47" s="10">
        <v>28</v>
      </c>
      <c r="D47" s="11">
        <v>45435</v>
      </c>
      <c r="E47" s="10" t="s">
        <v>565</v>
      </c>
      <c r="F47" s="22" t="s">
        <v>71</v>
      </c>
      <c r="G47" s="7">
        <v>400</v>
      </c>
      <c r="H47" s="12">
        <v>158</v>
      </c>
      <c r="I47" s="7"/>
      <c r="J47" s="7"/>
      <c r="K47" s="7"/>
      <c r="L47" s="7"/>
      <c r="M47" s="7"/>
      <c r="N47" s="7">
        <v>400</v>
      </c>
      <c r="O47" s="7"/>
      <c r="P47" s="7"/>
      <c r="Q47" s="7"/>
    </row>
    <row r="48" spans="3:23" ht="15.75" customHeight="1" x14ac:dyDescent="0.25">
      <c r="C48" s="10">
        <v>29</v>
      </c>
      <c r="D48" s="11">
        <v>45436</v>
      </c>
      <c r="E48" s="10">
        <v>56</v>
      </c>
      <c r="F48" s="22" t="s">
        <v>566</v>
      </c>
      <c r="G48" s="7">
        <v>200</v>
      </c>
      <c r="H48" s="12">
        <v>195</v>
      </c>
      <c r="I48" s="7"/>
      <c r="J48" s="7"/>
      <c r="K48" s="7"/>
      <c r="L48" s="7"/>
      <c r="M48" s="7"/>
      <c r="N48" s="7"/>
      <c r="O48" s="7"/>
      <c r="P48" s="7"/>
      <c r="Q48" s="7">
        <v>200</v>
      </c>
      <c r="S48" s="1"/>
    </row>
    <row r="49" spans="3:19" ht="15.75" customHeight="1" x14ac:dyDescent="0.25">
      <c r="C49" s="10">
        <v>30</v>
      </c>
      <c r="D49" s="11">
        <v>45437</v>
      </c>
      <c r="E49" s="10" t="s">
        <v>567</v>
      </c>
      <c r="F49" s="22" t="s">
        <v>268</v>
      </c>
      <c r="G49" s="7">
        <v>1300</v>
      </c>
      <c r="H49" s="12" t="s">
        <v>540</v>
      </c>
      <c r="I49" s="7"/>
      <c r="J49" s="7">
        <v>1000</v>
      </c>
      <c r="K49" s="7"/>
      <c r="L49" s="7"/>
      <c r="M49" s="7"/>
      <c r="N49" s="7"/>
      <c r="O49" s="7"/>
      <c r="P49" s="7"/>
      <c r="Q49" s="7">
        <v>300</v>
      </c>
      <c r="S49" s="1"/>
    </row>
    <row r="50" spans="3:19" ht="15.75" customHeight="1" x14ac:dyDescent="0.25">
      <c r="C50" s="10">
        <v>31</v>
      </c>
      <c r="D50" s="11">
        <v>45437</v>
      </c>
      <c r="E50" s="10">
        <v>57</v>
      </c>
      <c r="F50" s="22" t="s">
        <v>90</v>
      </c>
      <c r="G50" s="7">
        <v>11300</v>
      </c>
      <c r="H50" s="12">
        <v>103</v>
      </c>
      <c r="I50" s="7">
        <v>11300</v>
      </c>
      <c r="J50" s="7"/>
      <c r="K50" s="7"/>
      <c r="L50" s="7"/>
      <c r="M50" s="7"/>
      <c r="N50" s="7"/>
      <c r="O50" s="7"/>
      <c r="P50" s="7"/>
      <c r="Q50" s="7"/>
      <c r="S50" s="1"/>
    </row>
    <row r="51" spans="3:19" ht="15.75" customHeight="1" x14ac:dyDescent="0.25">
      <c r="C51" s="10">
        <v>32</v>
      </c>
      <c r="D51" s="11">
        <v>45437</v>
      </c>
      <c r="E51" s="10">
        <v>59</v>
      </c>
      <c r="F51" s="22" t="s">
        <v>89</v>
      </c>
      <c r="G51" s="7">
        <v>500</v>
      </c>
      <c r="H51" s="12">
        <v>115</v>
      </c>
      <c r="I51" s="7">
        <v>500</v>
      </c>
      <c r="J51" s="7"/>
      <c r="K51" s="7"/>
      <c r="L51" s="7"/>
      <c r="M51" s="7"/>
      <c r="N51" s="7"/>
      <c r="O51" s="7"/>
      <c r="P51" s="7"/>
      <c r="Q51" s="7"/>
      <c r="S51" s="1"/>
    </row>
    <row r="52" spans="3:19" ht="15.75" customHeight="1" x14ac:dyDescent="0.25">
      <c r="C52" s="10">
        <v>33</v>
      </c>
      <c r="D52" s="11">
        <v>45439</v>
      </c>
      <c r="E52" s="10">
        <v>61</v>
      </c>
      <c r="F52" s="22" t="s">
        <v>391</v>
      </c>
      <c r="G52" s="7">
        <v>1000</v>
      </c>
      <c r="H52" s="12">
        <v>119</v>
      </c>
      <c r="I52" s="7">
        <v>1000</v>
      </c>
      <c r="J52" s="7"/>
      <c r="K52" s="7"/>
      <c r="L52" s="7"/>
      <c r="M52" s="7"/>
      <c r="N52" s="7"/>
      <c r="O52" s="7"/>
      <c r="P52" s="7"/>
      <c r="Q52" s="7"/>
      <c r="S52" s="1"/>
    </row>
    <row r="53" spans="3:19" ht="15.75" customHeight="1" x14ac:dyDescent="0.25">
      <c r="C53" s="10">
        <v>34</v>
      </c>
      <c r="D53" s="11">
        <v>45439</v>
      </c>
      <c r="E53" s="10">
        <v>62</v>
      </c>
      <c r="F53" s="22" t="s">
        <v>46</v>
      </c>
      <c r="G53" s="7">
        <v>400</v>
      </c>
      <c r="H53" s="12" t="s">
        <v>568</v>
      </c>
      <c r="I53" s="7">
        <v>200</v>
      </c>
      <c r="J53" s="7"/>
      <c r="K53" s="7">
        <v>40</v>
      </c>
      <c r="L53" s="7"/>
      <c r="M53" s="7"/>
      <c r="N53" s="7">
        <v>160</v>
      </c>
      <c r="O53" s="7"/>
      <c r="P53" s="7"/>
      <c r="Q53" s="7"/>
      <c r="S53" s="1"/>
    </row>
    <row r="54" spans="3:19" ht="15.75" customHeight="1" x14ac:dyDescent="0.25">
      <c r="C54" s="10">
        <v>35</v>
      </c>
      <c r="D54" s="11">
        <v>45440</v>
      </c>
      <c r="E54" s="10" t="s">
        <v>569</v>
      </c>
      <c r="F54" s="22" t="s">
        <v>80</v>
      </c>
      <c r="G54" s="7">
        <v>300</v>
      </c>
      <c r="H54" s="12">
        <v>170</v>
      </c>
      <c r="I54" s="7"/>
      <c r="J54" s="7"/>
      <c r="K54" s="7"/>
      <c r="L54" s="7"/>
      <c r="M54" s="7"/>
      <c r="N54" s="7">
        <v>300</v>
      </c>
      <c r="O54" s="7"/>
      <c r="P54" s="7"/>
      <c r="Q54" s="7"/>
      <c r="S54" s="1"/>
    </row>
    <row r="55" spans="3:19" ht="15.75" customHeight="1" x14ac:dyDescent="0.25">
      <c r="C55" s="10">
        <v>36</v>
      </c>
      <c r="D55" s="11">
        <v>45440</v>
      </c>
      <c r="E55" s="10" t="s">
        <v>570</v>
      </c>
      <c r="F55" s="22" t="s">
        <v>533</v>
      </c>
      <c r="G55" s="7">
        <v>1280</v>
      </c>
      <c r="H55" s="12">
        <v>206</v>
      </c>
      <c r="I55" s="7"/>
      <c r="J55" s="7"/>
      <c r="K55" s="7"/>
      <c r="L55" s="7"/>
      <c r="M55" s="7"/>
      <c r="N55" s="7"/>
      <c r="O55" s="7"/>
      <c r="P55" s="7"/>
      <c r="Q55" s="7">
        <v>1280</v>
      </c>
      <c r="S55" s="1"/>
    </row>
    <row r="56" spans="3:19" ht="15.75" customHeight="1" x14ac:dyDescent="0.25">
      <c r="C56" s="10">
        <v>37</v>
      </c>
      <c r="D56" s="11">
        <v>45441</v>
      </c>
      <c r="E56" s="10">
        <v>65</v>
      </c>
      <c r="F56" s="22" t="s">
        <v>90</v>
      </c>
      <c r="G56" s="7">
        <v>500</v>
      </c>
      <c r="H56" s="12">
        <v>151</v>
      </c>
      <c r="I56" s="7"/>
      <c r="J56" s="7">
        <v>500</v>
      </c>
      <c r="K56" s="7"/>
      <c r="L56" s="7"/>
      <c r="M56" s="7"/>
      <c r="N56" s="7"/>
      <c r="O56" s="7"/>
      <c r="P56" s="7"/>
      <c r="Q56" s="7"/>
      <c r="S56" s="1"/>
    </row>
    <row r="57" spans="3:19" ht="15.75" customHeight="1" x14ac:dyDescent="0.25">
      <c r="C57" s="10">
        <v>38</v>
      </c>
      <c r="D57" s="11">
        <v>45441</v>
      </c>
      <c r="E57" s="10">
        <v>66</v>
      </c>
      <c r="F57" s="22" t="s">
        <v>140</v>
      </c>
      <c r="G57" s="7">
        <v>40</v>
      </c>
      <c r="H57" s="12">
        <v>115</v>
      </c>
      <c r="I57" s="7">
        <v>40</v>
      </c>
      <c r="J57" s="7"/>
      <c r="K57" s="7"/>
      <c r="L57" s="7"/>
      <c r="M57" s="7"/>
      <c r="N57" s="7"/>
      <c r="O57" s="7"/>
      <c r="P57" s="7"/>
      <c r="Q57" s="7"/>
      <c r="S57" s="1"/>
    </row>
    <row r="58" spans="3:19" ht="15.75" customHeight="1" x14ac:dyDescent="0.25">
      <c r="C58" s="10">
        <v>41</v>
      </c>
      <c r="D58" s="11">
        <v>45441</v>
      </c>
      <c r="E58" s="10" t="s">
        <v>271</v>
      </c>
      <c r="F58" s="22" t="s">
        <v>32</v>
      </c>
      <c r="G58" s="7">
        <v>500</v>
      </c>
      <c r="H58" s="31">
        <v>171</v>
      </c>
      <c r="I58" s="7"/>
      <c r="J58" s="7"/>
      <c r="K58" s="7"/>
      <c r="L58" s="7"/>
      <c r="M58" s="7"/>
      <c r="N58" s="7">
        <v>500</v>
      </c>
      <c r="O58" s="7"/>
      <c r="P58" s="7"/>
      <c r="Q58" s="7"/>
      <c r="S58" s="1"/>
    </row>
    <row r="59" spans="3:19" ht="15.75" customHeight="1" x14ac:dyDescent="0.25">
      <c r="C59" s="10">
        <v>39</v>
      </c>
      <c r="D59" s="11">
        <v>45443</v>
      </c>
      <c r="E59" s="10">
        <v>70</v>
      </c>
      <c r="F59" s="22" t="s">
        <v>48</v>
      </c>
      <c r="G59" s="7">
        <v>1200</v>
      </c>
      <c r="H59" s="12">
        <v>117</v>
      </c>
      <c r="I59" s="7">
        <v>1200</v>
      </c>
      <c r="J59" s="7"/>
      <c r="K59" s="7"/>
      <c r="L59" s="7"/>
      <c r="M59" s="7"/>
      <c r="N59" s="7"/>
      <c r="O59" s="7"/>
      <c r="P59" s="7"/>
      <c r="Q59" s="7"/>
      <c r="S59" s="1"/>
    </row>
    <row r="60" spans="3:19" ht="15.75" customHeight="1" x14ac:dyDescent="0.25">
      <c r="C60" s="10">
        <v>42</v>
      </c>
      <c r="D60" s="11"/>
      <c r="E60" s="10"/>
      <c r="F60" s="22" t="s">
        <v>32</v>
      </c>
      <c r="G60" s="7"/>
      <c r="H60" s="12"/>
      <c r="I60" s="7"/>
      <c r="J60" s="7"/>
      <c r="K60" s="7"/>
      <c r="L60" s="7"/>
      <c r="M60" s="7"/>
      <c r="N60" s="7"/>
      <c r="O60" s="7"/>
      <c r="P60" s="7"/>
      <c r="Q60" s="7"/>
      <c r="S60" s="1"/>
    </row>
    <row r="61" spans="3:19" ht="15.75" customHeight="1" x14ac:dyDescent="0.25">
      <c r="C61" s="10">
        <v>40</v>
      </c>
      <c r="D61" s="11"/>
      <c r="E61" s="10"/>
      <c r="F61" s="22" t="s">
        <v>80</v>
      </c>
      <c r="G61" s="7"/>
      <c r="H61" s="12"/>
      <c r="I61" s="7"/>
      <c r="J61" s="7"/>
      <c r="K61" s="7"/>
      <c r="L61" s="7"/>
      <c r="M61" s="7"/>
      <c r="N61" s="7"/>
      <c r="O61" s="7"/>
      <c r="P61" s="7"/>
      <c r="Q61" s="7"/>
      <c r="S61" s="1"/>
    </row>
    <row r="62" spans="3:19" ht="15.75" customHeight="1" x14ac:dyDescent="0.25">
      <c r="C62" s="10">
        <v>43</v>
      </c>
      <c r="D62" s="11"/>
      <c r="E62" s="10"/>
      <c r="F62" s="22" t="s">
        <v>268</v>
      </c>
      <c r="G62" s="7"/>
      <c r="H62" s="12"/>
      <c r="I62" s="7"/>
      <c r="J62" s="7"/>
      <c r="K62" s="7"/>
      <c r="L62" s="7"/>
      <c r="M62" s="7"/>
      <c r="N62" s="7"/>
      <c r="O62" s="7"/>
      <c r="P62" s="7"/>
      <c r="Q62" s="7"/>
      <c r="S62" s="1"/>
    </row>
    <row r="63" spans="3:19" ht="15.75" customHeight="1" x14ac:dyDescent="0.25">
      <c r="C63" s="10">
        <v>44</v>
      </c>
      <c r="D63" s="11"/>
      <c r="E63" s="10"/>
      <c r="F63" s="22" t="s">
        <v>80</v>
      </c>
      <c r="G63" s="7"/>
      <c r="H63" s="12"/>
      <c r="I63" s="7"/>
      <c r="J63" s="7"/>
      <c r="K63" s="7"/>
      <c r="L63" s="7"/>
      <c r="M63" s="7"/>
      <c r="N63" s="7"/>
      <c r="O63" s="7"/>
      <c r="P63" s="7"/>
      <c r="Q63" s="7"/>
      <c r="S63" s="1"/>
    </row>
    <row r="64" spans="3:19" ht="15.75" customHeight="1" x14ac:dyDescent="0.25">
      <c r="C64" s="10">
        <v>45</v>
      </c>
      <c r="D64" s="11"/>
      <c r="E64" s="10"/>
      <c r="F64" s="22" t="s">
        <v>546</v>
      </c>
      <c r="G64" s="7"/>
      <c r="H64" s="12"/>
      <c r="I64" s="7"/>
      <c r="J64" s="7"/>
      <c r="K64" s="7"/>
      <c r="L64" s="7"/>
      <c r="M64" s="7"/>
      <c r="N64" s="7"/>
      <c r="O64" s="7"/>
      <c r="P64" s="7"/>
      <c r="Q64" s="7"/>
      <c r="S64" s="1"/>
    </row>
    <row r="65" spans="3:19" ht="15.75" customHeight="1" x14ac:dyDescent="0.25">
      <c r="C65" s="10">
        <v>46</v>
      </c>
      <c r="D65" s="11"/>
      <c r="E65" s="10"/>
      <c r="F65" s="22" t="s">
        <v>333</v>
      </c>
      <c r="G65" s="7"/>
      <c r="H65" s="12"/>
      <c r="I65" s="7"/>
      <c r="J65" s="7"/>
      <c r="K65" s="7"/>
      <c r="L65" s="7"/>
      <c r="M65" s="7"/>
      <c r="N65" s="7"/>
      <c r="O65" s="7"/>
      <c r="P65" s="7"/>
      <c r="Q65" s="7"/>
      <c r="S65" s="1"/>
    </row>
    <row r="66" spans="3:19" ht="15.75" customHeight="1" x14ac:dyDescent="0.25">
      <c r="C66" s="10">
        <v>47</v>
      </c>
      <c r="D66" s="11"/>
      <c r="E66" s="10"/>
      <c r="F66" s="22" t="s">
        <v>37</v>
      </c>
      <c r="G66" s="7"/>
      <c r="H66" s="12"/>
      <c r="I66" s="7"/>
      <c r="J66" s="7"/>
      <c r="K66" s="7"/>
      <c r="L66" s="7"/>
      <c r="M66" s="7"/>
      <c r="N66" s="7"/>
      <c r="O66" s="7"/>
      <c r="P66" s="7"/>
      <c r="Q66" s="7"/>
      <c r="S66" s="1"/>
    </row>
    <row r="67" spans="3:19" ht="15.75" customHeight="1" x14ac:dyDescent="0.25">
      <c r="C67" s="10">
        <v>48</v>
      </c>
      <c r="D67" s="11"/>
      <c r="E67" s="10"/>
      <c r="F67" s="22" t="s">
        <v>268</v>
      </c>
      <c r="G67" s="7"/>
      <c r="H67" s="12"/>
      <c r="I67" s="7"/>
      <c r="J67" s="7"/>
      <c r="K67" s="7"/>
      <c r="L67" s="7"/>
      <c r="M67" s="7"/>
      <c r="N67" s="7"/>
      <c r="O67" s="7"/>
      <c r="P67" s="7"/>
      <c r="Q67" s="7"/>
      <c r="S67" s="1"/>
    </row>
    <row r="68" spans="3:19" ht="15.75" customHeight="1" x14ac:dyDescent="0.25">
      <c r="C68" s="10">
        <v>49</v>
      </c>
      <c r="D68" s="11"/>
      <c r="E68" s="10"/>
      <c r="F68" s="22" t="s">
        <v>37</v>
      </c>
      <c r="G68" s="7"/>
      <c r="H68" s="12"/>
      <c r="I68" s="7"/>
      <c r="J68" s="7"/>
      <c r="K68" s="7"/>
      <c r="L68" s="7"/>
      <c r="M68" s="7"/>
      <c r="N68" s="7"/>
      <c r="O68" s="7"/>
      <c r="P68" s="7"/>
      <c r="Q68" s="7"/>
      <c r="S68" s="1"/>
    </row>
    <row r="69" spans="3:19" ht="15.75" customHeight="1" x14ac:dyDescent="0.25">
      <c r="C69" s="10">
        <v>50</v>
      </c>
      <c r="D69" s="11"/>
      <c r="E69" s="10"/>
      <c r="F69" s="22" t="s">
        <v>333</v>
      </c>
      <c r="G69" s="7"/>
      <c r="H69" s="12"/>
      <c r="I69" s="7"/>
      <c r="J69" s="7"/>
      <c r="K69" s="7"/>
      <c r="L69" s="7"/>
      <c r="M69" s="7"/>
      <c r="N69" s="7"/>
      <c r="O69" s="7"/>
      <c r="P69" s="7"/>
      <c r="Q69" s="7"/>
      <c r="S69" s="1"/>
    </row>
    <row r="70" spans="3:19" ht="15.75" customHeight="1" x14ac:dyDescent="0.25">
      <c r="C70" s="10">
        <v>51</v>
      </c>
      <c r="D70" s="11"/>
      <c r="E70" s="10"/>
      <c r="F70" s="22" t="s">
        <v>24</v>
      </c>
      <c r="G70" s="7"/>
      <c r="H70" s="12"/>
      <c r="I70" s="7"/>
      <c r="J70" s="7"/>
      <c r="K70" s="7"/>
      <c r="L70" s="7"/>
      <c r="M70" s="7"/>
      <c r="N70" s="7"/>
      <c r="O70" s="7"/>
      <c r="P70" s="7"/>
      <c r="Q70" s="7"/>
      <c r="S70" s="1"/>
    </row>
    <row r="71" spans="3:19" ht="15.75" customHeight="1" x14ac:dyDescent="0.25">
      <c r="C71" s="10">
        <v>52</v>
      </c>
      <c r="D71" s="11"/>
      <c r="E71" s="10"/>
      <c r="F71" s="22" t="s">
        <v>269</v>
      </c>
      <c r="G71" s="7"/>
      <c r="H71" s="31"/>
      <c r="I71" s="7"/>
      <c r="J71" s="7"/>
      <c r="K71" s="7"/>
      <c r="L71" s="7"/>
      <c r="M71" s="7"/>
      <c r="N71" s="7"/>
      <c r="O71" s="7"/>
      <c r="P71" s="7"/>
      <c r="Q71" s="7"/>
      <c r="S71" s="1"/>
    </row>
    <row r="72" spans="3:19" ht="15.75" customHeight="1" x14ac:dyDescent="0.25">
      <c r="C72" s="10">
        <v>53</v>
      </c>
      <c r="D72" s="11"/>
      <c r="E72" s="10"/>
      <c r="F72" s="22" t="s">
        <v>48</v>
      </c>
      <c r="G72" s="7"/>
      <c r="H72" s="12"/>
      <c r="I72" s="7"/>
      <c r="J72" s="7"/>
      <c r="K72" s="7"/>
      <c r="L72" s="7"/>
      <c r="M72" s="7"/>
      <c r="N72" s="7"/>
      <c r="O72" s="7"/>
      <c r="P72" s="7"/>
      <c r="Q72" s="7"/>
      <c r="S72" s="1"/>
    </row>
    <row r="73" spans="3:19" ht="15.75" customHeight="1" x14ac:dyDescent="0.25">
      <c r="C73" s="10">
        <v>54</v>
      </c>
      <c r="D73" s="11"/>
      <c r="E73" s="10"/>
      <c r="F73" s="22" t="s">
        <v>32</v>
      </c>
      <c r="G73" s="7"/>
      <c r="H73" s="12"/>
      <c r="I73" s="7"/>
      <c r="J73" s="7"/>
      <c r="K73" s="7"/>
      <c r="L73" s="7"/>
      <c r="M73" s="7"/>
      <c r="N73" s="7"/>
      <c r="O73" s="7"/>
      <c r="P73" s="7"/>
      <c r="Q73" s="7"/>
      <c r="S73" s="1"/>
    </row>
    <row r="74" spans="3:19" ht="15.75" customHeight="1" x14ac:dyDescent="0.25">
      <c r="C74" s="10">
        <v>55</v>
      </c>
      <c r="D74" s="11"/>
      <c r="E74" s="10"/>
      <c r="F74" s="22" t="s">
        <v>71</v>
      </c>
      <c r="G74" s="7"/>
      <c r="H74" s="12"/>
      <c r="I74" s="7"/>
      <c r="J74" s="7"/>
      <c r="K74" s="7"/>
      <c r="L74" s="7"/>
      <c r="M74" s="7"/>
      <c r="N74" s="7"/>
      <c r="O74" s="7"/>
      <c r="P74" s="7"/>
      <c r="Q74" s="7"/>
      <c r="S74" s="1"/>
    </row>
    <row r="75" spans="3:19" ht="15.75" customHeight="1" x14ac:dyDescent="0.25">
      <c r="C75" s="10">
        <v>56</v>
      </c>
      <c r="D75" s="11"/>
      <c r="E75" s="10"/>
      <c r="F75" s="22" t="s">
        <v>284</v>
      </c>
      <c r="G75" s="7"/>
      <c r="H75" s="12"/>
      <c r="I75" s="7"/>
      <c r="J75" s="7"/>
      <c r="K75" s="7"/>
      <c r="L75" s="7"/>
      <c r="M75" s="7"/>
      <c r="N75" s="7"/>
      <c r="O75" s="7"/>
      <c r="P75" s="7"/>
      <c r="Q75" s="7"/>
      <c r="S75" s="1"/>
    </row>
    <row r="76" spans="3:19" ht="15.75" customHeight="1" x14ac:dyDescent="0.25">
      <c r="C76" s="10">
        <v>57</v>
      </c>
      <c r="D76" s="11"/>
      <c r="E76" s="10"/>
      <c r="F76" s="22" t="s">
        <v>71</v>
      </c>
      <c r="G76" s="7"/>
      <c r="H76" s="12"/>
      <c r="I76" s="7"/>
      <c r="J76" s="7"/>
      <c r="K76" s="7"/>
      <c r="L76" s="7"/>
      <c r="M76" s="7"/>
      <c r="N76" s="7"/>
      <c r="O76" s="7"/>
      <c r="P76" s="7"/>
      <c r="Q76" s="7"/>
      <c r="S76" s="1"/>
    </row>
    <row r="77" spans="3:19" ht="15.75" customHeight="1" x14ac:dyDescent="0.25">
      <c r="C77" s="10">
        <v>58</v>
      </c>
      <c r="D77" s="11"/>
      <c r="E77" s="10"/>
      <c r="F77" s="22" t="s">
        <v>51</v>
      </c>
      <c r="G77" s="7"/>
      <c r="H77" s="12"/>
      <c r="I77" s="7"/>
      <c r="J77" s="7"/>
      <c r="K77" s="7"/>
      <c r="L77" s="7"/>
      <c r="M77" s="7"/>
      <c r="N77" s="7"/>
      <c r="O77" s="7"/>
      <c r="P77" s="7"/>
      <c r="Q77" s="7"/>
      <c r="S77" s="1"/>
    </row>
    <row r="78" spans="3:19" ht="15.75" customHeight="1" x14ac:dyDescent="0.25">
      <c r="C78" s="10">
        <v>59</v>
      </c>
      <c r="D78" s="11"/>
      <c r="E78" s="10"/>
      <c r="F78" s="22" t="s">
        <v>362</v>
      </c>
      <c r="G78" s="7"/>
      <c r="H78" s="12"/>
      <c r="I78" s="7"/>
      <c r="J78" s="7"/>
      <c r="K78" s="7"/>
      <c r="L78" s="7"/>
      <c r="M78" s="7"/>
      <c r="N78" s="7"/>
      <c r="O78" s="7"/>
      <c r="P78" s="7"/>
      <c r="Q78" s="7"/>
      <c r="S78" s="1"/>
    </row>
    <row r="79" spans="3:19" ht="15.75" customHeight="1" x14ac:dyDescent="0.25">
      <c r="C79" s="10">
        <v>60</v>
      </c>
      <c r="D79" s="11"/>
      <c r="E79" s="10"/>
      <c r="F79" s="22" t="s">
        <v>193</v>
      </c>
      <c r="G79" s="7"/>
      <c r="H79" s="12"/>
      <c r="I79" s="7"/>
      <c r="J79" s="7"/>
      <c r="K79" s="7"/>
      <c r="L79" s="7"/>
      <c r="M79" s="7"/>
      <c r="N79" s="7"/>
      <c r="O79" s="7"/>
      <c r="P79" s="7"/>
      <c r="Q79" s="7"/>
      <c r="S79" s="1"/>
    </row>
    <row r="80" spans="3:19" ht="15.75" customHeight="1" x14ac:dyDescent="0.25">
      <c r="C80" s="10">
        <v>61</v>
      </c>
      <c r="D80" s="11"/>
      <c r="E80" s="10"/>
      <c r="F80" s="22" t="s">
        <v>90</v>
      </c>
      <c r="G80" s="7"/>
      <c r="H80" s="12"/>
      <c r="I80" s="7"/>
      <c r="J80" s="7"/>
      <c r="K80" s="7"/>
      <c r="L80" s="7"/>
      <c r="M80" s="7"/>
      <c r="N80" s="7"/>
      <c r="O80" s="7"/>
      <c r="P80" s="7"/>
      <c r="Q80" s="7"/>
      <c r="S80" s="1"/>
    </row>
    <row r="81" spans="3:19" ht="15.75" customHeight="1" x14ac:dyDescent="0.25">
      <c r="C81" s="10">
        <v>62</v>
      </c>
      <c r="D81" s="11"/>
      <c r="E81" s="10"/>
      <c r="F81" s="22" t="s">
        <v>394</v>
      </c>
      <c r="G81" s="7"/>
      <c r="H81" s="12"/>
      <c r="I81" s="7"/>
      <c r="J81" s="7"/>
      <c r="K81" s="7"/>
      <c r="L81" s="7"/>
      <c r="M81" s="7"/>
      <c r="N81" s="7"/>
      <c r="O81" s="7"/>
      <c r="P81" s="7"/>
      <c r="Q81" s="7"/>
      <c r="S81" s="1"/>
    </row>
    <row r="82" spans="3:19" ht="15.75" customHeight="1" x14ac:dyDescent="0.25">
      <c r="C82" s="10">
        <v>63</v>
      </c>
      <c r="D82" s="11"/>
      <c r="E82" s="10"/>
      <c r="F82" s="22" t="s">
        <v>30</v>
      </c>
      <c r="G82" s="7"/>
      <c r="H82" s="12"/>
      <c r="I82" s="7"/>
      <c r="J82" s="7"/>
      <c r="K82" s="7"/>
      <c r="L82" s="7"/>
      <c r="M82" s="7"/>
      <c r="N82" s="7"/>
      <c r="O82" s="7"/>
      <c r="P82" s="7"/>
      <c r="Q82" s="7"/>
    </row>
    <row r="83" spans="3:19" ht="15.75" customHeight="1" x14ac:dyDescent="0.25">
      <c r="C83" s="10">
        <v>64</v>
      </c>
      <c r="D83" s="11"/>
      <c r="E83" s="10"/>
      <c r="F83" s="22" t="s">
        <v>80</v>
      </c>
      <c r="G83" s="7"/>
      <c r="H83" s="12"/>
      <c r="I83" s="7"/>
      <c r="J83" s="7"/>
      <c r="K83" s="7"/>
      <c r="L83" s="7"/>
      <c r="M83" s="7"/>
      <c r="N83" s="7"/>
      <c r="O83" s="7"/>
      <c r="P83" s="7"/>
      <c r="Q83" s="7"/>
    </row>
    <row r="84" spans="3:19" ht="15.75" customHeight="1" x14ac:dyDescent="0.25">
      <c r="C84" s="10">
        <v>65</v>
      </c>
      <c r="D84" s="11"/>
      <c r="E84" s="10"/>
      <c r="F84" s="22" t="s">
        <v>139</v>
      </c>
      <c r="G84" s="7"/>
      <c r="H84" s="12"/>
      <c r="I84" s="7"/>
      <c r="J84" s="7"/>
      <c r="K84" s="7"/>
      <c r="L84" s="7"/>
      <c r="M84" s="7"/>
      <c r="N84" s="7"/>
      <c r="O84" s="7"/>
      <c r="P84" s="7"/>
      <c r="Q84" s="7"/>
    </row>
    <row r="85" spans="3:19" ht="15.75" customHeight="1" x14ac:dyDescent="0.25">
      <c r="C85" s="10">
        <v>66</v>
      </c>
      <c r="D85" s="11"/>
      <c r="E85" s="10"/>
      <c r="F85" s="22" t="s">
        <v>255</v>
      </c>
      <c r="G85" s="7"/>
      <c r="H85" s="12"/>
      <c r="I85" s="7"/>
      <c r="J85" s="7"/>
      <c r="K85" s="7"/>
      <c r="L85" s="7"/>
      <c r="M85" s="7"/>
      <c r="N85" s="7"/>
      <c r="O85" s="7"/>
      <c r="P85" s="7"/>
      <c r="Q85" s="7"/>
    </row>
    <row r="86" spans="3:19" ht="15.75" customHeight="1" x14ac:dyDescent="0.25">
      <c r="C86" s="10">
        <v>67</v>
      </c>
      <c r="D86" s="11"/>
      <c r="E86" s="10"/>
      <c r="F86" s="22" t="s">
        <v>269</v>
      </c>
      <c r="G86" s="7"/>
      <c r="H86" s="12"/>
      <c r="I86" s="7"/>
      <c r="J86" s="7"/>
      <c r="K86" s="7"/>
      <c r="L86" s="7"/>
      <c r="M86" s="7"/>
      <c r="N86" s="7"/>
      <c r="O86" s="7"/>
      <c r="P86" s="7"/>
      <c r="Q86" s="7"/>
    </row>
    <row r="87" spans="3:19" ht="15.75" customHeight="1" x14ac:dyDescent="0.25">
      <c r="C87" s="10">
        <v>68</v>
      </c>
      <c r="D87" s="11"/>
      <c r="E87" s="10"/>
      <c r="F87" s="22" t="s">
        <v>37</v>
      </c>
      <c r="G87" s="7"/>
      <c r="H87" s="12"/>
      <c r="I87" s="7"/>
      <c r="J87" s="7"/>
      <c r="K87" s="7"/>
      <c r="L87" s="7"/>
      <c r="M87" s="7"/>
      <c r="N87" s="7"/>
      <c r="O87" s="7"/>
      <c r="P87" s="7"/>
      <c r="Q87" s="7"/>
    </row>
    <row r="88" spans="3:19" ht="15.75" customHeight="1" x14ac:dyDescent="0.25">
      <c r="C88" s="10">
        <v>69</v>
      </c>
      <c r="D88" s="11"/>
      <c r="E88" s="10"/>
      <c r="F88" s="22" t="s">
        <v>112</v>
      </c>
      <c r="G88" s="7"/>
      <c r="H88" s="12"/>
      <c r="I88" s="7"/>
      <c r="J88" s="7"/>
      <c r="K88" s="7"/>
      <c r="L88" s="7"/>
      <c r="M88" s="7"/>
      <c r="N88" s="7"/>
      <c r="O88" s="7"/>
      <c r="P88" s="7"/>
      <c r="Q88" s="7"/>
    </row>
    <row r="89" spans="3:19" ht="15.75" customHeight="1" x14ac:dyDescent="0.25">
      <c r="C89" s="10">
        <v>70</v>
      </c>
      <c r="D89" s="11"/>
      <c r="E89" s="10"/>
      <c r="F89" s="22" t="s">
        <v>325</v>
      </c>
      <c r="G89" s="7"/>
      <c r="H89" s="12"/>
      <c r="I89" s="7"/>
      <c r="J89" s="7"/>
      <c r="K89" s="7"/>
      <c r="L89" s="7"/>
      <c r="M89" s="7"/>
      <c r="N89" s="7"/>
      <c r="O89" s="7"/>
      <c r="P89" s="7"/>
      <c r="Q89" s="7"/>
    </row>
    <row r="90" spans="3:19" ht="15.75" customHeight="1" x14ac:dyDescent="0.25">
      <c r="C90" s="10">
        <v>71</v>
      </c>
      <c r="D90" s="11"/>
      <c r="E90" s="10"/>
      <c r="F90" s="22" t="s">
        <v>284</v>
      </c>
      <c r="G90" s="7"/>
      <c r="H90" s="12"/>
      <c r="I90" s="7"/>
      <c r="J90" s="7"/>
      <c r="K90" s="7"/>
      <c r="L90" s="7"/>
      <c r="M90" s="7"/>
      <c r="N90" s="7"/>
      <c r="O90" s="7"/>
      <c r="P90" s="7"/>
      <c r="Q90" s="14"/>
    </row>
    <row r="91" spans="3:19" ht="15.75" customHeight="1" x14ac:dyDescent="0.25">
      <c r="C91" s="10">
        <v>72</v>
      </c>
      <c r="D91" s="11"/>
      <c r="E91" s="10"/>
      <c r="F91" s="22" t="s">
        <v>43</v>
      </c>
      <c r="G91" s="7"/>
      <c r="H91" s="12"/>
      <c r="I91" s="7"/>
      <c r="J91" s="7"/>
      <c r="K91" s="7"/>
      <c r="L91" s="7"/>
      <c r="M91" s="7"/>
      <c r="N91" s="7"/>
      <c r="O91" s="7"/>
      <c r="P91" s="7"/>
      <c r="Q91" s="7"/>
    </row>
    <row r="92" spans="3:19" ht="15.75" customHeight="1" x14ac:dyDescent="0.25">
      <c r="C92" s="10">
        <v>73</v>
      </c>
      <c r="D92" s="11"/>
      <c r="E92" s="10"/>
      <c r="F92" s="22" t="s">
        <v>268</v>
      </c>
      <c r="G92" s="7"/>
      <c r="H92" s="12"/>
      <c r="I92" s="7"/>
      <c r="J92" s="7"/>
      <c r="K92" s="7"/>
      <c r="L92" s="7"/>
      <c r="M92" s="7"/>
      <c r="N92" s="7"/>
      <c r="O92" s="7"/>
      <c r="P92" s="7"/>
      <c r="Q92" s="7"/>
    </row>
    <row r="93" spans="3:19" ht="15.75" customHeight="1" x14ac:dyDescent="0.25">
      <c r="C93" s="10">
        <v>74</v>
      </c>
      <c r="D93" s="11"/>
      <c r="E93" s="10"/>
      <c r="F93" s="22" t="s">
        <v>30</v>
      </c>
      <c r="G93" s="7"/>
      <c r="H93" s="12"/>
      <c r="I93" s="7"/>
      <c r="J93" s="7"/>
      <c r="K93" s="7"/>
      <c r="L93" s="7"/>
      <c r="M93" s="7"/>
      <c r="N93" s="7"/>
      <c r="O93" s="7"/>
      <c r="P93" s="7"/>
      <c r="Q93" s="7"/>
    </row>
    <row r="94" spans="3:19" ht="15.75" customHeight="1" x14ac:dyDescent="0.25">
      <c r="C94" s="10">
        <v>75</v>
      </c>
      <c r="D94" s="11"/>
      <c r="E94" s="10"/>
      <c r="F94" s="22" t="s">
        <v>190</v>
      </c>
      <c r="G94" s="7"/>
      <c r="H94" s="12"/>
      <c r="I94" s="7"/>
      <c r="J94" s="7"/>
      <c r="K94" s="7"/>
      <c r="L94" s="7"/>
      <c r="M94" s="7"/>
      <c r="N94" s="7"/>
      <c r="O94" s="7"/>
      <c r="P94" s="7"/>
      <c r="Q94" s="7"/>
    </row>
    <row r="95" spans="3:19" ht="15.75" customHeight="1" x14ac:dyDescent="0.25">
      <c r="C95" s="10">
        <v>76</v>
      </c>
      <c r="D95" s="11"/>
      <c r="E95" s="10"/>
      <c r="F95" s="22" t="s">
        <v>331</v>
      </c>
      <c r="G95" s="7"/>
      <c r="H95" s="12"/>
      <c r="I95" s="7"/>
      <c r="J95" s="7"/>
      <c r="K95" s="7"/>
      <c r="L95" s="7"/>
      <c r="M95" s="7"/>
      <c r="N95" s="7"/>
      <c r="O95" s="7"/>
      <c r="P95" s="7"/>
      <c r="Q95" s="7"/>
    </row>
    <row r="96" spans="3:19" ht="15.75" customHeight="1" x14ac:dyDescent="0.25">
      <c r="C96" s="10">
        <v>77</v>
      </c>
      <c r="D96" s="11"/>
      <c r="E96" s="10"/>
      <c r="F96" s="22" t="s">
        <v>69</v>
      </c>
      <c r="G96" s="7"/>
      <c r="H96" s="12"/>
      <c r="I96" s="7"/>
      <c r="J96" s="7"/>
      <c r="K96" s="7"/>
      <c r="L96" s="7"/>
      <c r="M96" s="7"/>
      <c r="N96" s="7"/>
      <c r="O96" s="7"/>
      <c r="P96" s="7"/>
      <c r="Q96" s="7"/>
    </row>
    <row r="97" spans="3:17" ht="15.75" customHeight="1" x14ac:dyDescent="0.25">
      <c r="C97" s="10">
        <v>78</v>
      </c>
      <c r="D97" s="11"/>
      <c r="E97" s="10"/>
      <c r="F97" s="22" t="s">
        <v>52</v>
      </c>
      <c r="G97" s="7"/>
      <c r="H97" s="12"/>
      <c r="I97" s="7"/>
      <c r="J97" s="7"/>
      <c r="K97" s="7"/>
      <c r="L97" s="7"/>
      <c r="M97" s="7"/>
      <c r="N97" s="7"/>
      <c r="O97" s="7"/>
      <c r="P97" s="7"/>
      <c r="Q97" s="7"/>
    </row>
    <row r="98" spans="3:17" ht="15.75" customHeight="1" x14ac:dyDescent="0.25">
      <c r="C98" s="10">
        <v>79</v>
      </c>
      <c r="D98" s="11"/>
      <c r="E98" s="10"/>
      <c r="F98" s="22" t="s">
        <v>37</v>
      </c>
      <c r="G98" s="7"/>
      <c r="H98" s="12"/>
      <c r="I98" s="7"/>
      <c r="J98" s="7"/>
      <c r="K98" s="7"/>
      <c r="L98" s="7"/>
      <c r="M98" s="7"/>
      <c r="N98" s="7"/>
      <c r="O98" s="7"/>
      <c r="P98" s="7"/>
      <c r="Q98" s="7"/>
    </row>
    <row r="99" spans="3:17" ht="15.75" customHeight="1" x14ac:dyDescent="0.25">
      <c r="C99" s="10">
        <v>80</v>
      </c>
      <c r="D99" s="11"/>
      <c r="E99" s="10"/>
      <c r="F99" s="22" t="s">
        <v>220</v>
      </c>
      <c r="G99" s="7"/>
      <c r="H99" s="12"/>
      <c r="I99" s="7"/>
      <c r="J99" s="7"/>
      <c r="K99" s="7"/>
      <c r="L99" s="7"/>
      <c r="M99" s="7"/>
      <c r="N99" s="7"/>
      <c r="O99" s="7"/>
      <c r="P99" s="7"/>
      <c r="Q99" s="7"/>
    </row>
    <row r="100" spans="3:17" ht="15.75" customHeight="1" x14ac:dyDescent="0.25">
      <c r="C100" s="10">
        <v>81</v>
      </c>
      <c r="D100" s="11"/>
      <c r="E100" s="10"/>
      <c r="F100" s="22" t="s">
        <v>333</v>
      </c>
      <c r="G100" s="7"/>
      <c r="H100" s="12"/>
      <c r="I100" s="7"/>
      <c r="J100" s="7"/>
      <c r="K100" s="7"/>
      <c r="L100" s="7"/>
      <c r="M100" s="7"/>
      <c r="N100" s="7"/>
      <c r="O100" s="7"/>
      <c r="P100" s="7"/>
      <c r="Q100" s="7"/>
    </row>
    <row r="101" spans="3:17" ht="15.75" customHeight="1" x14ac:dyDescent="0.25">
      <c r="C101" s="13" t="s">
        <v>3</v>
      </c>
      <c r="D101" s="14"/>
      <c r="E101" s="13"/>
      <c r="F101" s="25"/>
      <c r="G101" s="14">
        <f>SUM(G21:G100)</f>
        <v>134500</v>
      </c>
      <c r="H101" s="14"/>
      <c r="I101" s="14">
        <f t="shared" ref="I101:Q101" si="7">SUM(I21:I100)</f>
        <v>63140</v>
      </c>
      <c r="J101" s="14">
        <f t="shared" si="7"/>
        <v>12400</v>
      </c>
      <c r="K101" s="14">
        <f t="shared" si="7"/>
        <v>5540</v>
      </c>
      <c r="L101" s="14">
        <f t="shared" si="7"/>
        <v>0</v>
      </c>
      <c r="M101" s="14">
        <f t="shared" si="7"/>
        <v>0</v>
      </c>
      <c r="N101" s="14">
        <f t="shared" si="7"/>
        <v>13860</v>
      </c>
      <c r="O101" s="14">
        <f t="shared" si="7"/>
        <v>2000</v>
      </c>
      <c r="P101" s="14">
        <f t="shared" si="7"/>
        <v>8500</v>
      </c>
      <c r="Q101" s="14">
        <f t="shared" si="7"/>
        <v>2060</v>
      </c>
    </row>
    <row r="102" spans="3:17" ht="15.75" customHeight="1" x14ac:dyDescent="0.25">
      <c r="C102" s="1"/>
      <c r="E102" s="1"/>
      <c r="F102" s="16"/>
    </row>
    <row r="103" spans="3:17" ht="15.75" customHeight="1" x14ac:dyDescent="0.25">
      <c r="C103" s="1"/>
      <c r="D103" s="1"/>
      <c r="E103" s="1"/>
      <c r="F103" s="16"/>
      <c r="I103" s="33">
        <f>SUM('May 2024'!$I$101:'May 2024'!$Q$101)</f>
        <v>107500</v>
      </c>
    </row>
    <row r="104" spans="3:17" ht="15.75" customHeight="1" x14ac:dyDescent="0.25">
      <c r="E104" s="1"/>
      <c r="F104" s="16"/>
    </row>
    <row r="105" spans="3:17" ht="15.75" customHeight="1" x14ac:dyDescent="0.25"/>
    <row r="106" spans="3:17" ht="15.75" customHeight="1" x14ac:dyDescent="0.25"/>
    <row r="107" spans="3:17" ht="15.75" customHeight="1" x14ac:dyDescent="0.25"/>
    <row r="108" spans="3:17" ht="15.75" customHeight="1" x14ac:dyDescent="0.25"/>
    <row r="109" spans="3:17" ht="15.75" customHeight="1" x14ac:dyDescent="0.25"/>
    <row r="110" spans="3:17" ht="15.75" customHeight="1" x14ac:dyDescent="0.25"/>
    <row r="111" spans="3:17" ht="15.75" customHeight="1" x14ac:dyDescent="0.25"/>
    <row r="112" spans="3:1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0">
    <mergeCell ref="T35:V35"/>
    <mergeCell ref="T36:V36"/>
    <mergeCell ref="T37:V37"/>
    <mergeCell ref="C11:D11"/>
    <mergeCell ref="C18:E18"/>
    <mergeCell ref="T20:W20"/>
    <mergeCell ref="T21:V21"/>
    <mergeCell ref="T32:V32"/>
    <mergeCell ref="T33:V33"/>
    <mergeCell ref="T34:V34"/>
  </mergeCells>
  <pageMargins left="0.7" right="0.7" top="0.75" bottom="0.75" header="0" footer="0"/>
  <pageSetup orientation="portrait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C4:Z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8" customWidth="1"/>
    <col min="3" max="3" width="9.85546875" customWidth="1"/>
    <col min="4" max="4" width="13.140625" customWidth="1"/>
    <col min="5" max="5" width="13.28515625" customWidth="1"/>
    <col min="6" max="6" width="9.42578125" customWidth="1"/>
    <col min="7" max="7" width="8.7109375" customWidth="1"/>
    <col min="8" max="8" width="12.28515625" customWidth="1"/>
    <col min="9" max="14" width="8.7109375" customWidth="1"/>
    <col min="15" max="15" width="11.7109375" customWidth="1"/>
    <col min="16" max="16" width="11.42578125" customWidth="1"/>
    <col min="17" max="17" width="11.85546875" customWidth="1"/>
    <col min="18" max="20" width="8.7109375" customWidth="1"/>
    <col min="21" max="21" width="10.7109375" customWidth="1"/>
    <col min="22" max="26" width="8.7109375" customWidth="1"/>
  </cols>
  <sheetData>
    <row r="4" spans="3:17" ht="15.75" x14ac:dyDescent="0.25">
      <c r="C4" s="1"/>
      <c r="D4" s="2" t="s">
        <v>571</v>
      </c>
      <c r="E4" s="17"/>
      <c r="F4" s="18"/>
      <c r="G4" s="2"/>
      <c r="H4" s="2"/>
      <c r="I4" s="2"/>
      <c r="J4" s="2"/>
      <c r="K4" s="8"/>
      <c r="L4" s="2"/>
      <c r="M4" s="3"/>
      <c r="N4" s="3"/>
      <c r="O4" s="65" t="s">
        <v>88</v>
      </c>
      <c r="P4" s="60" t="s">
        <v>2</v>
      </c>
      <c r="Q4" s="66" t="s">
        <v>117</v>
      </c>
    </row>
    <row r="5" spans="3:17" ht="15.75" x14ac:dyDescent="0.25">
      <c r="C5" s="1"/>
      <c r="D5" s="67" t="s">
        <v>1</v>
      </c>
      <c r="E5" s="44" t="s">
        <v>2</v>
      </c>
      <c r="F5" s="45">
        <v>1799</v>
      </c>
      <c r="G5" s="46">
        <v>2699</v>
      </c>
      <c r="H5" s="46">
        <v>588</v>
      </c>
      <c r="I5" s="46">
        <v>2088</v>
      </c>
      <c r="J5" s="46">
        <v>2488</v>
      </c>
      <c r="K5" s="46">
        <v>2688</v>
      </c>
      <c r="L5" s="45">
        <v>3099</v>
      </c>
      <c r="M5" s="62" t="s">
        <v>295</v>
      </c>
      <c r="N5" s="45" t="s">
        <v>3</v>
      </c>
      <c r="O5" s="47"/>
      <c r="P5" s="42"/>
      <c r="Q5" s="42"/>
    </row>
    <row r="6" spans="3:17" ht="17.25" x14ac:dyDescent="0.3">
      <c r="C6" s="1"/>
      <c r="D6" s="6" t="s">
        <v>259</v>
      </c>
      <c r="E6" s="12">
        <v>199672</v>
      </c>
      <c r="F6" s="12">
        <v>1200</v>
      </c>
      <c r="G6" s="12">
        <v>1245</v>
      </c>
      <c r="H6" s="12">
        <v>4020</v>
      </c>
      <c r="I6" s="12">
        <v>0</v>
      </c>
      <c r="J6" s="12">
        <v>5325</v>
      </c>
      <c r="K6" s="12">
        <v>8275</v>
      </c>
      <c r="L6" s="12">
        <v>8625</v>
      </c>
      <c r="M6" s="12">
        <v>3400</v>
      </c>
      <c r="N6" s="12">
        <v>231762</v>
      </c>
      <c r="O6" s="55">
        <f t="shared" ref="O6:O9" si="0">SUM(F6:M6)</f>
        <v>32090</v>
      </c>
      <c r="P6" s="56">
        <f t="shared" ref="P6:P9" si="1">E6</f>
        <v>199672</v>
      </c>
      <c r="Q6" s="57">
        <f>SUM(E6:M6)</f>
        <v>231762</v>
      </c>
    </row>
    <row r="7" spans="3:17" ht="18.75" x14ac:dyDescent="0.3">
      <c r="C7" s="1"/>
      <c r="D7" s="6" t="s">
        <v>365</v>
      </c>
      <c r="E7" s="7">
        <f>W32</f>
        <v>82865</v>
      </c>
      <c r="F7" s="7">
        <f t="shared" ref="F7:M7" si="2">F18</f>
        <v>36000</v>
      </c>
      <c r="G7" s="7">
        <f t="shared" si="2"/>
        <v>18000</v>
      </c>
      <c r="H7" s="7">
        <f t="shared" si="2"/>
        <v>0</v>
      </c>
      <c r="I7" s="7">
        <f t="shared" si="2"/>
        <v>0</v>
      </c>
      <c r="J7" s="7">
        <f t="shared" si="2"/>
        <v>0</v>
      </c>
      <c r="K7" s="7">
        <f t="shared" si="2"/>
        <v>0</v>
      </c>
      <c r="L7" s="7">
        <f t="shared" si="2"/>
        <v>0</v>
      </c>
      <c r="M7" s="7">
        <f t="shared" si="2"/>
        <v>0</v>
      </c>
      <c r="N7" s="7">
        <f t="shared" ref="N7:N8" si="3">SUM(E7:M7)</f>
        <v>136865</v>
      </c>
      <c r="O7" s="68">
        <f t="shared" si="0"/>
        <v>54000</v>
      </c>
      <c r="P7" s="69">
        <f t="shared" si="1"/>
        <v>82865</v>
      </c>
      <c r="Q7" s="70">
        <f>O7+P7</f>
        <v>136865</v>
      </c>
    </row>
    <row r="8" spans="3:17" ht="21" x14ac:dyDescent="0.35">
      <c r="C8" s="1"/>
      <c r="D8" s="71" t="s">
        <v>572</v>
      </c>
      <c r="E8" s="48">
        <f>'June 24'!$I$102</f>
        <v>76760</v>
      </c>
      <c r="F8" s="48">
        <f>'June 24'!$J$102</f>
        <v>2300</v>
      </c>
      <c r="G8" s="49">
        <f>'June 24'!$K$102</f>
        <v>2440</v>
      </c>
      <c r="H8" s="49">
        <f>'June 24'!$L$102</f>
        <v>0</v>
      </c>
      <c r="I8" s="49">
        <f>'June 24'!$M$102</f>
        <v>0</v>
      </c>
      <c r="J8" s="49">
        <f>'June 24'!$N$102</f>
        <v>15500</v>
      </c>
      <c r="K8" s="49">
        <f>'June 24'!$O$102</f>
        <v>2200</v>
      </c>
      <c r="L8" s="49">
        <f>'June 24'!$P$102</f>
        <v>1500</v>
      </c>
      <c r="M8" s="49">
        <f>'June 24'!$Q$102</f>
        <v>2100</v>
      </c>
      <c r="N8" s="72">
        <f t="shared" si="3"/>
        <v>102800</v>
      </c>
      <c r="O8" s="73">
        <f t="shared" si="0"/>
        <v>26040</v>
      </c>
      <c r="P8" s="74">
        <f t="shared" si="1"/>
        <v>76760</v>
      </c>
      <c r="Q8" s="75">
        <f t="shared" ref="Q8:Q9" si="4">SUM(O8,P8)</f>
        <v>102800</v>
      </c>
    </row>
    <row r="9" spans="3:17" ht="17.25" x14ac:dyDescent="0.3">
      <c r="C9" s="1"/>
      <c r="D9" s="6" t="s">
        <v>261</v>
      </c>
      <c r="E9" s="12">
        <f t="shared" ref="E9:M9" si="5">SUM(E6,E7-E8)</f>
        <v>205777</v>
      </c>
      <c r="F9" s="12">
        <f t="shared" si="5"/>
        <v>34900</v>
      </c>
      <c r="G9" s="12">
        <f t="shared" si="5"/>
        <v>16805</v>
      </c>
      <c r="H9" s="12">
        <f t="shared" si="5"/>
        <v>4020</v>
      </c>
      <c r="I9" s="12">
        <f t="shared" si="5"/>
        <v>0</v>
      </c>
      <c r="J9" s="12">
        <f t="shared" si="5"/>
        <v>-10175</v>
      </c>
      <c r="K9" s="12">
        <f t="shared" si="5"/>
        <v>6075</v>
      </c>
      <c r="L9" s="12">
        <f t="shared" si="5"/>
        <v>7125</v>
      </c>
      <c r="M9" s="12">
        <f t="shared" si="5"/>
        <v>1300</v>
      </c>
      <c r="N9" s="12">
        <f>SUM(N6+N7-N8)</f>
        <v>265827</v>
      </c>
      <c r="O9" s="55">
        <f t="shared" si="0"/>
        <v>60050</v>
      </c>
      <c r="P9" s="56">
        <f t="shared" si="1"/>
        <v>205777</v>
      </c>
      <c r="Q9" s="57">
        <f t="shared" si="4"/>
        <v>265827</v>
      </c>
    </row>
    <row r="10" spans="3:17" x14ac:dyDescent="0.25">
      <c r="C10" s="1"/>
      <c r="E10" s="1"/>
      <c r="F10" s="16"/>
    </row>
    <row r="11" spans="3:17" ht="15.75" x14ac:dyDescent="0.25">
      <c r="C11" s="103" t="s">
        <v>367</v>
      </c>
      <c r="D11" s="99"/>
      <c r="E11" s="21" t="s">
        <v>368</v>
      </c>
      <c r="F11" s="45">
        <v>1799</v>
      </c>
      <c r="G11" s="46">
        <v>2699</v>
      </c>
      <c r="H11" s="46">
        <v>588</v>
      </c>
      <c r="I11" s="46">
        <v>2088</v>
      </c>
      <c r="J11" s="46">
        <v>2488</v>
      </c>
      <c r="K11" s="46">
        <v>2688</v>
      </c>
      <c r="L11" s="45">
        <v>3099</v>
      </c>
      <c r="M11" s="62" t="s">
        <v>295</v>
      </c>
      <c r="N11" s="45" t="s">
        <v>3</v>
      </c>
      <c r="O11" s="76" t="s">
        <v>369</v>
      </c>
      <c r="P11" s="76" t="s">
        <v>370</v>
      </c>
    </row>
    <row r="12" spans="3:17" x14ac:dyDescent="0.25">
      <c r="C12" s="9" t="s">
        <v>371</v>
      </c>
      <c r="D12" s="79" t="s">
        <v>372</v>
      </c>
      <c r="E12" s="9" t="s">
        <v>373</v>
      </c>
      <c r="F12" s="22"/>
      <c r="G12" s="7"/>
      <c r="H12" s="7"/>
      <c r="I12" s="7"/>
      <c r="J12" s="7"/>
      <c r="K12" s="7"/>
      <c r="L12" s="7"/>
      <c r="M12" s="7"/>
      <c r="N12" s="7">
        <f>SUM(F12:M12)</f>
        <v>0</v>
      </c>
      <c r="O12" s="10"/>
      <c r="P12" s="10"/>
    </row>
    <row r="13" spans="3:17" x14ac:dyDescent="0.25">
      <c r="C13" s="10">
        <v>1</v>
      </c>
      <c r="D13" s="7" t="s">
        <v>374</v>
      </c>
      <c r="E13" s="78">
        <v>45444</v>
      </c>
      <c r="F13" s="10">
        <v>36000</v>
      </c>
      <c r="G13" s="7">
        <v>18000</v>
      </c>
      <c r="H13" s="7"/>
      <c r="I13" s="7"/>
      <c r="J13" s="7"/>
      <c r="K13" s="7"/>
      <c r="L13" s="7"/>
      <c r="M13" s="7"/>
      <c r="N13" s="7"/>
      <c r="O13" s="10"/>
      <c r="P13" s="10"/>
      <c r="Q13" s="33" t="s">
        <v>573</v>
      </c>
    </row>
    <row r="14" spans="3:17" x14ac:dyDescent="0.25">
      <c r="C14" s="10">
        <v>2</v>
      </c>
      <c r="D14" s="7" t="s">
        <v>376</v>
      </c>
      <c r="E14" s="78"/>
      <c r="F14" s="22"/>
      <c r="G14" s="7"/>
      <c r="H14" s="7"/>
      <c r="I14" s="7"/>
      <c r="J14" s="7"/>
      <c r="K14" s="7"/>
      <c r="L14" s="7"/>
      <c r="M14" s="7"/>
      <c r="N14" s="7"/>
      <c r="O14" s="10"/>
      <c r="P14" s="10"/>
    </row>
    <row r="15" spans="3:17" x14ac:dyDescent="0.25">
      <c r="C15" s="10">
        <v>3</v>
      </c>
      <c r="D15" s="7" t="s">
        <v>376</v>
      </c>
      <c r="E15" s="78"/>
      <c r="F15" s="22"/>
      <c r="G15" s="7"/>
      <c r="H15" s="7"/>
      <c r="I15" s="7"/>
      <c r="J15" s="7"/>
      <c r="K15" s="7"/>
      <c r="L15" s="7"/>
      <c r="M15" s="7"/>
      <c r="N15" s="7"/>
      <c r="O15" s="10"/>
      <c r="P15" s="10"/>
    </row>
    <row r="16" spans="3:17" x14ac:dyDescent="0.25">
      <c r="C16" s="10">
        <v>4</v>
      </c>
      <c r="D16" s="7" t="s">
        <v>374</v>
      </c>
      <c r="E16" s="78"/>
      <c r="F16" s="22"/>
      <c r="G16" s="7"/>
      <c r="H16" s="7"/>
      <c r="I16" s="7"/>
      <c r="J16" s="7"/>
      <c r="K16" s="7"/>
      <c r="L16" s="7"/>
      <c r="M16" s="7"/>
      <c r="N16" s="7"/>
      <c r="O16" s="10"/>
      <c r="P16" s="10"/>
    </row>
    <row r="17" spans="3:26" x14ac:dyDescent="0.25">
      <c r="C17" s="10">
        <v>5</v>
      </c>
      <c r="D17" s="7" t="s">
        <v>378</v>
      </c>
      <c r="E17" s="11"/>
      <c r="F17" s="7"/>
      <c r="G17" s="7"/>
      <c r="H17" s="7"/>
      <c r="I17" s="7"/>
      <c r="J17" s="7"/>
      <c r="K17" s="7"/>
      <c r="L17" s="7"/>
      <c r="M17" s="7"/>
      <c r="N17" s="7"/>
      <c r="O17" s="10"/>
      <c r="P17" s="10"/>
    </row>
    <row r="18" spans="3:26" x14ac:dyDescent="0.25">
      <c r="C18" s="104" t="s">
        <v>3</v>
      </c>
      <c r="D18" s="98"/>
      <c r="E18" s="99"/>
      <c r="F18" s="7">
        <f t="shared" ref="F18:M18" si="6">SUM(F12:F17)</f>
        <v>36000</v>
      </c>
      <c r="G18" s="7">
        <f t="shared" si="6"/>
        <v>18000</v>
      </c>
      <c r="H18" s="7">
        <f t="shared" si="6"/>
        <v>0</v>
      </c>
      <c r="I18" s="7">
        <f t="shared" si="6"/>
        <v>0</v>
      </c>
      <c r="J18" s="7">
        <f t="shared" si="6"/>
        <v>0</v>
      </c>
      <c r="K18" s="7">
        <f t="shared" si="6"/>
        <v>0</v>
      </c>
      <c r="L18" s="7">
        <f t="shared" si="6"/>
        <v>0</v>
      </c>
      <c r="M18" s="7">
        <f t="shared" si="6"/>
        <v>0</v>
      </c>
      <c r="N18" s="7">
        <f>SUM(F18:M18)</f>
        <v>54000</v>
      </c>
      <c r="O18" s="10"/>
      <c r="P18" s="10"/>
    </row>
    <row r="19" spans="3:26" x14ac:dyDescent="0.25">
      <c r="C19" s="1"/>
      <c r="E19" s="1"/>
      <c r="F19" s="16"/>
    </row>
    <row r="20" spans="3:26" ht="15.75" x14ac:dyDescent="0.25">
      <c r="C20" s="9" t="s">
        <v>8</v>
      </c>
      <c r="D20" s="4" t="s">
        <v>9</v>
      </c>
      <c r="E20" s="20" t="s">
        <v>10</v>
      </c>
      <c r="F20" s="20" t="s">
        <v>11</v>
      </c>
      <c r="G20" s="4" t="s">
        <v>4</v>
      </c>
      <c r="H20" s="4" t="s">
        <v>12</v>
      </c>
      <c r="I20" s="4" t="s">
        <v>2</v>
      </c>
      <c r="J20" s="4" t="s">
        <v>13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19</v>
      </c>
      <c r="P20" s="39" t="s">
        <v>204</v>
      </c>
      <c r="Q20" s="63" t="s">
        <v>295</v>
      </c>
      <c r="T20" s="101" t="s">
        <v>118</v>
      </c>
      <c r="U20" s="102"/>
      <c r="V20" s="102"/>
      <c r="W20" s="102"/>
    </row>
    <row r="21" spans="3:26" ht="15.75" customHeight="1" x14ac:dyDescent="0.25">
      <c r="C21" s="10">
        <v>1</v>
      </c>
      <c r="D21" s="11">
        <v>45444</v>
      </c>
      <c r="E21" s="10" t="s">
        <v>574</v>
      </c>
      <c r="F21" s="22" t="s">
        <v>575</v>
      </c>
      <c r="G21" s="7">
        <v>1500</v>
      </c>
      <c r="H21" s="12">
        <v>174</v>
      </c>
      <c r="I21" s="7"/>
      <c r="J21" s="7"/>
      <c r="K21" s="7"/>
      <c r="L21" s="7"/>
      <c r="M21" s="7"/>
      <c r="N21" s="7">
        <v>1500</v>
      </c>
      <c r="O21" s="7"/>
      <c r="P21" s="7"/>
      <c r="Q21" s="40"/>
      <c r="T21" s="97" t="s">
        <v>172</v>
      </c>
      <c r="U21" s="98"/>
      <c r="V21" s="98"/>
      <c r="W21" s="34"/>
    </row>
    <row r="22" spans="3:26" ht="15.75" customHeight="1" x14ac:dyDescent="0.25">
      <c r="C22" s="10">
        <v>2</v>
      </c>
      <c r="D22" s="11">
        <v>45446</v>
      </c>
      <c r="E22" s="10" t="s">
        <v>275</v>
      </c>
      <c r="F22" s="22" t="s">
        <v>268</v>
      </c>
      <c r="G22" s="7">
        <v>800</v>
      </c>
      <c r="H22" s="31">
        <v>165</v>
      </c>
      <c r="I22" s="7"/>
      <c r="J22" s="7">
        <v>800</v>
      </c>
      <c r="K22" s="7"/>
      <c r="L22" s="7"/>
      <c r="M22" s="7"/>
      <c r="N22" s="7"/>
      <c r="O22" s="7"/>
      <c r="P22" s="7"/>
      <c r="Q22" s="7"/>
      <c r="T22" s="10" t="s">
        <v>121</v>
      </c>
      <c r="U22" s="7" t="s">
        <v>9</v>
      </c>
      <c r="V22" s="7" t="s">
        <v>122</v>
      </c>
      <c r="W22" s="7" t="s">
        <v>4</v>
      </c>
      <c r="X22" s="7" t="s">
        <v>549</v>
      </c>
      <c r="Y22" s="7" t="s">
        <v>576</v>
      </c>
      <c r="Z22" s="7" t="s">
        <v>577</v>
      </c>
    </row>
    <row r="23" spans="3:26" ht="15.75" customHeight="1" x14ac:dyDescent="0.25">
      <c r="C23" s="10">
        <v>3</v>
      </c>
      <c r="D23" s="11">
        <v>45446</v>
      </c>
      <c r="E23" s="10">
        <v>73</v>
      </c>
      <c r="F23" s="22" t="s">
        <v>394</v>
      </c>
      <c r="G23" s="7">
        <v>10000</v>
      </c>
      <c r="H23" s="12" t="s">
        <v>578</v>
      </c>
      <c r="I23" s="7">
        <v>9500</v>
      </c>
      <c r="J23" s="7"/>
      <c r="K23" s="7"/>
      <c r="L23" s="7"/>
      <c r="M23" s="7"/>
      <c r="N23" s="7">
        <v>500</v>
      </c>
      <c r="O23" s="7"/>
      <c r="P23" s="7"/>
      <c r="Q23" s="7"/>
      <c r="T23" s="10">
        <v>1</v>
      </c>
      <c r="U23" s="41">
        <v>45449</v>
      </c>
      <c r="V23" s="7" t="s">
        <v>426</v>
      </c>
      <c r="W23" s="7">
        <v>12728</v>
      </c>
      <c r="X23" s="76">
        <v>77</v>
      </c>
      <c r="Y23" s="10">
        <v>4</v>
      </c>
      <c r="Z23" s="7">
        <f t="shared" ref="Z23:Z30" si="7">W23*X23</f>
        <v>980056</v>
      </c>
    </row>
    <row r="24" spans="3:26" ht="15.75" customHeight="1" x14ac:dyDescent="0.25">
      <c r="C24" s="10">
        <v>4</v>
      </c>
      <c r="D24" s="11">
        <v>45446</v>
      </c>
      <c r="E24" s="10" t="s">
        <v>280</v>
      </c>
      <c r="F24" s="22" t="s">
        <v>193</v>
      </c>
      <c r="G24" s="7">
        <v>1000</v>
      </c>
      <c r="H24" s="12">
        <v>170</v>
      </c>
      <c r="I24" s="7"/>
      <c r="J24" s="7"/>
      <c r="K24" s="7"/>
      <c r="L24" s="7"/>
      <c r="M24" s="7"/>
      <c r="N24" s="7">
        <v>1000</v>
      </c>
      <c r="O24" s="7"/>
      <c r="P24" s="7"/>
      <c r="Q24" s="7"/>
      <c r="T24" s="10">
        <v>2</v>
      </c>
      <c r="U24" s="41">
        <v>45450</v>
      </c>
      <c r="V24" s="7" t="s">
        <v>426</v>
      </c>
      <c r="W24" s="7">
        <v>15089</v>
      </c>
      <c r="X24" s="76">
        <v>84</v>
      </c>
      <c r="Y24" s="10">
        <v>11</v>
      </c>
      <c r="Z24" s="7">
        <f t="shared" si="7"/>
        <v>1267476</v>
      </c>
    </row>
    <row r="25" spans="3:26" ht="15.75" customHeight="1" x14ac:dyDescent="0.25">
      <c r="C25" s="10">
        <v>5</v>
      </c>
      <c r="D25" s="11">
        <v>45447</v>
      </c>
      <c r="E25" s="10">
        <v>74</v>
      </c>
      <c r="F25" s="22" t="s">
        <v>80</v>
      </c>
      <c r="G25" s="7">
        <v>1760</v>
      </c>
      <c r="H25" s="12">
        <v>128</v>
      </c>
      <c r="I25" s="7">
        <v>1760</v>
      </c>
      <c r="J25" s="7"/>
      <c r="K25" s="7"/>
      <c r="L25" s="7"/>
      <c r="M25" s="7"/>
      <c r="N25" s="7"/>
      <c r="O25" s="7"/>
      <c r="P25" s="7"/>
      <c r="Q25" s="7"/>
      <c r="T25" s="10">
        <v>3</v>
      </c>
      <c r="U25" s="41">
        <v>45451</v>
      </c>
      <c r="V25" s="7" t="s">
        <v>426</v>
      </c>
      <c r="W25" s="7">
        <v>15200</v>
      </c>
      <c r="X25" s="76">
        <v>78</v>
      </c>
      <c r="Y25" s="10">
        <v>3</v>
      </c>
      <c r="Z25" s="7">
        <f t="shared" si="7"/>
        <v>1185600</v>
      </c>
    </row>
    <row r="26" spans="3:26" ht="15.75" customHeight="1" x14ac:dyDescent="0.25">
      <c r="C26" s="10">
        <v>6</v>
      </c>
      <c r="D26" s="11">
        <v>45447</v>
      </c>
      <c r="E26" s="10">
        <v>75</v>
      </c>
      <c r="F26" s="22" t="s">
        <v>162</v>
      </c>
      <c r="G26" s="7">
        <v>30000</v>
      </c>
      <c r="H26" s="12">
        <v>110</v>
      </c>
      <c r="I26" s="7">
        <v>3000</v>
      </c>
      <c r="J26" s="7"/>
      <c r="K26" s="7"/>
      <c r="L26" s="7"/>
      <c r="M26" s="7"/>
      <c r="N26" s="7"/>
      <c r="O26" s="7"/>
      <c r="P26" s="7"/>
      <c r="Q26" s="7"/>
      <c r="T26" s="10">
        <v>4</v>
      </c>
      <c r="U26" s="41">
        <v>45459</v>
      </c>
      <c r="V26" s="7" t="s">
        <v>426</v>
      </c>
      <c r="W26" s="7">
        <v>20048</v>
      </c>
      <c r="X26" s="76">
        <v>84</v>
      </c>
      <c r="Y26" s="10">
        <v>12</v>
      </c>
      <c r="Z26" s="7">
        <f t="shared" si="7"/>
        <v>1684032</v>
      </c>
    </row>
    <row r="27" spans="3:26" ht="15.75" customHeight="1" x14ac:dyDescent="0.25">
      <c r="C27" s="10">
        <v>7</v>
      </c>
      <c r="D27" s="11">
        <v>45448</v>
      </c>
      <c r="E27" s="10" t="s">
        <v>302</v>
      </c>
      <c r="F27" s="22" t="s">
        <v>575</v>
      </c>
      <c r="G27" s="7">
        <v>1500</v>
      </c>
      <c r="H27" s="12">
        <v>170</v>
      </c>
      <c r="I27" s="7"/>
      <c r="J27" s="7"/>
      <c r="K27" s="7"/>
      <c r="L27" s="7"/>
      <c r="M27" s="7"/>
      <c r="N27" s="7">
        <v>1500</v>
      </c>
      <c r="O27" s="7"/>
      <c r="P27" s="7"/>
      <c r="Q27" s="7"/>
      <c r="T27" s="10">
        <v>5</v>
      </c>
      <c r="U27" s="41">
        <v>45457</v>
      </c>
      <c r="V27" s="7" t="s">
        <v>579</v>
      </c>
      <c r="W27" s="7">
        <v>16500</v>
      </c>
      <c r="X27" s="76">
        <v>78</v>
      </c>
      <c r="Y27" s="10" t="s">
        <v>580</v>
      </c>
      <c r="Z27" s="7">
        <f t="shared" si="7"/>
        <v>1287000</v>
      </c>
    </row>
    <row r="28" spans="3:26" ht="15.75" customHeight="1" x14ac:dyDescent="0.25">
      <c r="C28" s="10">
        <v>8</v>
      </c>
      <c r="D28" s="11">
        <v>45448</v>
      </c>
      <c r="E28" s="10">
        <v>76</v>
      </c>
      <c r="F28" s="22" t="s">
        <v>391</v>
      </c>
      <c r="G28" s="7">
        <v>6000</v>
      </c>
      <c r="H28" s="12">
        <v>120</v>
      </c>
      <c r="I28" s="7">
        <v>6000</v>
      </c>
      <c r="J28" s="7"/>
      <c r="K28" s="7"/>
      <c r="L28" s="7"/>
      <c r="M28" s="7"/>
      <c r="N28" s="7"/>
      <c r="O28" s="7"/>
      <c r="P28" s="7"/>
      <c r="Q28" s="7"/>
      <c r="T28" s="10">
        <v>6</v>
      </c>
      <c r="U28" s="41">
        <v>45463</v>
      </c>
      <c r="V28" s="7" t="s">
        <v>579</v>
      </c>
      <c r="W28" s="7">
        <v>3300</v>
      </c>
      <c r="X28" s="76">
        <v>91</v>
      </c>
      <c r="Y28" s="10" t="s">
        <v>580</v>
      </c>
      <c r="Z28" s="7">
        <f t="shared" si="7"/>
        <v>300300</v>
      </c>
    </row>
    <row r="29" spans="3:26" ht="15.75" customHeight="1" x14ac:dyDescent="0.25">
      <c r="C29" s="10">
        <v>9</v>
      </c>
      <c r="D29" s="11">
        <v>45449</v>
      </c>
      <c r="E29" s="10">
        <v>77</v>
      </c>
      <c r="F29" s="22" t="s">
        <v>90</v>
      </c>
      <c r="G29" s="7">
        <v>500</v>
      </c>
      <c r="H29" s="12">
        <v>174</v>
      </c>
      <c r="I29" s="7"/>
      <c r="J29" s="7"/>
      <c r="K29" s="7"/>
      <c r="L29" s="7"/>
      <c r="M29" s="7"/>
      <c r="N29" s="7"/>
      <c r="O29" s="7"/>
      <c r="P29" s="7">
        <v>500</v>
      </c>
      <c r="Q29" s="7"/>
      <c r="T29" s="10">
        <v>7</v>
      </c>
      <c r="U29" s="41"/>
      <c r="V29" s="7" t="s">
        <v>552</v>
      </c>
      <c r="W29" s="7"/>
      <c r="X29" s="7"/>
      <c r="Y29" s="7"/>
      <c r="Z29" s="7">
        <f t="shared" si="7"/>
        <v>0</v>
      </c>
    </row>
    <row r="30" spans="3:26" ht="15.75" customHeight="1" x14ac:dyDescent="0.25">
      <c r="C30" s="10">
        <v>10</v>
      </c>
      <c r="D30" s="11">
        <v>45450</v>
      </c>
      <c r="E30" s="10">
        <v>78</v>
      </c>
      <c r="F30" s="22" t="s">
        <v>504</v>
      </c>
      <c r="G30" s="7">
        <v>2100</v>
      </c>
      <c r="H30" s="12">
        <v>105</v>
      </c>
      <c r="I30" s="7">
        <v>2100</v>
      </c>
      <c r="J30" s="7"/>
      <c r="K30" s="7"/>
      <c r="L30" s="7"/>
      <c r="M30" s="7"/>
      <c r="N30" s="7"/>
      <c r="O30" s="7"/>
      <c r="P30" s="7"/>
      <c r="Q30" s="7"/>
      <c r="T30" s="10">
        <v>8</v>
      </c>
      <c r="U30" s="11"/>
      <c r="V30" s="7"/>
      <c r="W30" s="7"/>
      <c r="X30" s="7"/>
      <c r="Y30" s="7"/>
      <c r="Z30" s="7">
        <f t="shared" si="7"/>
        <v>0</v>
      </c>
    </row>
    <row r="31" spans="3:26" ht="15.75" customHeight="1" x14ac:dyDescent="0.25">
      <c r="C31" s="10">
        <v>11</v>
      </c>
      <c r="D31" s="11">
        <v>45451</v>
      </c>
      <c r="E31" s="10">
        <v>80</v>
      </c>
      <c r="F31" s="22" t="s">
        <v>394</v>
      </c>
      <c r="G31" s="7">
        <v>10000</v>
      </c>
      <c r="H31" s="12">
        <v>99</v>
      </c>
      <c r="I31" s="7">
        <v>10000</v>
      </c>
      <c r="J31" s="7"/>
      <c r="K31" s="7"/>
      <c r="L31" s="7"/>
      <c r="M31" s="7"/>
      <c r="N31" s="7"/>
      <c r="O31" s="7"/>
      <c r="P31" s="7"/>
      <c r="Q31" s="7"/>
      <c r="T31" s="10"/>
      <c r="U31" s="7"/>
      <c r="V31" s="7"/>
      <c r="W31" s="7"/>
      <c r="X31" s="104" t="s">
        <v>581</v>
      </c>
      <c r="Y31" s="99"/>
      <c r="Z31" s="7">
        <f>SUM(Z23:Z30)</f>
        <v>6704464</v>
      </c>
    </row>
    <row r="32" spans="3:26" ht="15.75" customHeight="1" x14ac:dyDescent="0.25">
      <c r="C32" s="10">
        <v>12</v>
      </c>
      <c r="D32" s="11">
        <v>45451</v>
      </c>
      <c r="E32" s="10" t="s">
        <v>304</v>
      </c>
      <c r="F32" s="22" t="s">
        <v>268</v>
      </c>
      <c r="G32" s="7">
        <v>1500</v>
      </c>
      <c r="H32" s="12">
        <v>170</v>
      </c>
      <c r="I32" s="7"/>
      <c r="J32" s="7">
        <v>1500</v>
      </c>
      <c r="K32" s="7"/>
      <c r="L32" s="7"/>
      <c r="M32" s="7"/>
      <c r="N32" s="7"/>
      <c r="O32" s="7"/>
      <c r="P32" s="7"/>
      <c r="Q32" s="7"/>
      <c r="T32" s="97" t="s">
        <v>181</v>
      </c>
      <c r="U32" s="98"/>
      <c r="V32" s="99"/>
      <c r="W32" s="7">
        <f>SUM(W23:W30)</f>
        <v>82865</v>
      </c>
      <c r="X32" s="104" t="s">
        <v>582</v>
      </c>
      <c r="Y32" s="99"/>
      <c r="Z32" s="7">
        <f>Z31/W32</f>
        <v>80.908272491401675</v>
      </c>
    </row>
    <row r="33" spans="3:23" ht="15.75" customHeight="1" x14ac:dyDescent="0.25">
      <c r="C33" s="10">
        <v>13</v>
      </c>
      <c r="D33" s="11">
        <v>45453</v>
      </c>
      <c r="E33" s="10" t="s">
        <v>307</v>
      </c>
      <c r="F33" s="22" t="s">
        <v>32</v>
      </c>
      <c r="G33" s="7">
        <v>600</v>
      </c>
      <c r="H33" s="12">
        <v>209</v>
      </c>
      <c r="I33" s="7"/>
      <c r="J33" s="7"/>
      <c r="K33" s="7"/>
      <c r="L33" s="7"/>
      <c r="M33" s="7"/>
      <c r="N33" s="7"/>
      <c r="O33" s="7"/>
      <c r="P33" s="7"/>
      <c r="Q33" s="7">
        <v>600</v>
      </c>
      <c r="T33" s="97" t="s">
        <v>183</v>
      </c>
      <c r="U33" s="98"/>
      <c r="V33" s="99"/>
      <c r="W33" s="7">
        <v>199672</v>
      </c>
    </row>
    <row r="34" spans="3:23" ht="15.75" customHeight="1" x14ac:dyDescent="0.25">
      <c r="C34" s="10">
        <v>14</v>
      </c>
      <c r="D34" s="11">
        <v>45455</v>
      </c>
      <c r="E34" s="10" t="s">
        <v>308</v>
      </c>
      <c r="F34" s="22" t="s">
        <v>575</v>
      </c>
      <c r="G34" s="7">
        <v>1500</v>
      </c>
      <c r="H34" s="12">
        <v>180</v>
      </c>
      <c r="I34" s="7"/>
      <c r="J34" s="7"/>
      <c r="K34" s="7"/>
      <c r="L34" s="7"/>
      <c r="M34" s="7"/>
      <c r="N34" s="7">
        <v>1500</v>
      </c>
      <c r="O34" s="7"/>
      <c r="P34" s="7"/>
      <c r="Q34" s="7"/>
      <c r="T34" s="97" t="s">
        <v>184</v>
      </c>
      <c r="U34" s="98"/>
      <c r="V34" s="99"/>
      <c r="W34" s="35">
        <f>SUM(W32,W33)</f>
        <v>282537</v>
      </c>
    </row>
    <row r="35" spans="3:23" ht="15.75" customHeight="1" x14ac:dyDescent="0.25">
      <c r="C35" s="10">
        <v>15</v>
      </c>
      <c r="D35" s="11">
        <v>45455</v>
      </c>
      <c r="E35" s="10" t="s">
        <v>309</v>
      </c>
      <c r="F35" s="22" t="s">
        <v>583</v>
      </c>
      <c r="G35" s="7">
        <v>940</v>
      </c>
      <c r="H35" s="12">
        <v>174</v>
      </c>
      <c r="I35" s="7"/>
      <c r="J35" s="7"/>
      <c r="K35" s="7">
        <v>940</v>
      </c>
      <c r="L35" s="7"/>
      <c r="M35" s="7"/>
      <c r="N35" s="7"/>
      <c r="O35" s="7"/>
      <c r="P35" s="7"/>
      <c r="Q35" s="7"/>
      <c r="T35" s="97" t="s">
        <v>186</v>
      </c>
      <c r="U35" s="98"/>
      <c r="V35" s="99"/>
      <c r="W35" s="7">
        <f>'June 24'!$I$102</f>
        <v>76760</v>
      </c>
    </row>
    <row r="36" spans="3:23" ht="15.75" customHeight="1" x14ac:dyDescent="0.25">
      <c r="C36" s="10">
        <v>16</v>
      </c>
      <c r="D36" s="11">
        <v>45455</v>
      </c>
      <c r="E36" s="10">
        <v>81</v>
      </c>
      <c r="F36" s="22" t="s">
        <v>394</v>
      </c>
      <c r="G36" s="7">
        <v>10000</v>
      </c>
      <c r="H36" s="12">
        <v>99</v>
      </c>
      <c r="I36" s="7">
        <v>10000</v>
      </c>
      <c r="J36" s="7"/>
      <c r="K36" s="7"/>
      <c r="L36" s="7"/>
      <c r="M36" s="7"/>
      <c r="N36" s="7"/>
      <c r="O36" s="7"/>
      <c r="P36" s="7"/>
      <c r="Q36" s="7"/>
      <c r="T36" s="97"/>
      <c r="U36" s="98"/>
      <c r="V36" s="99"/>
      <c r="W36" s="7"/>
    </row>
    <row r="37" spans="3:23" ht="15.75" customHeight="1" x14ac:dyDescent="0.25">
      <c r="C37" s="10">
        <v>17</v>
      </c>
      <c r="D37" s="11">
        <v>45455</v>
      </c>
      <c r="E37" s="10">
        <v>83</v>
      </c>
      <c r="F37" s="22" t="s">
        <v>157</v>
      </c>
      <c r="G37" s="7">
        <v>200</v>
      </c>
      <c r="H37" s="12">
        <v>184</v>
      </c>
      <c r="I37" s="7"/>
      <c r="J37" s="7"/>
      <c r="K37" s="7"/>
      <c r="L37" s="7"/>
      <c r="M37" s="7"/>
      <c r="N37" s="7"/>
      <c r="O37" s="7">
        <v>200</v>
      </c>
      <c r="P37" s="7"/>
      <c r="Q37" s="7"/>
      <c r="T37" s="100" t="s">
        <v>188</v>
      </c>
      <c r="U37" s="98"/>
      <c r="V37" s="99"/>
      <c r="W37" s="36">
        <f>SUM(W34-W35)</f>
        <v>205777</v>
      </c>
    </row>
    <row r="38" spans="3:23" ht="15.75" customHeight="1" x14ac:dyDescent="0.25">
      <c r="C38" s="10">
        <v>18</v>
      </c>
      <c r="D38" s="11">
        <v>45457</v>
      </c>
      <c r="E38" s="10">
        <v>87</v>
      </c>
      <c r="F38" s="22" t="s">
        <v>333</v>
      </c>
      <c r="G38" s="7">
        <v>1000</v>
      </c>
      <c r="H38" s="12">
        <v>115</v>
      </c>
      <c r="I38" s="7">
        <v>1000</v>
      </c>
      <c r="J38" s="7"/>
      <c r="K38" s="7"/>
      <c r="L38" s="7"/>
      <c r="M38" s="7"/>
      <c r="N38" s="7"/>
      <c r="O38" s="7"/>
      <c r="P38" s="7"/>
      <c r="Q38" s="7"/>
    </row>
    <row r="39" spans="3:23" ht="15.75" customHeight="1" x14ac:dyDescent="0.25">
      <c r="C39" s="10">
        <v>18</v>
      </c>
      <c r="D39" s="11">
        <v>45457</v>
      </c>
      <c r="E39" s="24">
        <v>88</v>
      </c>
      <c r="F39" s="22" t="s">
        <v>101</v>
      </c>
      <c r="G39" s="7">
        <v>12600</v>
      </c>
      <c r="H39" s="12">
        <v>115</v>
      </c>
      <c r="I39" s="7">
        <v>12600</v>
      </c>
      <c r="J39" s="7"/>
      <c r="K39" s="7"/>
      <c r="L39" s="7"/>
      <c r="M39" s="7"/>
      <c r="N39" s="7"/>
      <c r="O39" s="7"/>
      <c r="P39" s="7"/>
      <c r="Q39" s="7"/>
    </row>
    <row r="40" spans="3:23" ht="15.75" customHeight="1" x14ac:dyDescent="0.25">
      <c r="C40" s="10">
        <v>19</v>
      </c>
      <c r="D40" s="11">
        <v>45457</v>
      </c>
      <c r="E40" s="10" t="s">
        <v>314</v>
      </c>
      <c r="F40" s="22" t="s">
        <v>584</v>
      </c>
      <c r="G40" s="7">
        <v>2500</v>
      </c>
      <c r="H40" s="12">
        <v>178</v>
      </c>
      <c r="I40" s="7"/>
      <c r="J40" s="7"/>
      <c r="K40" s="7"/>
      <c r="L40" s="7"/>
      <c r="M40" s="7"/>
      <c r="N40" s="7">
        <v>2500</v>
      </c>
      <c r="O40" s="7"/>
      <c r="P40" s="7"/>
      <c r="Q40" s="7"/>
    </row>
    <row r="41" spans="3:23" ht="15.75" customHeight="1" x14ac:dyDescent="0.25">
      <c r="C41" s="10">
        <v>20</v>
      </c>
      <c r="D41" s="11">
        <v>45458</v>
      </c>
      <c r="E41" s="10">
        <v>89</v>
      </c>
      <c r="F41" s="22" t="s">
        <v>162</v>
      </c>
      <c r="G41" s="7">
        <v>1020</v>
      </c>
      <c r="H41" s="12">
        <v>117</v>
      </c>
      <c r="I41" s="7">
        <v>1020</v>
      </c>
      <c r="J41" s="7"/>
      <c r="K41" s="7"/>
      <c r="L41" s="7"/>
      <c r="M41" s="7"/>
      <c r="N41" s="7"/>
      <c r="O41" s="7"/>
      <c r="P41" s="7"/>
      <c r="Q41" s="7"/>
    </row>
    <row r="42" spans="3:23" ht="15.75" customHeight="1" x14ac:dyDescent="0.25">
      <c r="C42" s="10">
        <v>21</v>
      </c>
      <c r="D42" s="11">
        <v>45458</v>
      </c>
      <c r="E42" s="10">
        <v>90</v>
      </c>
      <c r="F42" s="22" t="s">
        <v>162</v>
      </c>
      <c r="G42" s="7">
        <v>40</v>
      </c>
      <c r="H42" s="12">
        <v>117</v>
      </c>
      <c r="I42" s="7">
        <v>40</v>
      </c>
      <c r="J42" s="7"/>
      <c r="K42" s="7"/>
      <c r="L42" s="7"/>
      <c r="M42" s="7"/>
      <c r="N42" s="7"/>
      <c r="O42" s="7"/>
      <c r="P42" s="7"/>
      <c r="Q42" s="7"/>
    </row>
    <row r="43" spans="3:23" ht="15.75" customHeight="1" x14ac:dyDescent="0.25">
      <c r="C43" s="10">
        <v>22</v>
      </c>
      <c r="D43" s="11">
        <v>45458</v>
      </c>
      <c r="E43" s="10" t="s">
        <v>315</v>
      </c>
      <c r="F43" s="22" t="s">
        <v>585</v>
      </c>
      <c r="G43" s="7">
        <v>500</v>
      </c>
      <c r="H43" s="12">
        <v>179</v>
      </c>
      <c r="I43" s="7"/>
      <c r="J43" s="7"/>
      <c r="K43" s="7"/>
      <c r="L43" s="7"/>
      <c r="M43" s="7"/>
      <c r="N43" s="7">
        <v>500</v>
      </c>
      <c r="O43" s="7"/>
      <c r="P43" s="7"/>
      <c r="Q43" s="7"/>
    </row>
    <row r="44" spans="3:23" ht="15.75" customHeight="1" x14ac:dyDescent="0.25">
      <c r="C44" s="10">
        <v>23</v>
      </c>
      <c r="D44" s="11">
        <v>45460</v>
      </c>
      <c r="E44" s="10" t="s">
        <v>586</v>
      </c>
      <c r="F44" s="22" t="s">
        <v>587</v>
      </c>
      <c r="G44" s="7">
        <v>5000</v>
      </c>
      <c r="H44" s="12" t="s">
        <v>588</v>
      </c>
      <c r="I44" s="7">
        <v>3500</v>
      </c>
      <c r="J44" s="7"/>
      <c r="K44" s="7"/>
      <c r="L44" s="7"/>
      <c r="M44" s="7"/>
      <c r="N44" s="7"/>
      <c r="O44" s="7"/>
      <c r="P44" s="7"/>
      <c r="Q44" s="7">
        <v>1500</v>
      </c>
    </row>
    <row r="45" spans="3:23" ht="15.75" customHeight="1" x14ac:dyDescent="0.25">
      <c r="C45" s="10">
        <v>24</v>
      </c>
      <c r="D45" s="11">
        <v>45462</v>
      </c>
      <c r="E45" s="10">
        <v>92</v>
      </c>
      <c r="F45" s="22" t="s">
        <v>139</v>
      </c>
      <c r="G45" s="7">
        <v>1000</v>
      </c>
      <c r="H45" s="12">
        <v>127</v>
      </c>
      <c r="I45" s="7">
        <v>1000</v>
      </c>
      <c r="J45" s="7"/>
      <c r="K45" s="7"/>
      <c r="L45" s="7"/>
      <c r="M45" s="7"/>
      <c r="N45" s="7"/>
      <c r="O45" s="7"/>
      <c r="P45" s="7"/>
      <c r="Q45" s="7"/>
    </row>
    <row r="46" spans="3:23" ht="15.75" customHeight="1" x14ac:dyDescent="0.25">
      <c r="C46" s="10">
        <v>26</v>
      </c>
      <c r="D46" s="11">
        <v>45432</v>
      </c>
      <c r="E46" s="10">
        <v>96</v>
      </c>
      <c r="F46" s="22" t="s">
        <v>589</v>
      </c>
      <c r="G46" s="7">
        <v>300</v>
      </c>
      <c r="H46" s="12">
        <v>174</v>
      </c>
      <c r="I46" s="7"/>
      <c r="J46" s="7"/>
      <c r="K46" s="7"/>
      <c r="L46" s="7"/>
      <c r="M46" s="7"/>
      <c r="N46" s="7">
        <v>3000</v>
      </c>
      <c r="O46" s="7"/>
      <c r="P46" s="7"/>
      <c r="Q46" s="7"/>
    </row>
    <row r="47" spans="3:23" ht="15.75" customHeight="1" x14ac:dyDescent="0.25">
      <c r="C47" s="10">
        <v>27</v>
      </c>
      <c r="D47" s="11">
        <v>45462</v>
      </c>
      <c r="E47" s="10" t="s">
        <v>590</v>
      </c>
      <c r="F47" s="22" t="s">
        <v>44</v>
      </c>
      <c r="G47" s="7">
        <v>3000</v>
      </c>
      <c r="H47" s="12">
        <v>185</v>
      </c>
      <c r="I47" s="7"/>
      <c r="J47" s="7"/>
      <c r="K47" s="7"/>
      <c r="L47" s="7"/>
      <c r="M47" s="7"/>
      <c r="N47" s="7"/>
      <c r="O47" s="7">
        <v>2000</v>
      </c>
      <c r="P47" s="7">
        <v>1000</v>
      </c>
      <c r="Q47" s="7"/>
    </row>
    <row r="48" spans="3:23" ht="15.75" customHeight="1" x14ac:dyDescent="0.25">
      <c r="C48" s="10">
        <v>28</v>
      </c>
      <c r="D48" s="11">
        <v>45463</v>
      </c>
      <c r="E48" s="10">
        <v>97</v>
      </c>
      <c r="F48" s="22" t="s">
        <v>584</v>
      </c>
      <c r="G48" s="7">
        <v>200</v>
      </c>
      <c r="H48" s="12">
        <v>114</v>
      </c>
      <c r="I48" s="7">
        <v>200</v>
      </c>
      <c r="J48" s="7"/>
      <c r="K48" s="7"/>
      <c r="L48" s="7"/>
      <c r="M48" s="7"/>
      <c r="N48" s="7"/>
      <c r="O48" s="7"/>
      <c r="P48" s="7"/>
      <c r="Q48" s="7"/>
      <c r="S48" s="1"/>
    </row>
    <row r="49" spans="3:19" ht="15.75" customHeight="1" x14ac:dyDescent="0.25">
      <c r="C49" s="10">
        <v>29</v>
      </c>
      <c r="D49" s="11">
        <v>45465</v>
      </c>
      <c r="E49" s="10" t="s">
        <v>591</v>
      </c>
      <c r="F49" s="22" t="s">
        <v>592</v>
      </c>
      <c r="G49" s="7">
        <v>1000</v>
      </c>
      <c r="H49" s="12">
        <v>174</v>
      </c>
      <c r="I49" s="7"/>
      <c r="J49" s="7"/>
      <c r="K49" s="7"/>
      <c r="L49" s="7"/>
      <c r="M49" s="7"/>
      <c r="N49" s="7">
        <v>1000</v>
      </c>
      <c r="O49" s="7"/>
      <c r="P49" s="7"/>
      <c r="Q49" s="7"/>
      <c r="S49" s="1"/>
    </row>
    <row r="50" spans="3:19" ht="15.75" customHeight="1" x14ac:dyDescent="0.25">
      <c r="C50" s="10">
        <v>30</v>
      </c>
      <c r="D50" s="11">
        <v>45465</v>
      </c>
      <c r="E50" s="10">
        <v>101</v>
      </c>
      <c r="F50" s="22" t="s">
        <v>593</v>
      </c>
      <c r="G50" s="7">
        <v>40</v>
      </c>
      <c r="H50" s="12">
        <v>117</v>
      </c>
      <c r="I50" s="7">
        <v>40</v>
      </c>
      <c r="J50" s="7"/>
      <c r="K50" s="7"/>
      <c r="L50" s="7"/>
      <c r="M50" s="7"/>
      <c r="N50" s="7"/>
      <c r="O50" s="7"/>
      <c r="P50" s="7"/>
      <c r="Q50" s="7"/>
      <c r="S50" s="1"/>
    </row>
    <row r="51" spans="3:19" ht="15.75" customHeight="1" x14ac:dyDescent="0.25">
      <c r="C51" s="10">
        <v>31</v>
      </c>
      <c r="D51" s="11">
        <v>45466</v>
      </c>
      <c r="E51" s="10">
        <v>103</v>
      </c>
      <c r="F51" s="22" t="s">
        <v>394</v>
      </c>
      <c r="G51" s="7">
        <v>10000</v>
      </c>
      <c r="H51" s="12">
        <v>99</v>
      </c>
      <c r="I51" s="7">
        <v>10000</v>
      </c>
      <c r="J51" s="7"/>
      <c r="K51" s="7"/>
      <c r="L51" s="7"/>
      <c r="M51" s="7"/>
      <c r="N51" s="7"/>
      <c r="O51" s="7"/>
      <c r="P51" s="7"/>
      <c r="Q51" s="7"/>
      <c r="S51" s="1"/>
    </row>
    <row r="52" spans="3:19" ht="15.75" customHeight="1" x14ac:dyDescent="0.25">
      <c r="C52" s="10">
        <v>32</v>
      </c>
      <c r="D52" s="11">
        <v>45467</v>
      </c>
      <c r="E52" s="10">
        <v>105</v>
      </c>
      <c r="F52" s="22" t="s">
        <v>90</v>
      </c>
      <c r="G52" s="7">
        <v>5000</v>
      </c>
      <c r="H52" s="12">
        <v>110</v>
      </c>
      <c r="I52" s="7">
        <v>5000</v>
      </c>
      <c r="J52" s="7"/>
      <c r="K52" s="7"/>
      <c r="L52" s="7"/>
      <c r="M52" s="7"/>
      <c r="N52" s="7"/>
      <c r="O52" s="7"/>
      <c r="P52" s="7"/>
      <c r="Q52" s="7"/>
      <c r="S52" s="1"/>
    </row>
    <row r="53" spans="3:19" ht="15.75" customHeight="1" x14ac:dyDescent="0.25">
      <c r="C53" s="10">
        <v>33</v>
      </c>
      <c r="D53" s="11">
        <v>45467</v>
      </c>
      <c r="E53" s="10" t="s">
        <v>320</v>
      </c>
      <c r="F53" s="22" t="s">
        <v>32</v>
      </c>
      <c r="G53" s="7">
        <v>500</v>
      </c>
      <c r="H53" s="12">
        <v>184</v>
      </c>
      <c r="I53" s="7"/>
      <c r="J53" s="7"/>
      <c r="K53" s="7"/>
      <c r="L53" s="7"/>
      <c r="M53" s="7"/>
      <c r="N53" s="7">
        <v>500</v>
      </c>
      <c r="O53" s="7"/>
      <c r="P53" s="7"/>
      <c r="Q53" s="7"/>
      <c r="S53" s="1"/>
    </row>
    <row r="54" spans="3:19" ht="15.75" customHeight="1" x14ac:dyDescent="0.25">
      <c r="C54" s="10">
        <v>34</v>
      </c>
      <c r="D54" s="11">
        <v>45467</v>
      </c>
      <c r="E54" s="10" t="s">
        <v>594</v>
      </c>
      <c r="F54" s="22" t="s">
        <v>595</v>
      </c>
      <c r="G54" s="7">
        <v>2000</v>
      </c>
      <c r="H54" s="12">
        <v>175</v>
      </c>
      <c r="I54" s="7"/>
      <c r="J54" s="7"/>
      <c r="K54" s="7"/>
      <c r="L54" s="7"/>
      <c r="M54" s="7"/>
      <c r="N54" s="7">
        <v>2000</v>
      </c>
      <c r="O54" s="7"/>
      <c r="P54" s="7"/>
      <c r="Q54" s="7"/>
      <c r="S54" s="1"/>
    </row>
    <row r="55" spans="3:19" ht="15.75" customHeight="1" x14ac:dyDescent="0.25">
      <c r="C55" s="10">
        <v>35</v>
      </c>
      <c r="D55" s="11">
        <v>45470</v>
      </c>
      <c r="E55" s="10" t="s">
        <v>322</v>
      </c>
      <c r="F55" s="22" t="s">
        <v>585</v>
      </c>
      <c r="G55" s="7">
        <v>1500</v>
      </c>
      <c r="H55" s="12">
        <v>169</v>
      </c>
      <c r="I55" s="7"/>
      <c r="J55" s="7"/>
      <c r="K55" s="7">
        <v>1500</v>
      </c>
      <c r="L55" s="7"/>
      <c r="M55" s="7"/>
      <c r="N55" s="7"/>
      <c r="O55" s="7"/>
      <c r="P55" s="7"/>
      <c r="Q55" s="7"/>
      <c r="S55" s="1"/>
    </row>
    <row r="56" spans="3:19" ht="15.75" customHeight="1" x14ac:dyDescent="0.25">
      <c r="C56" s="10">
        <v>36</v>
      </c>
      <c r="D56" s="11"/>
      <c r="E56" s="10"/>
      <c r="F56" s="22" t="s">
        <v>533</v>
      </c>
      <c r="G56" s="7"/>
      <c r="H56" s="12"/>
      <c r="I56" s="7"/>
      <c r="J56" s="7"/>
      <c r="K56" s="7"/>
      <c r="L56" s="7"/>
      <c r="M56" s="7"/>
      <c r="N56" s="7"/>
      <c r="O56" s="7"/>
      <c r="P56" s="7"/>
      <c r="Q56" s="7"/>
      <c r="S56" s="1"/>
    </row>
    <row r="57" spans="3:19" ht="15.75" customHeight="1" x14ac:dyDescent="0.25">
      <c r="C57" s="10">
        <v>37</v>
      </c>
      <c r="D57" s="11"/>
      <c r="E57" s="10"/>
      <c r="F57" s="22" t="s">
        <v>90</v>
      </c>
      <c r="G57" s="7"/>
      <c r="H57" s="12"/>
      <c r="I57" s="7"/>
      <c r="J57" s="7"/>
      <c r="K57" s="7"/>
      <c r="L57" s="7"/>
      <c r="M57" s="7"/>
      <c r="N57" s="7"/>
      <c r="O57" s="7"/>
      <c r="P57" s="7"/>
      <c r="Q57" s="7"/>
      <c r="S57" s="1"/>
    </row>
    <row r="58" spans="3:19" ht="15.75" customHeight="1" x14ac:dyDescent="0.25">
      <c r="C58" s="10">
        <v>38</v>
      </c>
      <c r="D58" s="11"/>
      <c r="E58" s="10"/>
      <c r="F58" s="22" t="s">
        <v>140</v>
      </c>
      <c r="G58" s="7"/>
      <c r="H58" s="12"/>
      <c r="I58" s="7"/>
      <c r="J58" s="7"/>
      <c r="K58" s="7"/>
      <c r="L58" s="7"/>
      <c r="M58" s="7"/>
      <c r="N58" s="7"/>
      <c r="O58" s="7"/>
      <c r="P58" s="7"/>
      <c r="Q58" s="7"/>
      <c r="S58" s="1"/>
    </row>
    <row r="59" spans="3:19" ht="15.75" customHeight="1" x14ac:dyDescent="0.25">
      <c r="C59" s="10">
        <v>41</v>
      </c>
      <c r="D59" s="11"/>
      <c r="E59" s="10"/>
      <c r="F59" s="22" t="s">
        <v>32</v>
      </c>
      <c r="G59" s="7"/>
      <c r="H59" s="31"/>
      <c r="I59" s="7"/>
      <c r="J59" s="7"/>
      <c r="K59" s="7"/>
      <c r="L59" s="7"/>
      <c r="M59" s="7"/>
      <c r="N59" s="7"/>
      <c r="O59" s="7"/>
      <c r="P59" s="7"/>
      <c r="Q59" s="7"/>
      <c r="S59" s="1"/>
    </row>
    <row r="60" spans="3:19" ht="15.75" customHeight="1" x14ac:dyDescent="0.25">
      <c r="C60" s="10">
        <v>39</v>
      </c>
      <c r="D60" s="11"/>
      <c r="E60" s="10"/>
      <c r="F60" s="22" t="s">
        <v>48</v>
      </c>
      <c r="G60" s="7"/>
      <c r="H60" s="12"/>
      <c r="I60" s="7"/>
      <c r="J60" s="7"/>
      <c r="K60" s="7"/>
      <c r="L60" s="7"/>
      <c r="M60" s="7"/>
      <c r="N60" s="7"/>
      <c r="O60" s="7"/>
      <c r="P60" s="7"/>
      <c r="Q60" s="7"/>
      <c r="S60" s="1"/>
    </row>
    <row r="61" spans="3:19" ht="15.75" customHeight="1" x14ac:dyDescent="0.25">
      <c r="C61" s="10">
        <v>42</v>
      </c>
      <c r="D61" s="11"/>
      <c r="E61" s="10"/>
      <c r="F61" s="22" t="s">
        <v>32</v>
      </c>
      <c r="G61" s="7"/>
      <c r="H61" s="12"/>
      <c r="I61" s="7"/>
      <c r="J61" s="7"/>
      <c r="K61" s="7"/>
      <c r="L61" s="7"/>
      <c r="M61" s="7"/>
      <c r="N61" s="7"/>
      <c r="O61" s="7"/>
      <c r="P61" s="7"/>
      <c r="Q61" s="7"/>
      <c r="S61" s="1"/>
    </row>
    <row r="62" spans="3:19" ht="15.75" customHeight="1" x14ac:dyDescent="0.25">
      <c r="C62" s="10">
        <v>40</v>
      </c>
      <c r="D62" s="11"/>
      <c r="E62" s="10"/>
      <c r="F62" s="22" t="s">
        <v>80</v>
      </c>
      <c r="G62" s="7"/>
      <c r="H62" s="12"/>
      <c r="I62" s="7"/>
      <c r="J62" s="7"/>
      <c r="K62" s="7"/>
      <c r="L62" s="7"/>
      <c r="M62" s="7"/>
      <c r="N62" s="7"/>
      <c r="O62" s="7"/>
      <c r="P62" s="7"/>
      <c r="Q62" s="7"/>
      <c r="S62" s="1"/>
    </row>
    <row r="63" spans="3:19" ht="15.75" customHeight="1" x14ac:dyDescent="0.25">
      <c r="C63" s="10">
        <v>43</v>
      </c>
      <c r="D63" s="11"/>
      <c r="E63" s="10"/>
      <c r="F63" s="22" t="s">
        <v>268</v>
      </c>
      <c r="G63" s="7"/>
      <c r="H63" s="12"/>
      <c r="I63" s="7"/>
      <c r="J63" s="7"/>
      <c r="K63" s="7"/>
      <c r="L63" s="7"/>
      <c r="M63" s="7"/>
      <c r="N63" s="7"/>
      <c r="O63" s="7"/>
      <c r="P63" s="7"/>
      <c r="Q63" s="7"/>
      <c r="S63" s="1"/>
    </row>
    <row r="64" spans="3:19" ht="15.75" customHeight="1" x14ac:dyDescent="0.25">
      <c r="C64" s="10">
        <v>44</v>
      </c>
      <c r="D64" s="11"/>
      <c r="E64" s="10"/>
      <c r="F64" s="22" t="s">
        <v>80</v>
      </c>
      <c r="G64" s="7"/>
      <c r="H64" s="12"/>
      <c r="I64" s="7"/>
      <c r="J64" s="7"/>
      <c r="K64" s="7"/>
      <c r="L64" s="7"/>
      <c r="M64" s="7"/>
      <c r="N64" s="7"/>
      <c r="O64" s="7"/>
      <c r="P64" s="7"/>
      <c r="Q64" s="7"/>
      <c r="S64" s="1"/>
    </row>
    <row r="65" spans="3:19" ht="15.75" customHeight="1" x14ac:dyDescent="0.25">
      <c r="C65" s="10">
        <v>45</v>
      </c>
      <c r="D65" s="11"/>
      <c r="E65" s="10"/>
      <c r="F65" s="22" t="s">
        <v>546</v>
      </c>
      <c r="G65" s="7"/>
      <c r="H65" s="12"/>
      <c r="I65" s="7"/>
      <c r="J65" s="7"/>
      <c r="K65" s="7"/>
      <c r="L65" s="7"/>
      <c r="M65" s="7"/>
      <c r="N65" s="7"/>
      <c r="O65" s="7"/>
      <c r="P65" s="7"/>
      <c r="Q65" s="7"/>
      <c r="S65" s="1"/>
    </row>
    <row r="66" spans="3:19" ht="15.75" customHeight="1" x14ac:dyDescent="0.25">
      <c r="C66" s="10">
        <v>46</v>
      </c>
      <c r="D66" s="11"/>
      <c r="E66" s="10"/>
      <c r="F66" s="22" t="s">
        <v>333</v>
      </c>
      <c r="G66" s="7"/>
      <c r="H66" s="12"/>
      <c r="I66" s="7"/>
      <c r="J66" s="7"/>
      <c r="K66" s="7"/>
      <c r="L66" s="7"/>
      <c r="M66" s="7"/>
      <c r="N66" s="7"/>
      <c r="O66" s="7"/>
      <c r="P66" s="7"/>
      <c r="Q66" s="7"/>
      <c r="S66" s="1"/>
    </row>
    <row r="67" spans="3:19" ht="15.75" customHeight="1" x14ac:dyDescent="0.25">
      <c r="C67" s="10">
        <v>47</v>
      </c>
      <c r="D67" s="11"/>
      <c r="E67" s="10"/>
      <c r="F67" s="22" t="s">
        <v>37</v>
      </c>
      <c r="G67" s="7"/>
      <c r="H67" s="12"/>
      <c r="I67" s="7"/>
      <c r="J67" s="7"/>
      <c r="K67" s="7"/>
      <c r="L67" s="7"/>
      <c r="M67" s="7"/>
      <c r="N67" s="7"/>
      <c r="O67" s="7"/>
      <c r="P67" s="7"/>
      <c r="Q67" s="7"/>
      <c r="S67" s="1"/>
    </row>
    <row r="68" spans="3:19" ht="15.75" customHeight="1" x14ac:dyDescent="0.25">
      <c r="C68" s="10">
        <v>48</v>
      </c>
      <c r="D68" s="11"/>
      <c r="E68" s="10"/>
      <c r="F68" s="22" t="s">
        <v>268</v>
      </c>
      <c r="G68" s="7"/>
      <c r="H68" s="12"/>
      <c r="I68" s="7"/>
      <c r="J68" s="7"/>
      <c r="K68" s="7"/>
      <c r="L68" s="7"/>
      <c r="M68" s="7"/>
      <c r="N68" s="7"/>
      <c r="O68" s="7"/>
      <c r="P68" s="7"/>
      <c r="Q68" s="7"/>
      <c r="S68" s="1"/>
    </row>
    <row r="69" spans="3:19" ht="15.75" customHeight="1" x14ac:dyDescent="0.25">
      <c r="C69" s="10">
        <v>49</v>
      </c>
      <c r="D69" s="11"/>
      <c r="E69" s="10"/>
      <c r="F69" s="22" t="s">
        <v>37</v>
      </c>
      <c r="G69" s="7"/>
      <c r="H69" s="12"/>
      <c r="I69" s="7"/>
      <c r="J69" s="7"/>
      <c r="K69" s="7"/>
      <c r="L69" s="7"/>
      <c r="M69" s="7"/>
      <c r="N69" s="7"/>
      <c r="O69" s="7"/>
      <c r="P69" s="7"/>
      <c r="Q69" s="7"/>
      <c r="S69" s="1"/>
    </row>
    <row r="70" spans="3:19" ht="15.75" customHeight="1" x14ac:dyDescent="0.25">
      <c r="C70" s="10">
        <v>50</v>
      </c>
      <c r="D70" s="11"/>
      <c r="E70" s="10"/>
      <c r="F70" s="22" t="s">
        <v>333</v>
      </c>
      <c r="G70" s="7"/>
      <c r="H70" s="12"/>
      <c r="I70" s="7"/>
      <c r="J70" s="7"/>
      <c r="K70" s="7"/>
      <c r="L70" s="7"/>
      <c r="M70" s="7"/>
      <c r="N70" s="7"/>
      <c r="O70" s="7"/>
      <c r="P70" s="7"/>
      <c r="Q70" s="7"/>
      <c r="S70" s="1"/>
    </row>
    <row r="71" spans="3:19" ht="15.75" customHeight="1" x14ac:dyDescent="0.25">
      <c r="C71" s="10">
        <v>51</v>
      </c>
      <c r="D71" s="11"/>
      <c r="E71" s="10"/>
      <c r="F71" s="22" t="s">
        <v>24</v>
      </c>
      <c r="G71" s="7"/>
      <c r="H71" s="12"/>
      <c r="I71" s="7"/>
      <c r="J71" s="7"/>
      <c r="K71" s="7"/>
      <c r="L71" s="7"/>
      <c r="M71" s="7"/>
      <c r="N71" s="7"/>
      <c r="O71" s="7"/>
      <c r="P71" s="7"/>
      <c r="Q71" s="7"/>
      <c r="S71" s="1"/>
    </row>
    <row r="72" spans="3:19" ht="15.75" customHeight="1" x14ac:dyDescent="0.25">
      <c r="C72" s="10">
        <v>52</v>
      </c>
      <c r="D72" s="11"/>
      <c r="E72" s="10"/>
      <c r="F72" s="22" t="s">
        <v>269</v>
      </c>
      <c r="G72" s="7"/>
      <c r="H72" s="31"/>
      <c r="I72" s="7"/>
      <c r="J72" s="7"/>
      <c r="K72" s="7"/>
      <c r="L72" s="7"/>
      <c r="M72" s="7"/>
      <c r="N72" s="7"/>
      <c r="O72" s="7"/>
      <c r="P72" s="7"/>
      <c r="Q72" s="7"/>
      <c r="S72" s="1"/>
    </row>
    <row r="73" spans="3:19" ht="15.75" customHeight="1" x14ac:dyDescent="0.25">
      <c r="C73" s="10">
        <v>53</v>
      </c>
      <c r="D73" s="11"/>
      <c r="E73" s="10"/>
      <c r="F73" s="22" t="s">
        <v>48</v>
      </c>
      <c r="G73" s="7"/>
      <c r="H73" s="12"/>
      <c r="I73" s="7"/>
      <c r="J73" s="7"/>
      <c r="K73" s="7"/>
      <c r="L73" s="7"/>
      <c r="M73" s="7"/>
      <c r="N73" s="7"/>
      <c r="O73" s="7"/>
      <c r="P73" s="7"/>
      <c r="Q73" s="7"/>
      <c r="S73" s="1"/>
    </row>
    <row r="74" spans="3:19" ht="15.75" customHeight="1" x14ac:dyDescent="0.25">
      <c r="C74" s="10">
        <v>54</v>
      </c>
      <c r="D74" s="11"/>
      <c r="E74" s="10"/>
      <c r="F74" s="22" t="s">
        <v>32</v>
      </c>
      <c r="G74" s="7"/>
      <c r="H74" s="12"/>
      <c r="I74" s="7"/>
      <c r="J74" s="7"/>
      <c r="K74" s="7"/>
      <c r="L74" s="7"/>
      <c r="M74" s="7"/>
      <c r="N74" s="7"/>
      <c r="O74" s="7"/>
      <c r="P74" s="7"/>
      <c r="Q74" s="7"/>
      <c r="S74" s="1"/>
    </row>
    <row r="75" spans="3:19" ht="15.75" customHeight="1" x14ac:dyDescent="0.25">
      <c r="C75" s="10">
        <v>55</v>
      </c>
      <c r="D75" s="11"/>
      <c r="E75" s="10"/>
      <c r="F75" s="22" t="s">
        <v>71</v>
      </c>
      <c r="G75" s="7"/>
      <c r="H75" s="12"/>
      <c r="I75" s="7"/>
      <c r="J75" s="7"/>
      <c r="K75" s="7"/>
      <c r="L75" s="7"/>
      <c r="M75" s="7"/>
      <c r="N75" s="7"/>
      <c r="O75" s="7"/>
      <c r="P75" s="7"/>
      <c r="Q75" s="7"/>
      <c r="S75" s="1"/>
    </row>
    <row r="76" spans="3:19" ht="15.75" customHeight="1" x14ac:dyDescent="0.25">
      <c r="C76" s="10">
        <v>56</v>
      </c>
      <c r="D76" s="11"/>
      <c r="E76" s="10"/>
      <c r="F76" s="22" t="s">
        <v>284</v>
      </c>
      <c r="G76" s="7"/>
      <c r="H76" s="12"/>
      <c r="I76" s="7"/>
      <c r="J76" s="7"/>
      <c r="K76" s="7"/>
      <c r="L76" s="7"/>
      <c r="M76" s="7"/>
      <c r="N76" s="7"/>
      <c r="O76" s="7"/>
      <c r="P76" s="7"/>
      <c r="Q76" s="7"/>
      <c r="S76" s="1"/>
    </row>
    <row r="77" spans="3:19" ht="15.75" customHeight="1" x14ac:dyDescent="0.25">
      <c r="C77" s="10">
        <v>57</v>
      </c>
      <c r="D77" s="11"/>
      <c r="E77" s="10"/>
      <c r="F77" s="22" t="s">
        <v>71</v>
      </c>
      <c r="G77" s="7"/>
      <c r="H77" s="12"/>
      <c r="I77" s="7"/>
      <c r="J77" s="7"/>
      <c r="K77" s="7"/>
      <c r="L77" s="7"/>
      <c r="M77" s="7"/>
      <c r="N77" s="7"/>
      <c r="O77" s="7"/>
      <c r="P77" s="7"/>
      <c r="Q77" s="7"/>
      <c r="S77" s="1"/>
    </row>
    <row r="78" spans="3:19" ht="15.75" customHeight="1" x14ac:dyDescent="0.25">
      <c r="C78" s="10">
        <v>58</v>
      </c>
      <c r="D78" s="11"/>
      <c r="E78" s="10"/>
      <c r="F78" s="22" t="s">
        <v>51</v>
      </c>
      <c r="G78" s="7"/>
      <c r="H78" s="12"/>
      <c r="I78" s="7"/>
      <c r="J78" s="7"/>
      <c r="K78" s="7"/>
      <c r="L78" s="7"/>
      <c r="M78" s="7"/>
      <c r="N78" s="7"/>
      <c r="O78" s="7"/>
      <c r="P78" s="7"/>
      <c r="Q78" s="7"/>
      <c r="S78" s="1"/>
    </row>
    <row r="79" spans="3:19" ht="15.75" customHeight="1" x14ac:dyDescent="0.25">
      <c r="C79" s="10">
        <v>59</v>
      </c>
      <c r="D79" s="11"/>
      <c r="E79" s="10"/>
      <c r="F79" s="22" t="s">
        <v>362</v>
      </c>
      <c r="G79" s="7"/>
      <c r="H79" s="12"/>
      <c r="I79" s="7"/>
      <c r="J79" s="7"/>
      <c r="K79" s="7"/>
      <c r="L79" s="7"/>
      <c r="M79" s="7"/>
      <c r="N79" s="7"/>
      <c r="O79" s="7"/>
      <c r="P79" s="7"/>
      <c r="Q79" s="7"/>
      <c r="S79" s="1"/>
    </row>
    <row r="80" spans="3:19" ht="15.75" customHeight="1" x14ac:dyDescent="0.25">
      <c r="C80" s="10">
        <v>60</v>
      </c>
      <c r="D80" s="11"/>
      <c r="E80" s="10"/>
      <c r="F80" s="22" t="s">
        <v>193</v>
      </c>
      <c r="G80" s="7"/>
      <c r="H80" s="12"/>
      <c r="I80" s="7"/>
      <c r="J80" s="7"/>
      <c r="K80" s="7"/>
      <c r="L80" s="7"/>
      <c r="M80" s="7"/>
      <c r="N80" s="7"/>
      <c r="O80" s="7"/>
      <c r="P80" s="7"/>
      <c r="Q80" s="7"/>
      <c r="S80" s="1"/>
    </row>
    <row r="81" spans="3:19" ht="15.75" customHeight="1" x14ac:dyDescent="0.25">
      <c r="C81" s="10">
        <v>61</v>
      </c>
      <c r="D81" s="11"/>
      <c r="E81" s="10"/>
      <c r="F81" s="22" t="s">
        <v>90</v>
      </c>
      <c r="G81" s="7"/>
      <c r="H81" s="12"/>
      <c r="I81" s="7"/>
      <c r="J81" s="7"/>
      <c r="K81" s="7"/>
      <c r="L81" s="7"/>
      <c r="M81" s="7"/>
      <c r="N81" s="7"/>
      <c r="O81" s="7"/>
      <c r="P81" s="7"/>
      <c r="Q81" s="7"/>
      <c r="S81" s="1"/>
    </row>
    <row r="82" spans="3:19" ht="15.75" customHeight="1" x14ac:dyDescent="0.25">
      <c r="C82" s="10">
        <v>62</v>
      </c>
      <c r="D82" s="11"/>
      <c r="E82" s="10"/>
      <c r="F82" s="22" t="s">
        <v>394</v>
      </c>
      <c r="G82" s="7"/>
      <c r="H82" s="12"/>
      <c r="I82" s="7"/>
      <c r="J82" s="7"/>
      <c r="K82" s="7"/>
      <c r="L82" s="7"/>
      <c r="M82" s="7"/>
      <c r="N82" s="7"/>
      <c r="O82" s="7"/>
      <c r="P82" s="7"/>
      <c r="Q82" s="7"/>
    </row>
    <row r="83" spans="3:19" ht="15.75" customHeight="1" x14ac:dyDescent="0.25">
      <c r="C83" s="10">
        <v>63</v>
      </c>
      <c r="D83" s="11"/>
      <c r="E83" s="10"/>
      <c r="F83" s="22" t="s">
        <v>30</v>
      </c>
      <c r="G83" s="7"/>
      <c r="H83" s="12"/>
      <c r="I83" s="7"/>
      <c r="J83" s="7"/>
      <c r="K83" s="7"/>
      <c r="L83" s="7"/>
      <c r="M83" s="7"/>
      <c r="N83" s="7"/>
      <c r="O83" s="7"/>
      <c r="P83" s="7"/>
      <c r="Q83" s="7"/>
    </row>
    <row r="84" spans="3:19" ht="15.75" customHeight="1" x14ac:dyDescent="0.25">
      <c r="C84" s="10">
        <v>64</v>
      </c>
      <c r="D84" s="11"/>
      <c r="E84" s="10"/>
      <c r="F84" s="22" t="s">
        <v>80</v>
      </c>
      <c r="G84" s="7"/>
      <c r="H84" s="12"/>
      <c r="I84" s="7"/>
      <c r="J84" s="7"/>
      <c r="K84" s="7"/>
      <c r="L84" s="7"/>
      <c r="M84" s="7"/>
      <c r="N84" s="7"/>
      <c r="O84" s="7"/>
      <c r="P84" s="7"/>
      <c r="Q84" s="7"/>
    </row>
    <row r="85" spans="3:19" ht="15.75" customHeight="1" x14ac:dyDescent="0.25">
      <c r="C85" s="10">
        <v>65</v>
      </c>
      <c r="D85" s="11"/>
      <c r="E85" s="10"/>
      <c r="F85" s="22" t="s">
        <v>139</v>
      </c>
      <c r="G85" s="7"/>
      <c r="H85" s="12"/>
      <c r="I85" s="7"/>
      <c r="J85" s="7"/>
      <c r="K85" s="7"/>
      <c r="L85" s="7"/>
      <c r="M85" s="7"/>
      <c r="N85" s="7"/>
      <c r="O85" s="7"/>
      <c r="P85" s="7"/>
      <c r="Q85" s="7"/>
    </row>
    <row r="86" spans="3:19" ht="15.75" customHeight="1" x14ac:dyDescent="0.25">
      <c r="C86" s="10">
        <v>66</v>
      </c>
      <c r="D86" s="11"/>
      <c r="E86" s="10"/>
      <c r="F86" s="22" t="s">
        <v>255</v>
      </c>
      <c r="G86" s="7"/>
      <c r="H86" s="12"/>
      <c r="I86" s="7"/>
      <c r="J86" s="7"/>
      <c r="K86" s="7"/>
      <c r="L86" s="7"/>
      <c r="M86" s="7"/>
      <c r="N86" s="7"/>
      <c r="O86" s="7"/>
      <c r="P86" s="7"/>
      <c r="Q86" s="7"/>
    </row>
    <row r="87" spans="3:19" ht="15.75" customHeight="1" x14ac:dyDescent="0.25">
      <c r="C87" s="10">
        <v>67</v>
      </c>
      <c r="D87" s="11"/>
      <c r="E87" s="10"/>
      <c r="F87" s="22" t="s">
        <v>269</v>
      </c>
      <c r="G87" s="7"/>
      <c r="H87" s="12"/>
      <c r="I87" s="7"/>
      <c r="J87" s="7"/>
      <c r="K87" s="7"/>
      <c r="L87" s="7"/>
      <c r="M87" s="7"/>
      <c r="N87" s="7"/>
      <c r="O87" s="7"/>
      <c r="P87" s="7"/>
      <c r="Q87" s="7"/>
    </row>
    <row r="88" spans="3:19" ht="15.75" customHeight="1" x14ac:dyDescent="0.25">
      <c r="C88" s="10">
        <v>68</v>
      </c>
      <c r="D88" s="11"/>
      <c r="E88" s="10"/>
      <c r="F88" s="22" t="s">
        <v>37</v>
      </c>
      <c r="G88" s="7"/>
      <c r="H88" s="12"/>
      <c r="I88" s="7"/>
      <c r="J88" s="7"/>
      <c r="K88" s="7"/>
      <c r="L88" s="7"/>
      <c r="M88" s="7"/>
      <c r="N88" s="7"/>
      <c r="O88" s="7"/>
      <c r="P88" s="7"/>
      <c r="Q88" s="7"/>
    </row>
    <row r="89" spans="3:19" ht="15.75" customHeight="1" x14ac:dyDescent="0.25">
      <c r="C89" s="10">
        <v>69</v>
      </c>
      <c r="D89" s="11"/>
      <c r="E89" s="10"/>
      <c r="F89" s="22" t="s">
        <v>112</v>
      </c>
      <c r="G89" s="7"/>
      <c r="H89" s="12"/>
      <c r="I89" s="7"/>
      <c r="J89" s="7"/>
      <c r="K89" s="7"/>
      <c r="L89" s="7"/>
      <c r="M89" s="7"/>
      <c r="N89" s="7"/>
      <c r="O89" s="7"/>
      <c r="P89" s="7"/>
      <c r="Q89" s="7"/>
    </row>
    <row r="90" spans="3:19" ht="15.75" customHeight="1" x14ac:dyDescent="0.25">
      <c r="C90" s="10">
        <v>70</v>
      </c>
      <c r="D90" s="11"/>
      <c r="E90" s="10"/>
      <c r="F90" s="22" t="s">
        <v>325</v>
      </c>
      <c r="G90" s="7"/>
      <c r="H90" s="12"/>
      <c r="I90" s="7"/>
      <c r="J90" s="7"/>
      <c r="K90" s="7"/>
      <c r="L90" s="7"/>
      <c r="M90" s="7"/>
      <c r="N90" s="7"/>
      <c r="O90" s="7"/>
      <c r="P90" s="7"/>
      <c r="Q90" s="7"/>
    </row>
    <row r="91" spans="3:19" ht="15.75" customHeight="1" x14ac:dyDescent="0.25">
      <c r="C91" s="10">
        <v>71</v>
      </c>
      <c r="D91" s="11"/>
      <c r="E91" s="10"/>
      <c r="F91" s="22" t="s">
        <v>284</v>
      </c>
      <c r="G91" s="7"/>
      <c r="H91" s="12"/>
      <c r="I91" s="7"/>
      <c r="J91" s="7"/>
      <c r="K91" s="7"/>
      <c r="L91" s="7"/>
      <c r="M91" s="7"/>
      <c r="N91" s="7"/>
      <c r="O91" s="7"/>
      <c r="P91" s="7"/>
      <c r="Q91" s="14"/>
    </row>
    <row r="92" spans="3:19" ht="15.75" customHeight="1" x14ac:dyDescent="0.25">
      <c r="C92" s="10">
        <v>72</v>
      </c>
      <c r="D92" s="11"/>
      <c r="E92" s="10"/>
      <c r="F92" s="22" t="s">
        <v>43</v>
      </c>
      <c r="G92" s="7"/>
      <c r="H92" s="12"/>
      <c r="I92" s="7"/>
      <c r="J92" s="7"/>
      <c r="K92" s="7"/>
      <c r="L92" s="7"/>
      <c r="M92" s="7"/>
      <c r="N92" s="7"/>
      <c r="O92" s="7"/>
      <c r="P92" s="7"/>
      <c r="Q92" s="7"/>
    </row>
    <row r="93" spans="3:19" ht="15.75" customHeight="1" x14ac:dyDescent="0.25">
      <c r="C93" s="10">
        <v>73</v>
      </c>
      <c r="D93" s="11"/>
      <c r="E93" s="10"/>
      <c r="F93" s="22" t="s">
        <v>268</v>
      </c>
      <c r="G93" s="7"/>
      <c r="H93" s="12"/>
      <c r="I93" s="7"/>
      <c r="J93" s="7"/>
      <c r="K93" s="7"/>
      <c r="L93" s="7"/>
      <c r="M93" s="7"/>
      <c r="N93" s="7"/>
      <c r="O93" s="7"/>
      <c r="P93" s="7"/>
      <c r="Q93" s="7"/>
    </row>
    <row r="94" spans="3:19" ht="15.75" customHeight="1" x14ac:dyDescent="0.25">
      <c r="C94" s="10">
        <v>74</v>
      </c>
      <c r="D94" s="11"/>
      <c r="E94" s="10"/>
      <c r="F94" s="22" t="s">
        <v>30</v>
      </c>
      <c r="G94" s="7"/>
      <c r="H94" s="12"/>
      <c r="I94" s="7"/>
      <c r="J94" s="7"/>
      <c r="K94" s="7"/>
      <c r="L94" s="7"/>
      <c r="M94" s="7"/>
      <c r="N94" s="7"/>
      <c r="O94" s="7"/>
      <c r="P94" s="7"/>
      <c r="Q94" s="7"/>
    </row>
    <row r="95" spans="3:19" ht="15.75" customHeight="1" x14ac:dyDescent="0.25">
      <c r="C95" s="10">
        <v>75</v>
      </c>
      <c r="D95" s="11"/>
      <c r="E95" s="10"/>
      <c r="F95" s="22" t="s">
        <v>190</v>
      </c>
      <c r="G95" s="7"/>
      <c r="H95" s="12"/>
      <c r="I95" s="7"/>
      <c r="J95" s="7"/>
      <c r="K95" s="7"/>
      <c r="L95" s="7"/>
      <c r="M95" s="7"/>
      <c r="N95" s="7"/>
      <c r="O95" s="7"/>
      <c r="P95" s="7"/>
      <c r="Q95" s="7"/>
    </row>
    <row r="96" spans="3:19" ht="15.75" customHeight="1" x14ac:dyDescent="0.25">
      <c r="C96" s="10">
        <v>76</v>
      </c>
      <c r="D96" s="11"/>
      <c r="E96" s="10"/>
      <c r="F96" s="22" t="s">
        <v>331</v>
      </c>
      <c r="G96" s="7"/>
      <c r="H96" s="12"/>
      <c r="I96" s="7"/>
      <c r="J96" s="7"/>
      <c r="K96" s="7"/>
      <c r="L96" s="7"/>
      <c r="M96" s="7"/>
      <c r="N96" s="7"/>
      <c r="O96" s="7"/>
      <c r="P96" s="7"/>
      <c r="Q96" s="7"/>
    </row>
    <row r="97" spans="3:17" ht="15.75" customHeight="1" x14ac:dyDescent="0.25">
      <c r="C97" s="10">
        <v>77</v>
      </c>
      <c r="D97" s="11"/>
      <c r="E97" s="10"/>
      <c r="F97" s="22" t="s">
        <v>69</v>
      </c>
      <c r="G97" s="7"/>
      <c r="H97" s="12"/>
      <c r="I97" s="7"/>
      <c r="J97" s="7"/>
      <c r="K97" s="7"/>
      <c r="L97" s="7"/>
      <c r="M97" s="7"/>
      <c r="N97" s="7"/>
      <c r="O97" s="7"/>
      <c r="P97" s="7"/>
      <c r="Q97" s="7"/>
    </row>
    <row r="98" spans="3:17" ht="15.75" customHeight="1" x14ac:dyDescent="0.25">
      <c r="C98" s="10">
        <v>78</v>
      </c>
      <c r="D98" s="11"/>
      <c r="E98" s="10"/>
      <c r="F98" s="22" t="s">
        <v>52</v>
      </c>
      <c r="G98" s="7"/>
      <c r="H98" s="12"/>
      <c r="I98" s="7"/>
      <c r="J98" s="7"/>
      <c r="K98" s="7"/>
      <c r="L98" s="7"/>
      <c r="M98" s="7"/>
      <c r="N98" s="7"/>
      <c r="O98" s="7"/>
      <c r="P98" s="7"/>
      <c r="Q98" s="7"/>
    </row>
    <row r="99" spans="3:17" ht="15.75" customHeight="1" x14ac:dyDescent="0.25">
      <c r="C99" s="10">
        <v>79</v>
      </c>
      <c r="D99" s="11"/>
      <c r="E99" s="10"/>
      <c r="F99" s="22" t="s">
        <v>37</v>
      </c>
      <c r="G99" s="7"/>
      <c r="H99" s="12"/>
      <c r="I99" s="7"/>
      <c r="J99" s="7"/>
      <c r="K99" s="7"/>
      <c r="L99" s="7"/>
      <c r="M99" s="7"/>
      <c r="N99" s="7"/>
      <c r="O99" s="7"/>
      <c r="P99" s="7"/>
      <c r="Q99" s="7"/>
    </row>
    <row r="100" spans="3:17" ht="15.75" customHeight="1" x14ac:dyDescent="0.25">
      <c r="C100" s="10">
        <v>80</v>
      </c>
      <c r="D100" s="11"/>
      <c r="E100" s="10"/>
      <c r="F100" s="22" t="s">
        <v>220</v>
      </c>
      <c r="G100" s="7"/>
      <c r="H100" s="12"/>
      <c r="I100" s="7"/>
      <c r="J100" s="7"/>
      <c r="K100" s="7"/>
      <c r="L100" s="7"/>
      <c r="M100" s="7"/>
      <c r="N100" s="7"/>
      <c r="O100" s="7"/>
      <c r="P100" s="7"/>
      <c r="Q100" s="7"/>
    </row>
    <row r="101" spans="3:17" ht="15.75" customHeight="1" x14ac:dyDescent="0.25">
      <c r="C101" s="10">
        <v>81</v>
      </c>
      <c r="D101" s="11"/>
      <c r="E101" s="10"/>
      <c r="F101" s="22" t="s">
        <v>333</v>
      </c>
      <c r="G101" s="7"/>
      <c r="H101" s="12"/>
      <c r="I101" s="7"/>
      <c r="J101" s="7"/>
      <c r="K101" s="7"/>
      <c r="L101" s="7"/>
      <c r="M101" s="7"/>
      <c r="N101" s="7"/>
      <c r="O101" s="7"/>
      <c r="P101" s="7"/>
      <c r="Q101" s="7"/>
    </row>
    <row r="102" spans="3:17" ht="15.75" customHeight="1" x14ac:dyDescent="0.25">
      <c r="C102" s="13" t="s">
        <v>3</v>
      </c>
      <c r="D102" s="14"/>
      <c r="E102" s="13"/>
      <c r="F102" s="25"/>
      <c r="G102" s="14">
        <f>SUM(G21:G101)</f>
        <v>127100</v>
      </c>
      <c r="H102" s="14"/>
      <c r="I102" s="14">
        <f t="shared" ref="I102:Q102" si="8">SUM(I21:I101)</f>
        <v>76760</v>
      </c>
      <c r="J102" s="14">
        <f t="shared" si="8"/>
        <v>2300</v>
      </c>
      <c r="K102" s="14">
        <f t="shared" si="8"/>
        <v>2440</v>
      </c>
      <c r="L102" s="14">
        <f t="shared" si="8"/>
        <v>0</v>
      </c>
      <c r="M102" s="14">
        <f t="shared" si="8"/>
        <v>0</v>
      </c>
      <c r="N102" s="14">
        <f t="shared" si="8"/>
        <v>15500</v>
      </c>
      <c r="O102" s="14">
        <f t="shared" si="8"/>
        <v>2200</v>
      </c>
      <c r="P102" s="14">
        <f t="shared" si="8"/>
        <v>1500</v>
      </c>
      <c r="Q102" s="14">
        <f t="shared" si="8"/>
        <v>2100</v>
      </c>
    </row>
    <row r="103" spans="3:17" ht="15.75" customHeight="1" x14ac:dyDescent="0.25">
      <c r="C103" s="1"/>
      <c r="E103" s="1"/>
      <c r="F103" s="16"/>
    </row>
    <row r="104" spans="3:17" ht="15.75" customHeight="1" x14ac:dyDescent="0.25">
      <c r="C104" s="1"/>
      <c r="D104" s="1"/>
      <c r="E104" s="1"/>
      <c r="F104" s="16"/>
      <c r="I104" s="33">
        <f>SUM('June 24'!$I$102:'June 24'!$Q$102)</f>
        <v>102800</v>
      </c>
    </row>
    <row r="105" spans="3:17" ht="15.75" customHeight="1" x14ac:dyDescent="0.25">
      <c r="E105" s="1"/>
      <c r="F105" s="16"/>
    </row>
    <row r="106" spans="3:17" ht="15.75" customHeight="1" x14ac:dyDescent="0.25"/>
    <row r="107" spans="3:17" ht="15.75" customHeight="1" x14ac:dyDescent="0.25"/>
    <row r="108" spans="3:17" ht="15.75" customHeight="1" x14ac:dyDescent="0.25"/>
    <row r="109" spans="3:17" ht="15.75" customHeight="1" x14ac:dyDescent="0.25"/>
    <row r="110" spans="3:17" ht="15.75" customHeight="1" x14ac:dyDescent="0.25"/>
    <row r="111" spans="3:17" ht="15.75" customHeight="1" x14ac:dyDescent="0.25"/>
    <row r="112" spans="3:17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T33:V33"/>
    <mergeCell ref="T34:V34"/>
    <mergeCell ref="T35:V35"/>
    <mergeCell ref="T36:V36"/>
    <mergeCell ref="T37:V37"/>
    <mergeCell ref="T32:V32"/>
    <mergeCell ref="X32:Y32"/>
    <mergeCell ref="C11:D11"/>
    <mergeCell ref="C18:E18"/>
    <mergeCell ref="T20:W20"/>
    <mergeCell ref="T21:V21"/>
    <mergeCell ref="X31:Y31"/>
  </mergeCells>
  <pageMargins left="0.7" right="0.7" top="0.75" bottom="0.75" header="0" footer="0"/>
  <pageSetup orientation="portrait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C3:Z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8" customWidth="1"/>
    <col min="3" max="3" width="9.85546875" customWidth="1"/>
    <col min="4" max="4" width="12.7109375" customWidth="1"/>
    <col min="5" max="5" width="13.28515625" customWidth="1"/>
    <col min="6" max="6" width="9.42578125" customWidth="1"/>
    <col min="7" max="7" width="8.7109375" customWidth="1"/>
    <col min="8" max="8" width="12.28515625" customWidth="1"/>
    <col min="9" max="14" width="8.7109375" customWidth="1"/>
    <col min="15" max="15" width="11.7109375" customWidth="1"/>
    <col min="16" max="16" width="11.42578125" customWidth="1"/>
    <col min="17" max="17" width="11.85546875" customWidth="1"/>
    <col min="18" max="20" width="8.7109375" customWidth="1"/>
    <col min="21" max="21" width="10.7109375" customWidth="1"/>
    <col min="22" max="26" width="8.7109375" customWidth="1"/>
  </cols>
  <sheetData>
    <row r="3" spans="3:17" x14ac:dyDescent="0.25"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3:17" ht="15.75" x14ac:dyDescent="0.25">
      <c r="C4" s="1"/>
      <c r="D4" s="2" t="s">
        <v>596</v>
      </c>
      <c r="E4" s="17"/>
      <c r="F4" s="18"/>
      <c r="G4" s="2"/>
      <c r="H4" s="2"/>
      <c r="I4" s="2"/>
      <c r="J4" s="2"/>
      <c r="K4" s="8"/>
      <c r="L4" s="2"/>
      <c r="M4" s="3"/>
      <c r="N4" s="3"/>
      <c r="O4" s="65" t="s">
        <v>88</v>
      </c>
      <c r="P4" s="60" t="s">
        <v>2</v>
      </c>
      <c r="Q4" s="66" t="s">
        <v>117</v>
      </c>
    </row>
    <row r="5" spans="3:17" ht="15.75" x14ac:dyDescent="0.25">
      <c r="C5" s="1"/>
      <c r="D5" s="67" t="s">
        <v>1</v>
      </c>
      <c r="E5" s="44" t="s">
        <v>2</v>
      </c>
      <c r="F5" s="45">
        <v>1799</v>
      </c>
      <c r="G5" s="46">
        <v>2699</v>
      </c>
      <c r="H5" s="46">
        <v>588</v>
      </c>
      <c r="I5" s="46">
        <v>2088</v>
      </c>
      <c r="J5" s="46">
        <v>2488</v>
      </c>
      <c r="K5" s="46">
        <v>2688</v>
      </c>
      <c r="L5" s="45">
        <v>3099</v>
      </c>
      <c r="M5" s="62" t="s">
        <v>295</v>
      </c>
      <c r="N5" s="45" t="s">
        <v>3</v>
      </c>
      <c r="O5" s="47"/>
      <c r="P5" s="42"/>
      <c r="Q5" s="42"/>
    </row>
    <row r="6" spans="3:17" ht="17.25" x14ac:dyDescent="0.3">
      <c r="C6" s="1"/>
      <c r="D6" s="6" t="s">
        <v>259</v>
      </c>
      <c r="E6" s="12">
        <v>205777</v>
      </c>
      <c r="F6" s="12">
        <v>34900</v>
      </c>
      <c r="G6" s="12">
        <v>16805</v>
      </c>
      <c r="H6" s="12">
        <v>4020</v>
      </c>
      <c r="I6" s="12">
        <v>0</v>
      </c>
      <c r="J6" s="12">
        <v>1700</v>
      </c>
      <c r="K6" s="12">
        <v>6075</v>
      </c>
      <c r="L6" s="12">
        <v>7125</v>
      </c>
      <c r="M6" s="12">
        <v>1300</v>
      </c>
      <c r="N6" s="12">
        <v>262527</v>
      </c>
      <c r="O6" s="55">
        <f t="shared" ref="O6:O9" si="0">SUM(F6:M6)</f>
        <v>71925</v>
      </c>
      <c r="P6" s="56">
        <f t="shared" ref="P6:P9" si="1">E6</f>
        <v>205777</v>
      </c>
      <c r="Q6" s="57">
        <f>SUM(E6:M6)</f>
        <v>277702</v>
      </c>
    </row>
    <row r="7" spans="3:17" ht="18.75" x14ac:dyDescent="0.3">
      <c r="C7" s="1"/>
      <c r="D7" s="6" t="s">
        <v>365</v>
      </c>
      <c r="E7" s="7">
        <f>W32</f>
        <v>73256</v>
      </c>
      <c r="F7" s="7">
        <f t="shared" ref="F7:M7" si="2">F18</f>
        <v>0</v>
      </c>
      <c r="G7" s="7">
        <f t="shared" si="2"/>
        <v>0</v>
      </c>
      <c r="H7" s="7">
        <f t="shared" si="2"/>
        <v>0</v>
      </c>
      <c r="I7" s="7">
        <f t="shared" si="2"/>
        <v>0</v>
      </c>
      <c r="J7" s="7">
        <f t="shared" si="2"/>
        <v>0</v>
      </c>
      <c r="K7" s="7">
        <f t="shared" si="2"/>
        <v>0</v>
      </c>
      <c r="L7" s="7">
        <f t="shared" si="2"/>
        <v>0</v>
      </c>
      <c r="M7" s="7">
        <f t="shared" si="2"/>
        <v>0</v>
      </c>
      <c r="N7" s="7">
        <f t="shared" ref="N7:N8" si="3">SUM(E7:M7)</f>
        <v>73256</v>
      </c>
      <c r="O7" s="68">
        <f t="shared" si="0"/>
        <v>0</v>
      </c>
      <c r="P7" s="69">
        <f t="shared" si="1"/>
        <v>73256</v>
      </c>
      <c r="Q7" s="70">
        <f>O7+P7</f>
        <v>73256</v>
      </c>
    </row>
    <row r="8" spans="3:17" ht="21" x14ac:dyDescent="0.35">
      <c r="C8" s="1"/>
      <c r="D8" s="71" t="s">
        <v>597</v>
      </c>
      <c r="E8" s="48">
        <f>'July 24'!$I$102</f>
        <v>67880</v>
      </c>
      <c r="F8" s="48">
        <f>'July 24'!$J$102</f>
        <v>16500</v>
      </c>
      <c r="G8" s="49">
        <f>'July 24'!$K$102</f>
        <v>2000</v>
      </c>
      <c r="H8" s="49">
        <f>'July 24'!$L$102</f>
        <v>3040</v>
      </c>
      <c r="I8" s="49">
        <f>'July 24'!$M$102</f>
        <v>40</v>
      </c>
      <c r="J8" s="49">
        <f>'July 24'!$N$102</f>
        <v>1400</v>
      </c>
      <c r="K8" s="49">
        <f>'July 24'!$O$102</f>
        <v>3400</v>
      </c>
      <c r="L8" s="49">
        <f>'July 24'!$P$102</f>
        <v>6300</v>
      </c>
      <c r="M8" s="49">
        <f>'July 24'!$Q$102</f>
        <v>1200</v>
      </c>
      <c r="N8" s="72">
        <f t="shared" si="3"/>
        <v>101760</v>
      </c>
      <c r="O8" s="73">
        <f t="shared" si="0"/>
        <v>33880</v>
      </c>
      <c r="P8" s="74">
        <f t="shared" si="1"/>
        <v>67880</v>
      </c>
      <c r="Q8" s="75">
        <f t="shared" ref="Q8:Q9" si="4">SUM(O8,P8)</f>
        <v>101760</v>
      </c>
    </row>
    <row r="9" spans="3:17" ht="17.25" x14ac:dyDescent="0.3">
      <c r="C9" s="1"/>
      <c r="D9" s="6" t="s">
        <v>261</v>
      </c>
      <c r="E9" s="12">
        <f t="shared" ref="E9:M9" si="5">SUM(E6,E7-E8)</f>
        <v>211153</v>
      </c>
      <c r="F9" s="12">
        <f t="shared" si="5"/>
        <v>18400</v>
      </c>
      <c r="G9" s="12">
        <f t="shared" si="5"/>
        <v>14805</v>
      </c>
      <c r="H9" s="12">
        <f t="shared" si="5"/>
        <v>980</v>
      </c>
      <c r="I9" s="12">
        <f t="shared" si="5"/>
        <v>-40</v>
      </c>
      <c r="J9" s="12">
        <f t="shared" si="5"/>
        <v>300</v>
      </c>
      <c r="K9" s="12">
        <f t="shared" si="5"/>
        <v>2675</v>
      </c>
      <c r="L9" s="12">
        <f t="shared" si="5"/>
        <v>825</v>
      </c>
      <c r="M9" s="12">
        <f t="shared" si="5"/>
        <v>100</v>
      </c>
      <c r="N9" s="12">
        <f>SUM(N6+N7-N8)</f>
        <v>234023</v>
      </c>
      <c r="O9" s="55">
        <f t="shared" si="0"/>
        <v>38045</v>
      </c>
      <c r="P9" s="56">
        <f t="shared" si="1"/>
        <v>211153</v>
      </c>
      <c r="Q9" s="57">
        <f t="shared" si="4"/>
        <v>249198</v>
      </c>
    </row>
    <row r="10" spans="3:17" x14ac:dyDescent="0.25">
      <c r="C10" s="1"/>
      <c r="E10" s="1"/>
      <c r="F10" s="16"/>
    </row>
    <row r="11" spans="3:17" ht="15.75" x14ac:dyDescent="0.25">
      <c r="C11" s="103" t="s">
        <v>367</v>
      </c>
      <c r="D11" s="99"/>
      <c r="E11" s="21" t="s">
        <v>368</v>
      </c>
      <c r="F11" s="45">
        <v>1799</v>
      </c>
      <c r="G11" s="46">
        <v>2699</v>
      </c>
      <c r="H11" s="46">
        <v>588</v>
      </c>
      <c r="I11" s="46">
        <v>2088</v>
      </c>
      <c r="J11" s="46">
        <v>2488</v>
      </c>
      <c r="K11" s="46">
        <v>2688</v>
      </c>
      <c r="L11" s="45">
        <v>3099</v>
      </c>
      <c r="M11" s="62" t="s">
        <v>295</v>
      </c>
      <c r="N11" s="45" t="s">
        <v>3</v>
      </c>
      <c r="O11" s="76" t="s">
        <v>369</v>
      </c>
      <c r="P11" s="76" t="s">
        <v>370</v>
      </c>
    </row>
    <row r="12" spans="3:17" x14ac:dyDescent="0.25">
      <c r="C12" s="9" t="s">
        <v>371</v>
      </c>
      <c r="D12" s="79" t="s">
        <v>372</v>
      </c>
      <c r="E12" s="9" t="s">
        <v>373</v>
      </c>
      <c r="F12" s="22"/>
      <c r="G12" s="7"/>
      <c r="H12" s="7"/>
      <c r="I12" s="7"/>
      <c r="J12" s="7"/>
      <c r="K12" s="7"/>
      <c r="L12" s="7"/>
      <c r="M12" s="7"/>
      <c r="N12" s="7">
        <f>SUM(F12:M12)</f>
        <v>0</v>
      </c>
      <c r="O12" s="10"/>
      <c r="P12" s="10"/>
    </row>
    <row r="13" spans="3:17" x14ac:dyDescent="0.25">
      <c r="C13" s="10">
        <v>1</v>
      </c>
      <c r="D13" s="7" t="s">
        <v>374</v>
      </c>
      <c r="E13" s="78"/>
      <c r="F13" s="10"/>
      <c r="G13" s="7"/>
      <c r="H13" s="7"/>
      <c r="I13" s="7"/>
      <c r="J13" s="7"/>
      <c r="K13" s="7"/>
      <c r="L13" s="7"/>
      <c r="M13" s="7"/>
      <c r="N13" s="7"/>
      <c r="O13" s="10"/>
      <c r="P13" s="10"/>
    </row>
    <row r="14" spans="3:17" x14ac:dyDescent="0.25">
      <c r="C14" s="10">
        <v>2</v>
      </c>
      <c r="D14" s="7" t="s">
        <v>376</v>
      </c>
      <c r="E14" s="78"/>
      <c r="F14" s="22"/>
      <c r="G14" s="7"/>
      <c r="H14" s="7"/>
      <c r="I14" s="7"/>
      <c r="J14" s="7"/>
      <c r="K14" s="7"/>
      <c r="L14" s="7"/>
      <c r="M14" s="7"/>
      <c r="N14" s="7"/>
      <c r="O14" s="10"/>
      <c r="P14" s="10"/>
    </row>
    <row r="15" spans="3:17" x14ac:dyDescent="0.25">
      <c r="C15" s="10">
        <v>3</v>
      </c>
      <c r="D15" s="7" t="s">
        <v>376</v>
      </c>
      <c r="E15" s="78"/>
      <c r="F15" s="22"/>
      <c r="G15" s="7"/>
      <c r="H15" s="7"/>
      <c r="I15" s="7"/>
      <c r="J15" s="7"/>
      <c r="K15" s="7"/>
      <c r="L15" s="7"/>
      <c r="M15" s="7"/>
      <c r="N15" s="7"/>
      <c r="O15" s="10"/>
      <c r="P15" s="10"/>
    </row>
    <row r="16" spans="3:17" x14ac:dyDescent="0.25">
      <c r="C16" s="10">
        <v>4</v>
      </c>
      <c r="D16" s="7" t="s">
        <v>374</v>
      </c>
      <c r="E16" s="78"/>
      <c r="F16" s="22"/>
      <c r="G16" s="7"/>
      <c r="H16" s="7"/>
      <c r="I16" s="7"/>
      <c r="J16" s="7"/>
      <c r="K16" s="7"/>
      <c r="L16" s="7"/>
      <c r="M16" s="7"/>
      <c r="N16" s="7"/>
      <c r="O16" s="10"/>
      <c r="P16" s="10"/>
    </row>
    <row r="17" spans="3:26" x14ac:dyDescent="0.25">
      <c r="C17" s="10">
        <v>5</v>
      </c>
      <c r="D17" s="7" t="s">
        <v>378</v>
      </c>
      <c r="E17" s="11"/>
      <c r="F17" s="7"/>
      <c r="G17" s="7"/>
      <c r="H17" s="7"/>
      <c r="I17" s="7"/>
      <c r="J17" s="7"/>
      <c r="K17" s="7"/>
      <c r="L17" s="7"/>
      <c r="M17" s="7"/>
      <c r="N17" s="7"/>
      <c r="O17" s="10"/>
      <c r="P17" s="10"/>
    </row>
    <row r="18" spans="3:26" x14ac:dyDescent="0.25">
      <c r="C18" s="104" t="s">
        <v>3</v>
      </c>
      <c r="D18" s="98"/>
      <c r="E18" s="99"/>
      <c r="F18" s="7">
        <f t="shared" ref="F18:M18" si="6">SUM(F12:F17)</f>
        <v>0</v>
      </c>
      <c r="G18" s="7">
        <f t="shared" si="6"/>
        <v>0</v>
      </c>
      <c r="H18" s="7">
        <f t="shared" si="6"/>
        <v>0</v>
      </c>
      <c r="I18" s="7">
        <f t="shared" si="6"/>
        <v>0</v>
      </c>
      <c r="J18" s="7">
        <f t="shared" si="6"/>
        <v>0</v>
      </c>
      <c r="K18" s="7">
        <f t="shared" si="6"/>
        <v>0</v>
      </c>
      <c r="L18" s="7">
        <f t="shared" si="6"/>
        <v>0</v>
      </c>
      <c r="M18" s="7">
        <f t="shared" si="6"/>
        <v>0</v>
      </c>
      <c r="N18" s="7">
        <f>SUM(F18:M18)</f>
        <v>0</v>
      </c>
      <c r="O18" s="10"/>
      <c r="P18" s="10"/>
    </row>
    <row r="19" spans="3:26" x14ac:dyDescent="0.25">
      <c r="C19" s="1"/>
      <c r="E19" s="1"/>
      <c r="F19" s="16"/>
    </row>
    <row r="20" spans="3:26" ht="15.75" x14ac:dyDescent="0.25">
      <c r="C20" s="9" t="s">
        <v>8</v>
      </c>
      <c r="D20" s="4" t="s">
        <v>9</v>
      </c>
      <c r="E20" s="20" t="s">
        <v>10</v>
      </c>
      <c r="F20" s="20" t="s">
        <v>11</v>
      </c>
      <c r="G20" s="4" t="s">
        <v>4</v>
      </c>
      <c r="H20" s="4" t="s">
        <v>12</v>
      </c>
      <c r="I20" s="4" t="s">
        <v>2</v>
      </c>
      <c r="J20" s="4" t="s">
        <v>13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19</v>
      </c>
      <c r="P20" s="39" t="s">
        <v>204</v>
      </c>
      <c r="Q20" s="63" t="s">
        <v>295</v>
      </c>
      <c r="R20" s="39" t="s">
        <v>598</v>
      </c>
      <c r="T20" s="101" t="s">
        <v>118</v>
      </c>
      <c r="U20" s="102"/>
      <c r="V20" s="102"/>
      <c r="W20" s="102"/>
    </row>
    <row r="21" spans="3:26" ht="15.75" customHeight="1" x14ac:dyDescent="0.25">
      <c r="C21" s="10">
        <v>1</v>
      </c>
      <c r="D21" s="11">
        <v>45474</v>
      </c>
      <c r="E21" s="10">
        <v>115</v>
      </c>
      <c r="F21" s="22" t="s">
        <v>80</v>
      </c>
      <c r="G21" s="7">
        <v>400</v>
      </c>
      <c r="H21" s="12">
        <v>128</v>
      </c>
      <c r="I21" s="7">
        <v>400</v>
      </c>
      <c r="J21" s="7"/>
      <c r="K21" s="7"/>
      <c r="L21" s="7"/>
      <c r="M21" s="7"/>
      <c r="N21" s="7"/>
      <c r="O21" s="7"/>
      <c r="P21" s="7"/>
      <c r="Q21" s="40"/>
      <c r="R21" s="40"/>
      <c r="T21" s="97" t="s">
        <v>172</v>
      </c>
      <c r="U21" s="98"/>
      <c r="V21" s="98"/>
      <c r="W21" s="34"/>
    </row>
    <row r="22" spans="3:26" ht="15.75" customHeight="1" x14ac:dyDescent="0.25">
      <c r="C22" s="10">
        <v>2</v>
      </c>
      <c r="D22" s="11">
        <v>45474</v>
      </c>
      <c r="E22" s="10">
        <v>116</v>
      </c>
      <c r="F22" s="22" t="s">
        <v>139</v>
      </c>
      <c r="G22" s="7">
        <v>1100</v>
      </c>
      <c r="H22" s="31">
        <v>127</v>
      </c>
      <c r="I22" s="7">
        <v>1100</v>
      </c>
      <c r="J22" s="7"/>
      <c r="K22" s="7"/>
      <c r="L22" s="7"/>
      <c r="M22" s="7"/>
      <c r="N22" s="7"/>
      <c r="O22" s="7"/>
      <c r="P22" s="7"/>
      <c r="Q22" s="7"/>
      <c r="R22" s="7"/>
      <c r="T22" s="10" t="s">
        <v>121</v>
      </c>
      <c r="U22" s="7" t="s">
        <v>9</v>
      </c>
      <c r="V22" s="7" t="s">
        <v>122</v>
      </c>
      <c r="W22" s="7" t="s">
        <v>4</v>
      </c>
      <c r="X22" s="7" t="s">
        <v>549</v>
      </c>
      <c r="Y22" s="7" t="s">
        <v>576</v>
      </c>
      <c r="Z22" s="7" t="s">
        <v>577</v>
      </c>
    </row>
    <row r="23" spans="3:26" ht="15.75" customHeight="1" x14ac:dyDescent="0.25">
      <c r="C23" s="10">
        <v>3</v>
      </c>
      <c r="D23" s="11">
        <v>45474</v>
      </c>
      <c r="E23" s="10">
        <v>117</v>
      </c>
      <c r="F23" s="22" t="s">
        <v>26</v>
      </c>
      <c r="G23" s="7">
        <v>100</v>
      </c>
      <c r="H23" s="12">
        <v>190</v>
      </c>
      <c r="I23" s="7"/>
      <c r="J23" s="7"/>
      <c r="K23" s="7"/>
      <c r="L23" s="7"/>
      <c r="M23" s="7"/>
      <c r="N23" s="7"/>
      <c r="O23" s="7">
        <v>100</v>
      </c>
      <c r="P23" s="7"/>
      <c r="Q23" s="7"/>
      <c r="R23" s="7"/>
      <c r="T23" s="10">
        <v>1</v>
      </c>
      <c r="U23" s="41">
        <v>45489</v>
      </c>
      <c r="V23" s="7" t="s">
        <v>426</v>
      </c>
      <c r="W23" s="7">
        <v>17033</v>
      </c>
      <c r="X23" s="76">
        <v>75</v>
      </c>
      <c r="Y23" s="10">
        <v>5</v>
      </c>
      <c r="Z23" s="7">
        <f t="shared" ref="Z23:Z30" si="7">W23*X23</f>
        <v>1277475</v>
      </c>
    </row>
    <row r="24" spans="3:26" ht="15.75" customHeight="1" x14ac:dyDescent="0.25">
      <c r="C24" s="10">
        <v>4</v>
      </c>
      <c r="D24" s="11">
        <v>45474</v>
      </c>
      <c r="E24" s="10">
        <v>118</v>
      </c>
      <c r="F24" s="22" t="s">
        <v>584</v>
      </c>
      <c r="G24" s="7">
        <v>500</v>
      </c>
      <c r="H24" s="12">
        <v>114</v>
      </c>
      <c r="I24" s="7">
        <v>500</v>
      </c>
      <c r="J24" s="7"/>
      <c r="K24" s="7"/>
      <c r="L24" s="7"/>
      <c r="M24" s="7"/>
      <c r="N24" s="7"/>
      <c r="O24" s="7"/>
      <c r="P24" s="7"/>
      <c r="Q24" s="7"/>
      <c r="R24" s="7"/>
      <c r="T24" s="10">
        <v>2</v>
      </c>
      <c r="U24" s="41">
        <v>45491</v>
      </c>
      <c r="V24" s="7" t="s">
        <v>599</v>
      </c>
      <c r="W24" s="7">
        <v>19123</v>
      </c>
      <c r="X24" s="76">
        <v>85</v>
      </c>
      <c r="Y24" s="10">
        <v>13</v>
      </c>
      <c r="Z24" s="7">
        <f t="shared" si="7"/>
        <v>1625455</v>
      </c>
    </row>
    <row r="25" spans="3:26" ht="15.75" customHeight="1" x14ac:dyDescent="0.25">
      <c r="C25" s="10">
        <v>5</v>
      </c>
      <c r="D25" s="11">
        <v>45474</v>
      </c>
      <c r="E25" s="10">
        <v>119</v>
      </c>
      <c r="F25" s="22" t="s">
        <v>600</v>
      </c>
      <c r="G25" s="7">
        <v>100</v>
      </c>
      <c r="H25" s="12">
        <v>183</v>
      </c>
      <c r="I25" s="7"/>
      <c r="J25" s="7"/>
      <c r="K25" s="7"/>
      <c r="L25" s="7"/>
      <c r="M25" s="7"/>
      <c r="N25" s="7"/>
      <c r="O25" s="7">
        <v>100</v>
      </c>
      <c r="P25" s="7"/>
      <c r="Q25" s="7"/>
      <c r="R25" s="7"/>
      <c r="T25" s="10">
        <v>3</v>
      </c>
      <c r="U25" s="41">
        <v>45492</v>
      </c>
      <c r="V25" s="7" t="s">
        <v>426</v>
      </c>
      <c r="W25" s="7">
        <v>19438</v>
      </c>
      <c r="X25" s="76">
        <v>90</v>
      </c>
      <c r="Y25" s="10">
        <v>8</v>
      </c>
      <c r="Z25" s="7">
        <f t="shared" si="7"/>
        <v>1749420</v>
      </c>
    </row>
    <row r="26" spans="3:26" ht="15.75" customHeight="1" x14ac:dyDescent="0.25">
      <c r="C26" s="10">
        <v>6</v>
      </c>
      <c r="D26" s="11">
        <v>45474</v>
      </c>
      <c r="E26" s="10" t="s">
        <v>601</v>
      </c>
      <c r="F26" s="22" t="s">
        <v>104</v>
      </c>
      <c r="G26" s="7">
        <v>300</v>
      </c>
      <c r="H26" s="12" t="s">
        <v>285</v>
      </c>
      <c r="I26" s="7">
        <v>200</v>
      </c>
      <c r="J26" s="7"/>
      <c r="K26" s="7"/>
      <c r="L26" s="7"/>
      <c r="M26" s="7"/>
      <c r="N26" s="7"/>
      <c r="O26" s="7">
        <v>100</v>
      </c>
      <c r="P26" s="7"/>
      <c r="Q26" s="7"/>
      <c r="R26" s="7"/>
      <c r="T26" s="10">
        <v>4</v>
      </c>
      <c r="U26" s="41">
        <v>45499</v>
      </c>
      <c r="V26" s="7" t="s">
        <v>426</v>
      </c>
      <c r="W26" s="7">
        <v>17662</v>
      </c>
      <c r="X26" s="76">
        <v>78</v>
      </c>
      <c r="Y26" s="10">
        <v>12</v>
      </c>
      <c r="Z26" s="7">
        <f t="shared" si="7"/>
        <v>1377636</v>
      </c>
    </row>
    <row r="27" spans="3:26" ht="15.75" customHeight="1" x14ac:dyDescent="0.25">
      <c r="C27" s="10">
        <v>7</v>
      </c>
      <c r="D27" s="11">
        <v>45476</v>
      </c>
      <c r="E27" s="10" t="s">
        <v>27</v>
      </c>
      <c r="F27" s="22" t="s">
        <v>69</v>
      </c>
      <c r="G27" s="7">
        <v>300</v>
      </c>
      <c r="H27" s="12">
        <v>189</v>
      </c>
      <c r="I27" s="7"/>
      <c r="J27" s="7"/>
      <c r="K27" s="7"/>
      <c r="L27" s="7"/>
      <c r="M27" s="7"/>
      <c r="N27" s="7"/>
      <c r="O27" s="7"/>
      <c r="P27" s="7">
        <v>300</v>
      </c>
      <c r="Q27" s="7"/>
      <c r="R27" s="7"/>
      <c r="T27" s="10">
        <v>5</v>
      </c>
      <c r="U27" s="41"/>
      <c r="V27" s="7" t="s">
        <v>579</v>
      </c>
      <c r="W27" s="7"/>
      <c r="X27" s="76">
        <v>78</v>
      </c>
      <c r="Y27" s="10" t="s">
        <v>580</v>
      </c>
      <c r="Z27" s="7">
        <f t="shared" si="7"/>
        <v>0</v>
      </c>
    </row>
    <row r="28" spans="3:26" ht="15.75" customHeight="1" x14ac:dyDescent="0.25">
      <c r="C28" s="10">
        <v>8</v>
      </c>
      <c r="D28" s="11">
        <v>45476</v>
      </c>
      <c r="E28" s="10" t="s">
        <v>27</v>
      </c>
      <c r="F28" s="22" t="s">
        <v>30</v>
      </c>
      <c r="G28" s="7">
        <v>200</v>
      </c>
      <c r="H28" s="12">
        <v>209</v>
      </c>
      <c r="I28" s="7"/>
      <c r="J28" s="7"/>
      <c r="K28" s="7"/>
      <c r="L28" s="7"/>
      <c r="M28" s="7"/>
      <c r="N28" s="7"/>
      <c r="O28" s="7"/>
      <c r="P28" s="7"/>
      <c r="Q28" s="7">
        <v>200</v>
      </c>
      <c r="R28" s="7"/>
      <c r="T28" s="10">
        <v>6</v>
      </c>
      <c r="U28" s="41"/>
      <c r="V28" s="7" t="s">
        <v>552</v>
      </c>
      <c r="W28" s="7"/>
      <c r="X28" s="7"/>
      <c r="Y28" s="7"/>
      <c r="Z28" s="7">
        <f t="shared" si="7"/>
        <v>0</v>
      </c>
    </row>
    <row r="29" spans="3:26" ht="15.75" customHeight="1" x14ac:dyDescent="0.25">
      <c r="C29" s="10">
        <v>9</v>
      </c>
      <c r="D29" s="11">
        <v>45475</v>
      </c>
      <c r="E29" s="10">
        <v>122</v>
      </c>
      <c r="F29" s="22" t="s">
        <v>394</v>
      </c>
      <c r="G29" s="7">
        <v>10000</v>
      </c>
      <c r="H29" s="12">
        <v>99</v>
      </c>
      <c r="I29" s="7">
        <v>10000</v>
      </c>
      <c r="J29" s="7"/>
      <c r="K29" s="7"/>
      <c r="L29" s="7"/>
      <c r="M29" s="7"/>
      <c r="N29" s="7"/>
      <c r="O29" s="7"/>
      <c r="P29" s="7"/>
      <c r="Q29" s="7"/>
      <c r="R29" s="7"/>
      <c r="T29" s="10">
        <v>7</v>
      </c>
      <c r="U29" s="41"/>
      <c r="V29" s="7" t="s">
        <v>552</v>
      </c>
      <c r="W29" s="7"/>
      <c r="X29" s="7"/>
      <c r="Y29" s="7"/>
      <c r="Z29" s="7">
        <f t="shared" si="7"/>
        <v>0</v>
      </c>
    </row>
    <row r="30" spans="3:26" ht="15.75" customHeight="1" x14ac:dyDescent="0.25">
      <c r="C30" s="10">
        <v>10</v>
      </c>
      <c r="D30" s="11">
        <v>45476</v>
      </c>
      <c r="E30" s="10" t="s">
        <v>602</v>
      </c>
      <c r="F30" s="22" t="s">
        <v>162</v>
      </c>
      <c r="G30" s="7">
        <v>140</v>
      </c>
      <c r="H30" s="12">
        <v>117</v>
      </c>
      <c r="I30" s="7">
        <v>140</v>
      </c>
      <c r="J30" s="7"/>
      <c r="K30" s="7"/>
      <c r="L30" s="7"/>
      <c r="M30" s="7"/>
      <c r="N30" s="7"/>
      <c r="O30" s="7"/>
      <c r="P30" s="7"/>
      <c r="Q30" s="7"/>
      <c r="R30" s="7"/>
      <c r="T30" s="10">
        <v>8</v>
      </c>
      <c r="U30" s="11"/>
      <c r="V30" s="7"/>
      <c r="W30" s="7"/>
      <c r="X30" s="7"/>
      <c r="Y30" s="7"/>
      <c r="Z30" s="7">
        <f t="shared" si="7"/>
        <v>0</v>
      </c>
    </row>
    <row r="31" spans="3:26" ht="15.75" customHeight="1" x14ac:dyDescent="0.25">
      <c r="C31" s="10">
        <v>11</v>
      </c>
      <c r="D31" s="11">
        <v>45476</v>
      </c>
      <c r="E31" s="10" t="s">
        <v>327</v>
      </c>
      <c r="F31" s="22" t="s">
        <v>43</v>
      </c>
      <c r="G31" s="7">
        <v>7500</v>
      </c>
      <c r="H31" s="12" t="s">
        <v>603</v>
      </c>
      <c r="I31" s="7"/>
      <c r="J31" s="7">
        <v>5000</v>
      </c>
      <c r="K31" s="7">
        <v>1000</v>
      </c>
      <c r="L31" s="7">
        <v>1500</v>
      </c>
      <c r="M31" s="7"/>
      <c r="N31" s="7"/>
      <c r="O31" s="7"/>
      <c r="P31" s="7"/>
      <c r="Q31" s="7"/>
      <c r="R31" s="7"/>
      <c r="T31" s="10"/>
      <c r="U31" s="7"/>
      <c r="V31" s="7"/>
      <c r="W31" s="7"/>
      <c r="X31" s="104" t="s">
        <v>581</v>
      </c>
      <c r="Y31" s="99"/>
      <c r="Z31" s="7">
        <f>SUM(Z23:Z30)</f>
        <v>6029986</v>
      </c>
    </row>
    <row r="32" spans="3:26" ht="15.75" customHeight="1" x14ac:dyDescent="0.25">
      <c r="C32" s="10">
        <v>12</v>
      </c>
      <c r="D32" s="11">
        <v>45479</v>
      </c>
      <c r="E32" s="10">
        <v>126</v>
      </c>
      <c r="F32" s="22" t="s">
        <v>394</v>
      </c>
      <c r="G32" s="7">
        <v>10000</v>
      </c>
      <c r="H32" s="12">
        <v>99</v>
      </c>
      <c r="I32" s="7">
        <v>10000</v>
      </c>
      <c r="J32" s="7"/>
      <c r="K32" s="7"/>
      <c r="L32" s="7"/>
      <c r="M32" s="7"/>
      <c r="N32" s="7"/>
      <c r="O32" s="7"/>
      <c r="P32" s="7"/>
      <c r="Q32" s="7"/>
      <c r="R32" s="7"/>
      <c r="T32" s="97" t="s">
        <v>181</v>
      </c>
      <c r="U32" s="98"/>
      <c r="V32" s="99"/>
      <c r="W32" s="7">
        <f>SUM(W23:W30)</f>
        <v>73256</v>
      </c>
      <c r="X32" s="104" t="s">
        <v>582</v>
      </c>
      <c r="Y32" s="99"/>
      <c r="Z32" s="7">
        <f>Z31/W32</f>
        <v>82.313885552036695</v>
      </c>
    </row>
    <row r="33" spans="3:23" ht="15.75" customHeight="1" x14ac:dyDescent="0.25">
      <c r="C33" s="10">
        <v>13</v>
      </c>
      <c r="D33" s="11">
        <v>45479</v>
      </c>
      <c r="E33" s="10" t="s">
        <v>604</v>
      </c>
      <c r="F33" s="22" t="s">
        <v>394</v>
      </c>
      <c r="G33" s="7">
        <v>500</v>
      </c>
      <c r="H33" s="12">
        <v>175</v>
      </c>
      <c r="I33" s="7"/>
      <c r="J33" s="7"/>
      <c r="K33" s="7"/>
      <c r="L33" s="7"/>
      <c r="M33" s="7"/>
      <c r="N33" s="7">
        <v>500</v>
      </c>
      <c r="O33" s="7"/>
      <c r="P33" s="7"/>
      <c r="Q33" s="7"/>
      <c r="R33" s="7"/>
      <c r="T33" s="97" t="s">
        <v>183</v>
      </c>
      <c r="U33" s="98"/>
      <c r="V33" s="99"/>
      <c r="W33" s="7">
        <v>205777</v>
      </c>
    </row>
    <row r="34" spans="3:23" ht="15.75" customHeight="1" x14ac:dyDescent="0.25">
      <c r="C34" s="10">
        <v>14</v>
      </c>
      <c r="D34" s="11">
        <v>45481</v>
      </c>
      <c r="E34" s="10" t="s">
        <v>605</v>
      </c>
      <c r="F34" s="22" t="s">
        <v>606</v>
      </c>
      <c r="G34" s="7">
        <v>1000</v>
      </c>
      <c r="H34" s="12">
        <v>170</v>
      </c>
      <c r="I34" s="7"/>
      <c r="J34" s="7"/>
      <c r="K34" s="7">
        <v>1000</v>
      </c>
      <c r="L34" s="7"/>
      <c r="M34" s="7"/>
      <c r="N34" s="7"/>
      <c r="O34" s="7"/>
      <c r="P34" s="7"/>
      <c r="Q34" s="7"/>
      <c r="R34" s="7"/>
      <c r="T34" s="97" t="s">
        <v>184</v>
      </c>
      <c r="U34" s="98"/>
      <c r="V34" s="99"/>
      <c r="W34" s="35">
        <f>SUM(W32,W33)</f>
        <v>279033</v>
      </c>
    </row>
    <row r="35" spans="3:23" ht="15.75" customHeight="1" x14ac:dyDescent="0.25">
      <c r="C35" s="10">
        <v>15</v>
      </c>
      <c r="D35" s="11">
        <v>45481</v>
      </c>
      <c r="E35" s="10" t="s">
        <v>607</v>
      </c>
      <c r="F35" s="22" t="s">
        <v>608</v>
      </c>
      <c r="G35" s="7">
        <v>3000</v>
      </c>
      <c r="H35" s="12">
        <v>159</v>
      </c>
      <c r="I35" s="7"/>
      <c r="J35" s="7">
        <v>3000</v>
      </c>
      <c r="K35" s="7"/>
      <c r="L35" s="7"/>
      <c r="M35" s="7"/>
      <c r="N35" s="7"/>
      <c r="O35" s="7"/>
      <c r="P35" s="7"/>
      <c r="Q35" s="7"/>
      <c r="R35" s="7"/>
      <c r="T35" s="97" t="s">
        <v>186</v>
      </c>
      <c r="U35" s="98"/>
      <c r="V35" s="99"/>
      <c r="W35" s="7">
        <f>'July 24'!$I$102</f>
        <v>67880</v>
      </c>
    </row>
    <row r="36" spans="3:23" ht="15.75" customHeight="1" x14ac:dyDescent="0.25">
      <c r="C36" s="10">
        <v>16</v>
      </c>
      <c r="D36" s="11">
        <v>45482</v>
      </c>
      <c r="E36" s="10">
        <v>128</v>
      </c>
      <c r="F36" s="22" t="s">
        <v>609</v>
      </c>
      <c r="G36" s="7">
        <v>80</v>
      </c>
      <c r="H36" s="12">
        <v>178</v>
      </c>
      <c r="I36" s="7"/>
      <c r="J36" s="7"/>
      <c r="K36" s="7"/>
      <c r="L36" s="7">
        <v>40</v>
      </c>
      <c r="M36" s="7">
        <v>40</v>
      </c>
      <c r="N36" s="7"/>
      <c r="O36" s="7"/>
      <c r="P36" s="7"/>
      <c r="Q36" s="7"/>
      <c r="R36" s="7" t="s">
        <v>610</v>
      </c>
      <c r="T36" s="97"/>
      <c r="U36" s="98"/>
      <c r="V36" s="99"/>
      <c r="W36" s="7"/>
    </row>
    <row r="37" spans="3:23" ht="15.75" customHeight="1" x14ac:dyDescent="0.25">
      <c r="C37" s="10">
        <v>17</v>
      </c>
      <c r="D37" s="11">
        <v>45484</v>
      </c>
      <c r="E37" s="10">
        <v>130</v>
      </c>
      <c r="F37" s="22" t="s">
        <v>611</v>
      </c>
      <c r="G37" s="7">
        <v>1500</v>
      </c>
      <c r="H37" s="12">
        <v>171</v>
      </c>
      <c r="I37" s="7"/>
      <c r="J37" s="7"/>
      <c r="K37" s="7"/>
      <c r="L37" s="7">
        <v>1500</v>
      </c>
      <c r="M37" s="7"/>
      <c r="N37" s="7"/>
      <c r="O37" s="7"/>
      <c r="P37" s="7"/>
      <c r="Q37" s="7"/>
      <c r="R37" s="7"/>
      <c r="T37" s="100" t="s">
        <v>188</v>
      </c>
      <c r="U37" s="98"/>
      <c r="V37" s="99"/>
      <c r="W37" s="36">
        <f>SUM(W34-W35)</f>
        <v>211153</v>
      </c>
    </row>
    <row r="38" spans="3:23" ht="15.75" customHeight="1" x14ac:dyDescent="0.25">
      <c r="C38" s="10">
        <v>18</v>
      </c>
      <c r="D38" s="11">
        <v>45486</v>
      </c>
      <c r="E38" s="10">
        <v>134</v>
      </c>
      <c r="F38" s="22" t="s">
        <v>394</v>
      </c>
      <c r="G38" s="7">
        <v>10000</v>
      </c>
      <c r="H38" s="12">
        <v>99</v>
      </c>
      <c r="I38" s="7">
        <v>10000</v>
      </c>
      <c r="J38" s="7"/>
      <c r="K38" s="7"/>
      <c r="L38" s="7"/>
      <c r="M38" s="7"/>
      <c r="N38" s="7"/>
      <c r="O38" s="7"/>
      <c r="P38" s="7"/>
      <c r="Q38" s="7"/>
      <c r="R38" s="7"/>
    </row>
    <row r="39" spans="3:23" ht="15.75" customHeight="1" x14ac:dyDescent="0.25">
      <c r="C39" s="10">
        <v>18</v>
      </c>
      <c r="D39" s="11">
        <v>45483</v>
      </c>
      <c r="E39" s="24" t="s">
        <v>612</v>
      </c>
      <c r="F39" s="22" t="s">
        <v>268</v>
      </c>
      <c r="G39" s="7">
        <v>1100</v>
      </c>
      <c r="H39" s="12" t="s">
        <v>613</v>
      </c>
      <c r="I39" s="7"/>
      <c r="J39" s="7"/>
      <c r="K39" s="7"/>
      <c r="L39" s="7"/>
      <c r="M39" s="7"/>
      <c r="N39" s="7">
        <v>900</v>
      </c>
      <c r="O39" s="7"/>
      <c r="P39" s="7"/>
      <c r="Q39" s="7">
        <v>200</v>
      </c>
      <c r="R39" s="7"/>
    </row>
    <row r="40" spans="3:23" ht="15.75" customHeight="1" x14ac:dyDescent="0.25">
      <c r="C40" s="10">
        <v>19</v>
      </c>
      <c r="D40" s="11">
        <v>45486</v>
      </c>
      <c r="E40" s="10">
        <v>135</v>
      </c>
      <c r="F40" s="22" t="s">
        <v>614</v>
      </c>
      <c r="G40" s="7">
        <v>800</v>
      </c>
      <c r="H40" s="12" t="s">
        <v>615</v>
      </c>
      <c r="I40" s="7">
        <v>300</v>
      </c>
      <c r="J40" s="7">
        <v>500</v>
      </c>
      <c r="K40" s="7"/>
      <c r="L40" s="7"/>
      <c r="M40" s="7"/>
      <c r="N40" s="7"/>
      <c r="O40" s="7"/>
      <c r="P40" s="7"/>
      <c r="Q40" s="7"/>
      <c r="R40" s="7"/>
    </row>
    <row r="41" spans="3:23" ht="15.75" customHeight="1" x14ac:dyDescent="0.25">
      <c r="C41" s="10">
        <v>20</v>
      </c>
      <c r="D41" s="11">
        <v>45488</v>
      </c>
      <c r="E41" s="10">
        <v>136</v>
      </c>
      <c r="F41" s="22" t="s">
        <v>162</v>
      </c>
      <c r="G41" s="7">
        <v>6000</v>
      </c>
      <c r="H41" s="12">
        <v>113</v>
      </c>
      <c r="I41" s="7">
        <v>6000</v>
      </c>
      <c r="J41" s="7"/>
      <c r="K41" s="7"/>
      <c r="L41" s="7"/>
      <c r="M41" s="7"/>
      <c r="N41" s="7"/>
      <c r="O41" s="7"/>
      <c r="P41" s="7"/>
      <c r="Q41" s="7"/>
      <c r="R41" s="7"/>
    </row>
    <row r="42" spans="3:23" ht="15.75" customHeight="1" x14ac:dyDescent="0.25">
      <c r="C42" s="10">
        <v>21</v>
      </c>
      <c r="D42" s="11">
        <v>45489</v>
      </c>
      <c r="E42" s="10">
        <v>138</v>
      </c>
      <c r="F42" s="22" t="s">
        <v>162</v>
      </c>
      <c r="G42" s="7">
        <v>1040</v>
      </c>
      <c r="H42" s="12">
        <v>113</v>
      </c>
      <c r="I42" s="7">
        <v>1040</v>
      </c>
      <c r="J42" s="7"/>
      <c r="K42" s="7"/>
      <c r="L42" s="7"/>
      <c r="M42" s="7"/>
      <c r="N42" s="7"/>
      <c r="O42" s="7"/>
      <c r="P42" s="7"/>
      <c r="Q42" s="7"/>
      <c r="R42" s="7"/>
    </row>
    <row r="43" spans="3:23" ht="15.75" customHeight="1" x14ac:dyDescent="0.25">
      <c r="C43" s="10">
        <v>22</v>
      </c>
      <c r="D43" s="11">
        <v>45491</v>
      </c>
      <c r="E43" s="10">
        <v>139</v>
      </c>
      <c r="F43" s="22" t="s">
        <v>333</v>
      </c>
      <c r="G43" s="7">
        <v>1000</v>
      </c>
      <c r="H43" s="12">
        <v>115</v>
      </c>
      <c r="I43" s="7">
        <v>1000</v>
      </c>
      <c r="J43" s="7"/>
      <c r="K43" s="7"/>
      <c r="L43" s="7"/>
      <c r="M43" s="7"/>
      <c r="N43" s="7"/>
      <c r="O43" s="7"/>
      <c r="P43" s="7"/>
      <c r="Q43" s="7"/>
      <c r="R43" s="7"/>
    </row>
    <row r="44" spans="3:23" ht="15.75" customHeight="1" x14ac:dyDescent="0.25">
      <c r="C44" s="10">
        <v>23</v>
      </c>
      <c r="D44" s="11">
        <v>45492</v>
      </c>
      <c r="E44" s="10">
        <v>140</v>
      </c>
      <c r="F44" s="22" t="s">
        <v>394</v>
      </c>
      <c r="G44" s="7">
        <v>10000</v>
      </c>
      <c r="H44" s="12">
        <v>99</v>
      </c>
      <c r="I44" s="7">
        <v>10000</v>
      </c>
      <c r="J44" s="7"/>
      <c r="K44" s="7"/>
      <c r="L44" s="7"/>
      <c r="M44" s="7"/>
      <c r="N44" s="7"/>
      <c r="O44" s="7"/>
      <c r="P44" s="7"/>
      <c r="Q44" s="7"/>
      <c r="R44" s="7"/>
    </row>
    <row r="45" spans="3:23" ht="15.75" customHeight="1" x14ac:dyDescent="0.25">
      <c r="C45" s="10">
        <v>24</v>
      </c>
      <c r="D45" s="11">
        <v>45492</v>
      </c>
      <c r="E45" s="10">
        <v>141</v>
      </c>
      <c r="F45" s="22" t="s">
        <v>616</v>
      </c>
      <c r="G45" s="7">
        <v>1000</v>
      </c>
      <c r="H45" s="12">
        <v>175</v>
      </c>
      <c r="I45" s="7"/>
      <c r="J45" s="7"/>
      <c r="K45" s="7"/>
      <c r="L45" s="7"/>
      <c r="M45" s="7"/>
      <c r="N45" s="7"/>
      <c r="O45" s="7">
        <v>1000</v>
      </c>
      <c r="P45" s="7"/>
      <c r="Q45" s="7"/>
      <c r="R45" s="7"/>
    </row>
    <row r="46" spans="3:23" ht="15.75" customHeight="1" x14ac:dyDescent="0.25">
      <c r="C46" s="10">
        <v>26</v>
      </c>
      <c r="D46" s="11">
        <v>45492</v>
      </c>
      <c r="E46" s="10" t="s">
        <v>388</v>
      </c>
      <c r="F46" s="22" t="s">
        <v>243</v>
      </c>
      <c r="G46" s="7">
        <v>5000</v>
      </c>
      <c r="H46" s="12">
        <v>158</v>
      </c>
      <c r="I46" s="7"/>
      <c r="J46" s="7">
        <v>5000</v>
      </c>
      <c r="K46" s="7"/>
      <c r="L46" s="7"/>
      <c r="M46" s="7"/>
      <c r="N46" s="7"/>
      <c r="O46" s="7"/>
      <c r="P46" s="7"/>
      <c r="Q46" s="7"/>
      <c r="R46" s="7"/>
    </row>
    <row r="47" spans="3:23" ht="15.75" customHeight="1" x14ac:dyDescent="0.25">
      <c r="C47" s="10">
        <v>27</v>
      </c>
      <c r="D47" s="11">
        <v>45495</v>
      </c>
      <c r="E47" s="10">
        <v>142</v>
      </c>
      <c r="F47" s="22" t="s">
        <v>617</v>
      </c>
      <c r="G47" s="7">
        <v>500</v>
      </c>
      <c r="H47" s="12">
        <v>114</v>
      </c>
      <c r="I47" s="7">
        <v>500</v>
      </c>
      <c r="J47" s="7"/>
      <c r="K47" s="7"/>
      <c r="L47" s="7"/>
      <c r="M47" s="7"/>
      <c r="N47" s="7"/>
      <c r="O47" s="7"/>
      <c r="P47" s="7"/>
      <c r="Q47" s="7"/>
      <c r="R47" s="7"/>
    </row>
    <row r="48" spans="3:23" ht="15.75" customHeight="1" x14ac:dyDescent="0.25">
      <c r="C48" s="10">
        <v>28</v>
      </c>
      <c r="D48" s="11">
        <v>45495</v>
      </c>
      <c r="E48" s="10">
        <v>144</v>
      </c>
      <c r="F48" s="22" t="s">
        <v>26</v>
      </c>
      <c r="G48" s="7">
        <v>100</v>
      </c>
      <c r="H48" s="12">
        <v>187</v>
      </c>
      <c r="I48" s="7"/>
      <c r="J48" s="7"/>
      <c r="K48" s="7"/>
      <c r="L48" s="7"/>
      <c r="M48" s="7"/>
      <c r="N48" s="7"/>
      <c r="O48" s="7">
        <v>100</v>
      </c>
      <c r="P48" s="7"/>
      <c r="Q48" s="7"/>
      <c r="R48" s="7"/>
      <c r="S48" s="1"/>
    </row>
    <row r="49" spans="3:19" ht="15.75" customHeight="1" x14ac:dyDescent="0.25">
      <c r="C49" s="10">
        <v>29</v>
      </c>
      <c r="D49" s="11">
        <v>45496</v>
      </c>
      <c r="E49" s="10">
        <v>145</v>
      </c>
      <c r="F49" s="22" t="s">
        <v>162</v>
      </c>
      <c r="G49" s="7">
        <v>1000</v>
      </c>
      <c r="H49" s="12">
        <v>113</v>
      </c>
      <c r="I49" s="7">
        <v>1000</v>
      </c>
      <c r="J49" s="7"/>
      <c r="K49" s="7"/>
      <c r="L49" s="7"/>
      <c r="M49" s="7"/>
      <c r="N49" s="7"/>
      <c r="O49" s="7"/>
      <c r="P49" s="7"/>
      <c r="Q49" s="7"/>
      <c r="R49" s="7"/>
      <c r="S49" s="1"/>
    </row>
    <row r="50" spans="3:19" ht="15.75" customHeight="1" x14ac:dyDescent="0.25">
      <c r="C50" s="10">
        <v>30</v>
      </c>
      <c r="D50" s="11">
        <v>45498</v>
      </c>
      <c r="E50" s="10" t="s">
        <v>396</v>
      </c>
      <c r="F50" s="22" t="s">
        <v>44</v>
      </c>
      <c r="G50" s="7">
        <v>20000</v>
      </c>
      <c r="H50" s="12">
        <v>184</v>
      </c>
      <c r="I50" s="7"/>
      <c r="J50" s="7"/>
      <c r="K50" s="7"/>
      <c r="L50" s="7"/>
      <c r="M50" s="7"/>
      <c r="N50" s="7"/>
      <c r="O50" s="7">
        <v>2000</v>
      </c>
      <c r="P50" s="7"/>
      <c r="Q50" s="7"/>
      <c r="R50" s="7"/>
      <c r="S50" s="1"/>
    </row>
    <row r="51" spans="3:19" ht="15.75" customHeight="1" x14ac:dyDescent="0.25">
      <c r="C51" s="10">
        <v>31</v>
      </c>
      <c r="D51" s="11">
        <v>45498</v>
      </c>
      <c r="E51" s="10" t="s">
        <v>400</v>
      </c>
      <c r="F51" s="22" t="s">
        <v>32</v>
      </c>
      <c r="G51" s="7">
        <v>800</v>
      </c>
      <c r="H51" s="12">
        <v>209</v>
      </c>
      <c r="I51" s="7"/>
      <c r="J51" s="7"/>
      <c r="K51" s="7"/>
      <c r="L51" s="7"/>
      <c r="M51" s="7"/>
      <c r="N51" s="7"/>
      <c r="O51" s="7"/>
      <c r="P51" s="7"/>
      <c r="Q51" s="7">
        <v>800</v>
      </c>
      <c r="R51" s="7"/>
      <c r="S51" s="1"/>
    </row>
    <row r="52" spans="3:19" ht="15.75" customHeight="1" x14ac:dyDescent="0.25">
      <c r="C52" s="10">
        <v>32</v>
      </c>
      <c r="D52" s="11">
        <v>45499</v>
      </c>
      <c r="E52" s="10" t="s">
        <v>618</v>
      </c>
      <c r="F52" s="22" t="s">
        <v>269</v>
      </c>
      <c r="G52" s="7">
        <v>6000</v>
      </c>
      <c r="H52" s="12">
        <v>175</v>
      </c>
      <c r="I52" s="7"/>
      <c r="J52" s="7"/>
      <c r="K52" s="7"/>
      <c r="L52" s="7"/>
      <c r="M52" s="7"/>
      <c r="N52" s="7"/>
      <c r="O52" s="7"/>
      <c r="P52" s="7">
        <v>6000</v>
      </c>
      <c r="Q52" s="7"/>
      <c r="R52" s="7"/>
      <c r="S52" s="1"/>
    </row>
    <row r="53" spans="3:19" ht="15.75" customHeight="1" x14ac:dyDescent="0.25">
      <c r="C53" s="10">
        <v>33</v>
      </c>
      <c r="D53" s="11">
        <v>45497</v>
      </c>
      <c r="E53" s="10">
        <v>146</v>
      </c>
      <c r="F53" s="22" t="s">
        <v>177</v>
      </c>
      <c r="G53" s="7">
        <v>2000</v>
      </c>
      <c r="H53" s="12">
        <v>156</v>
      </c>
      <c r="I53" s="7"/>
      <c r="J53" s="7">
        <v>2000</v>
      </c>
      <c r="K53" s="7"/>
      <c r="L53" s="7"/>
      <c r="M53" s="7"/>
      <c r="N53" s="7"/>
      <c r="O53" s="7"/>
      <c r="P53" s="7"/>
      <c r="Q53" s="7"/>
      <c r="R53" s="7"/>
      <c r="S53" s="1"/>
    </row>
    <row r="54" spans="3:19" ht="15.75" customHeight="1" x14ac:dyDescent="0.25">
      <c r="C54" s="10">
        <v>34</v>
      </c>
      <c r="D54" s="11">
        <v>45499</v>
      </c>
      <c r="E54" s="10">
        <v>147</v>
      </c>
      <c r="F54" s="22" t="s">
        <v>394</v>
      </c>
      <c r="G54" s="7">
        <v>10000</v>
      </c>
      <c r="H54" s="12">
        <v>99</v>
      </c>
      <c r="I54" s="7">
        <v>10000</v>
      </c>
      <c r="J54" s="7"/>
      <c r="K54" s="7"/>
      <c r="L54" s="7"/>
      <c r="M54" s="7"/>
      <c r="N54" s="7"/>
      <c r="O54" s="7"/>
      <c r="P54" s="7"/>
      <c r="Q54" s="7"/>
      <c r="R54" s="7"/>
      <c r="S54" s="1"/>
    </row>
    <row r="55" spans="3:19" ht="15.75" customHeight="1" x14ac:dyDescent="0.25">
      <c r="C55" s="10">
        <v>35</v>
      </c>
      <c r="D55" s="11">
        <v>45500</v>
      </c>
      <c r="E55" s="10" t="s">
        <v>27</v>
      </c>
      <c r="F55" s="22" t="s">
        <v>255</v>
      </c>
      <c r="G55" s="7">
        <v>300</v>
      </c>
      <c r="H55" s="12">
        <v>118</v>
      </c>
      <c r="I55" s="7">
        <v>300</v>
      </c>
      <c r="J55" s="7"/>
      <c r="K55" s="7"/>
      <c r="L55" s="7"/>
      <c r="M55" s="7"/>
      <c r="N55" s="7"/>
      <c r="O55" s="7"/>
      <c r="P55" s="7"/>
      <c r="Q55" s="7"/>
      <c r="R55" s="7"/>
      <c r="S55" s="1"/>
    </row>
    <row r="56" spans="3:19" ht="15.75" customHeight="1" x14ac:dyDescent="0.25">
      <c r="C56" s="10">
        <v>36</v>
      </c>
      <c r="D56" s="11">
        <v>45493</v>
      </c>
      <c r="E56" s="10" t="s">
        <v>27</v>
      </c>
      <c r="F56" s="22" t="s">
        <v>37</v>
      </c>
      <c r="G56" s="7">
        <v>1600</v>
      </c>
      <c r="H56" s="12">
        <v>124</v>
      </c>
      <c r="I56" s="7">
        <v>1600</v>
      </c>
      <c r="J56" s="7"/>
      <c r="K56" s="7"/>
      <c r="L56" s="7"/>
      <c r="M56" s="7"/>
      <c r="N56" s="7"/>
      <c r="O56" s="7"/>
      <c r="P56" s="7"/>
      <c r="Q56" s="7"/>
      <c r="R56" s="7"/>
      <c r="S56" s="1"/>
    </row>
    <row r="57" spans="3:19" ht="15.75" customHeight="1" x14ac:dyDescent="0.25">
      <c r="C57" s="10">
        <v>37</v>
      </c>
      <c r="D57" s="11">
        <v>45504</v>
      </c>
      <c r="E57" s="10" t="s">
        <v>619</v>
      </c>
      <c r="F57" s="22" t="s">
        <v>620</v>
      </c>
      <c r="G57" s="7">
        <v>1000</v>
      </c>
      <c r="H57" s="12">
        <v>156</v>
      </c>
      <c r="I57" s="7"/>
      <c r="J57" s="7">
        <v>1000</v>
      </c>
      <c r="K57" s="7"/>
      <c r="L57" s="7"/>
      <c r="M57" s="7"/>
      <c r="N57" s="7"/>
      <c r="O57" s="7"/>
      <c r="P57" s="7"/>
      <c r="Q57" s="7"/>
      <c r="R57" s="7"/>
      <c r="S57" s="1"/>
    </row>
    <row r="58" spans="3:19" ht="15.75" customHeight="1" x14ac:dyDescent="0.25">
      <c r="C58" s="10">
        <v>38</v>
      </c>
      <c r="D58" s="11">
        <v>45500</v>
      </c>
      <c r="E58" s="10">
        <v>148</v>
      </c>
      <c r="F58" s="22" t="s">
        <v>162</v>
      </c>
      <c r="G58" s="7">
        <v>3000</v>
      </c>
      <c r="H58" s="12">
        <v>113</v>
      </c>
      <c r="I58" s="7">
        <v>3000</v>
      </c>
      <c r="J58" s="7"/>
      <c r="K58" s="7"/>
      <c r="L58" s="7"/>
      <c r="M58" s="7"/>
      <c r="N58" s="7"/>
      <c r="O58" s="7"/>
      <c r="P58" s="7"/>
      <c r="Q58" s="7"/>
      <c r="R58" s="7"/>
      <c r="S58" s="1"/>
    </row>
    <row r="59" spans="3:19" ht="15.75" customHeight="1" x14ac:dyDescent="0.25">
      <c r="C59" s="10">
        <v>41</v>
      </c>
      <c r="D59" s="11">
        <v>45504</v>
      </c>
      <c r="E59" s="10" t="s">
        <v>27</v>
      </c>
      <c r="F59" s="22" t="s">
        <v>37</v>
      </c>
      <c r="G59" s="7">
        <v>800</v>
      </c>
      <c r="H59" s="31">
        <v>125</v>
      </c>
      <c r="I59" s="7">
        <v>800</v>
      </c>
      <c r="J59" s="7"/>
      <c r="K59" s="7"/>
      <c r="L59" s="7"/>
      <c r="M59" s="7"/>
      <c r="N59" s="7"/>
      <c r="O59" s="7"/>
      <c r="P59" s="7"/>
      <c r="Q59" s="7"/>
      <c r="R59" s="7"/>
      <c r="S59" s="1"/>
    </row>
    <row r="60" spans="3:19" ht="15.75" customHeight="1" x14ac:dyDescent="0.25">
      <c r="C60" s="10">
        <v>39</v>
      </c>
      <c r="D60" s="11"/>
      <c r="E60" s="10"/>
      <c r="F60" s="22" t="s">
        <v>48</v>
      </c>
      <c r="G60" s="7"/>
      <c r="H60" s="12"/>
      <c r="I60" s="7"/>
      <c r="J60" s="7"/>
      <c r="K60" s="7"/>
      <c r="L60" s="7"/>
      <c r="M60" s="7"/>
      <c r="N60" s="7"/>
      <c r="O60" s="7"/>
      <c r="P60" s="7"/>
      <c r="Q60" s="7"/>
      <c r="R60" s="7"/>
      <c r="S60" s="1"/>
    </row>
    <row r="61" spans="3:19" ht="15.75" customHeight="1" x14ac:dyDescent="0.25">
      <c r="C61" s="10">
        <v>42</v>
      </c>
      <c r="D61" s="11"/>
      <c r="E61" s="10"/>
      <c r="F61" s="22" t="s">
        <v>32</v>
      </c>
      <c r="G61" s="7"/>
      <c r="H61" s="12"/>
      <c r="I61" s="7"/>
      <c r="J61" s="7"/>
      <c r="K61" s="7"/>
      <c r="L61" s="7"/>
      <c r="M61" s="7"/>
      <c r="N61" s="7"/>
      <c r="O61" s="7"/>
      <c r="P61" s="7"/>
      <c r="Q61" s="7"/>
      <c r="R61" s="7"/>
      <c r="S61" s="1"/>
    </row>
    <row r="62" spans="3:19" ht="15.75" customHeight="1" x14ac:dyDescent="0.25">
      <c r="C62" s="10">
        <v>40</v>
      </c>
      <c r="D62" s="11"/>
      <c r="E62" s="10"/>
      <c r="F62" s="22" t="s">
        <v>80</v>
      </c>
      <c r="G62" s="7"/>
      <c r="H62" s="12"/>
      <c r="I62" s="7"/>
      <c r="J62" s="7"/>
      <c r="K62" s="7"/>
      <c r="L62" s="7"/>
      <c r="M62" s="7"/>
      <c r="N62" s="7"/>
      <c r="O62" s="7"/>
      <c r="P62" s="7"/>
      <c r="Q62" s="7"/>
      <c r="R62" s="7"/>
      <c r="S62" s="1"/>
    </row>
    <row r="63" spans="3:19" ht="15.75" customHeight="1" x14ac:dyDescent="0.25">
      <c r="C63" s="10">
        <v>43</v>
      </c>
      <c r="D63" s="11"/>
      <c r="E63" s="10"/>
      <c r="F63" s="22" t="s">
        <v>268</v>
      </c>
      <c r="G63" s="7"/>
      <c r="H63" s="12"/>
      <c r="I63" s="7"/>
      <c r="J63" s="7"/>
      <c r="K63" s="7"/>
      <c r="L63" s="7"/>
      <c r="M63" s="7"/>
      <c r="N63" s="7"/>
      <c r="O63" s="7"/>
      <c r="P63" s="7"/>
      <c r="Q63" s="7"/>
      <c r="R63" s="7"/>
      <c r="S63" s="1"/>
    </row>
    <row r="64" spans="3:19" ht="15.75" customHeight="1" x14ac:dyDescent="0.25">
      <c r="C64" s="10">
        <v>44</v>
      </c>
      <c r="D64" s="11"/>
      <c r="E64" s="10"/>
      <c r="F64" s="22" t="s">
        <v>80</v>
      </c>
      <c r="G64" s="7"/>
      <c r="H64" s="12"/>
      <c r="I64" s="7"/>
      <c r="J64" s="7"/>
      <c r="K64" s="7"/>
      <c r="L64" s="7"/>
      <c r="M64" s="7"/>
      <c r="N64" s="7"/>
      <c r="O64" s="7"/>
      <c r="P64" s="7"/>
      <c r="Q64" s="7"/>
      <c r="R64" s="7"/>
      <c r="S64" s="1"/>
    </row>
    <row r="65" spans="3:19" ht="15.75" customHeight="1" x14ac:dyDescent="0.25">
      <c r="C65" s="10">
        <v>45</v>
      </c>
      <c r="D65" s="11"/>
      <c r="E65" s="10"/>
      <c r="F65" s="22" t="s">
        <v>546</v>
      </c>
      <c r="G65" s="7"/>
      <c r="H65" s="12"/>
      <c r="I65" s="7"/>
      <c r="J65" s="7"/>
      <c r="K65" s="7"/>
      <c r="L65" s="7"/>
      <c r="M65" s="7"/>
      <c r="N65" s="7"/>
      <c r="O65" s="7"/>
      <c r="P65" s="7"/>
      <c r="Q65" s="7"/>
      <c r="R65" s="7"/>
      <c r="S65" s="1"/>
    </row>
    <row r="66" spans="3:19" ht="15.75" customHeight="1" x14ac:dyDescent="0.25">
      <c r="C66" s="10">
        <v>46</v>
      </c>
      <c r="D66" s="11"/>
      <c r="E66" s="10"/>
      <c r="F66" s="22" t="s">
        <v>333</v>
      </c>
      <c r="G66" s="7"/>
      <c r="H66" s="12"/>
      <c r="I66" s="7"/>
      <c r="J66" s="7"/>
      <c r="K66" s="7"/>
      <c r="L66" s="7"/>
      <c r="M66" s="7"/>
      <c r="N66" s="7"/>
      <c r="O66" s="7"/>
      <c r="P66" s="7"/>
      <c r="Q66" s="7"/>
      <c r="R66" s="7"/>
      <c r="S66" s="1"/>
    </row>
    <row r="67" spans="3:19" ht="15.75" customHeight="1" x14ac:dyDescent="0.25">
      <c r="C67" s="10">
        <v>47</v>
      </c>
      <c r="D67" s="11"/>
      <c r="E67" s="10"/>
      <c r="F67" s="22" t="s">
        <v>37</v>
      </c>
      <c r="G67" s="7"/>
      <c r="H67" s="12"/>
      <c r="I67" s="7"/>
      <c r="J67" s="7"/>
      <c r="K67" s="7"/>
      <c r="L67" s="7"/>
      <c r="M67" s="7"/>
      <c r="N67" s="7"/>
      <c r="O67" s="7"/>
      <c r="P67" s="7"/>
      <c r="Q67" s="7"/>
      <c r="R67" s="7"/>
      <c r="S67" s="1"/>
    </row>
    <row r="68" spans="3:19" ht="15.75" customHeight="1" x14ac:dyDescent="0.25">
      <c r="C68" s="10">
        <v>48</v>
      </c>
      <c r="D68" s="11"/>
      <c r="E68" s="10"/>
      <c r="F68" s="22" t="s">
        <v>268</v>
      </c>
      <c r="G68" s="7"/>
      <c r="H68" s="12"/>
      <c r="I68" s="7"/>
      <c r="J68" s="7"/>
      <c r="K68" s="7"/>
      <c r="L68" s="7"/>
      <c r="M68" s="7"/>
      <c r="N68" s="7"/>
      <c r="O68" s="7"/>
      <c r="P68" s="7"/>
      <c r="Q68" s="7"/>
      <c r="R68" s="7"/>
      <c r="S68" s="1"/>
    </row>
    <row r="69" spans="3:19" ht="15.75" customHeight="1" x14ac:dyDescent="0.25">
      <c r="C69" s="10">
        <v>49</v>
      </c>
      <c r="D69" s="11"/>
      <c r="E69" s="10"/>
      <c r="F69" s="22" t="s">
        <v>37</v>
      </c>
      <c r="G69" s="7"/>
      <c r="H69" s="12"/>
      <c r="I69" s="7"/>
      <c r="J69" s="7"/>
      <c r="K69" s="7"/>
      <c r="L69" s="7"/>
      <c r="M69" s="7"/>
      <c r="N69" s="7"/>
      <c r="O69" s="7"/>
      <c r="P69" s="7"/>
      <c r="Q69" s="7"/>
      <c r="R69" s="7"/>
      <c r="S69" s="1"/>
    </row>
    <row r="70" spans="3:19" ht="15.75" customHeight="1" x14ac:dyDescent="0.25">
      <c r="C70" s="10">
        <v>50</v>
      </c>
      <c r="D70" s="11"/>
      <c r="E70" s="10"/>
      <c r="F70" s="22" t="s">
        <v>333</v>
      </c>
      <c r="G70" s="7"/>
      <c r="H70" s="12"/>
      <c r="I70" s="7"/>
      <c r="J70" s="7"/>
      <c r="K70" s="7"/>
      <c r="L70" s="7"/>
      <c r="M70" s="7"/>
      <c r="N70" s="7"/>
      <c r="O70" s="7"/>
      <c r="P70" s="7"/>
      <c r="Q70" s="7"/>
      <c r="R70" s="7"/>
      <c r="S70" s="1"/>
    </row>
    <row r="71" spans="3:19" ht="15.75" customHeight="1" x14ac:dyDescent="0.25">
      <c r="C71" s="10">
        <v>51</v>
      </c>
      <c r="D71" s="11"/>
      <c r="E71" s="10"/>
      <c r="F71" s="22" t="s">
        <v>24</v>
      </c>
      <c r="G71" s="7"/>
      <c r="H71" s="12"/>
      <c r="I71" s="7"/>
      <c r="J71" s="7"/>
      <c r="K71" s="7"/>
      <c r="L71" s="7"/>
      <c r="M71" s="7"/>
      <c r="N71" s="7"/>
      <c r="O71" s="7"/>
      <c r="P71" s="7"/>
      <c r="Q71" s="7"/>
      <c r="R71" s="7"/>
      <c r="S71" s="1"/>
    </row>
    <row r="72" spans="3:19" ht="15.75" customHeight="1" x14ac:dyDescent="0.25">
      <c r="C72" s="10">
        <v>52</v>
      </c>
      <c r="D72" s="11"/>
      <c r="E72" s="10"/>
      <c r="F72" s="22" t="s">
        <v>269</v>
      </c>
      <c r="G72" s="7"/>
      <c r="H72" s="31"/>
      <c r="I72" s="7"/>
      <c r="J72" s="7"/>
      <c r="K72" s="7"/>
      <c r="L72" s="7"/>
      <c r="M72" s="7"/>
      <c r="N72" s="7"/>
      <c r="O72" s="7"/>
      <c r="P72" s="7"/>
      <c r="Q72" s="7"/>
      <c r="R72" s="7"/>
      <c r="S72" s="1"/>
    </row>
    <row r="73" spans="3:19" ht="15.75" customHeight="1" x14ac:dyDescent="0.25">
      <c r="C73" s="10">
        <v>53</v>
      </c>
      <c r="D73" s="11"/>
      <c r="E73" s="10"/>
      <c r="F73" s="22" t="s">
        <v>48</v>
      </c>
      <c r="G73" s="7"/>
      <c r="H73" s="12"/>
      <c r="I73" s="7"/>
      <c r="J73" s="7"/>
      <c r="K73" s="7"/>
      <c r="L73" s="7"/>
      <c r="M73" s="7"/>
      <c r="N73" s="7"/>
      <c r="O73" s="7"/>
      <c r="P73" s="7"/>
      <c r="Q73" s="7"/>
      <c r="R73" s="7"/>
      <c r="S73" s="1"/>
    </row>
    <row r="74" spans="3:19" ht="15.75" customHeight="1" x14ac:dyDescent="0.25">
      <c r="C74" s="10">
        <v>54</v>
      </c>
      <c r="D74" s="11"/>
      <c r="E74" s="10"/>
      <c r="F74" s="22" t="s">
        <v>32</v>
      </c>
      <c r="G74" s="7"/>
      <c r="H74" s="12"/>
      <c r="I74" s="7"/>
      <c r="J74" s="7"/>
      <c r="K74" s="7"/>
      <c r="L74" s="7"/>
      <c r="M74" s="7"/>
      <c r="N74" s="7"/>
      <c r="O74" s="7"/>
      <c r="P74" s="7"/>
      <c r="Q74" s="7"/>
      <c r="R74" s="7"/>
      <c r="S74" s="1"/>
    </row>
    <row r="75" spans="3:19" ht="15.75" customHeight="1" x14ac:dyDescent="0.25">
      <c r="C75" s="10">
        <v>55</v>
      </c>
      <c r="D75" s="11"/>
      <c r="E75" s="10"/>
      <c r="F75" s="22" t="s">
        <v>71</v>
      </c>
      <c r="G75" s="7"/>
      <c r="H75" s="12"/>
      <c r="I75" s="7"/>
      <c r="J75" s="7"/>
      <c r="K75" s="7"/>
      <c r="L75" s="7"/>
      <c r="M75" s="7"/>
      <c r="N75" s="7"/>
      <c r="O75" s="7"/>
      <c r="P75" s="7"/>
      <c r="Q75" s="7"/>
      <c r="R75" s="7"/>
      <c r="S75" s="1"/>
    </row>
    <row r="76" spans="3:19" ht="15.75" customHeight="1" x14ac:dyDescent="0.25">
      <c r="C76" s="10">
        <v>56</v>
      </c>
      <c r="D76" s="11"/>
      <c r="E76" s="10"/>
      <c r="F76" s="22" t="s">
        <v>284</v>
      </c>
      <c r="G76" s="7"/>
      <c r="H76" s="12"/>
      <c r="I76" s="7"/>
      <c r="J76" s="7"/>
      <c r="K76" s="7"/>
      <c r="L76" s="7"/>
      <c r="M76" s="7"/>
      <c r="N76" s="7"/>
      <c r="O76" s="7"/>
      <c r="P76" s="7"/>
      <c r="Q76" s="7"/>
      <c r="R76" s="7"/>
      <c r="S76" s="1"/>
    </row>
    <row r="77" spans="3:19" ht="15.75" customHeight="1" x14ac:dyDescent="0.25">
      <c r="C77" s="10">
        <v>57</v>
      </c>
      <c r="D77" s="11"/>
      <c r="E77" s="10"/>
      <c r="F77" s="22" t="s">
        <v>71</v>
      </c>
      <c r="G77" s="7"/>
      <c r="H77" s="12"/>
      <c r="I77" s="7"/>
      <c r="J77" s="7"/>
      <c r="K77" s="7"/>
      <c r="L77" s="7"/>
      <c r="M77" s="7"/>
      <c r="N77" s="7"/>
      <c r="O77" s="7"/>
      <c r="P77" s="7"/>
      <c r="Q77" s="7"/>
      <c r="R77" s="7"/>
      <c r="S77" s="1"/>
    </row>
    <row r="78" spans="3:19" ht="15.75" customHeight="1" x14ac:dyDescent="0.25">
      <c r="C78" s="10">
        <v>58</v>
      </c>
      <c r="D78" s="11"/>
      <c r="E78" s="10"/>
      <c r="F78" s="22" t="s">
        <v>51</v>
      </c>
      <c r="G78" s="7"/>
      <c r="H78" s="12"/>
      <c r="I78" s="7"/>
      <c r="J78" s="7"/>
      <c r="K78" s="7"/>
      <c r="L78" s="7"/>
      <c r="M78" s="7"/>
      <c r="N78" s="7"/>
      <c r="O78" s="7"/>
      <c r="P78" s="7"/>
      <c r="Q78" s="7"/>
      <c r="R78" s="7"/>
      <c r="S78" s="1"/>
    </row>
    <row r="79" spans="3:19" ht="15.75" customHeight="1" x14ac:dyDescent="0.25">
      <c r="C79" s="10">
        <v>59</v>
      </c>
      <c r="D79" s="11"/>
      <c r="E79" s="10"/>
      <c r="F79" s="22" t="s">
        <v>362</v>
      </c>
      <c r="G79" s="7"/>
      <c r="H79" s="12"/>
      <c r="I79" s="7"/>
      <c r="J79" s="7"/>
      <c r="K79" s="7"/>
      <c r="L79" s="7"/>
      <c r="M79" s="7"/>
      <c r="N79" s="7"/>
      <c r="O79" s="7"/>
      <c r="P79" s="7"/>
      <c r="Q79" s="7"/>
      <c r="R79" s="7"/>
      <c r="S79" s="1"/>
    </row>
    <row r="80" spans="3:19" ht="15.75" customHeight="1" x14ac:dyDescent="0.25">
      <c r="C80" s="10">
        <v>60</v>
      </c>
      <c r="D80" s="11"/>
      <c r="E80" s="10"/>
      <c r="F80" s="22" t="s">
        <v>193</v>
      </c>
      <c r="G80" s="7"/>
      <c r="H80" s="12"/>
      <c r="I80" s="7"/>
      <c r="J80" s="7"/>
      <c r="K80" s="7"/>
      <c r="L80" s="7"/>
      <c r="M80" s="7"/>
      <c r="N80" s="7"/>
      <c r="O80" s="7"/>
      <c r="P80" s="7"/>
      <c r="Q80" s="7"/>
      <c r="R80" s="7"/>
      <c r="S80" s="1"/>
    </row>
    <row r="81" spans="3:19" ht="15.75" customHeight="1" x14ac:dyDescent="0.25">
      <c r="C81" s="10">
        <v>61</v>
      </c>
      <c r="D81" s="11"/>
      <c r="E81" s="10"/>
      <c r="F81" s="22" t="s">
        <v>90</v>
      </c>
      <c r="G81" s="7"/>
      <c r="H81" s="12"/>
      <c r="I81" s="7"/>
      <c r="J81" s="7"/>
      <c r="K81" s="7"/>
      <c r="L81" s="7"/>
      <c r="M81" s="7"/>
      <c r="N81" s="7"/>
      <c r="O81" s="7"/>
      <c r="P81" s="7"/>
      <c r="Q81" s="7"/>
      <c r="R81" s="7"/>
      <c r="S81" s="1"/>
    </row>
    <row r="82" spans="3:19" ht="15.75" customHeight="1" x14ac:dyDescent="0.25">
      <c r="C82" s="10">
        <v>62</v>
      </c>
      <c r="D82" s="11"/>
      <c r="E82" s="10"/>
      <c r="F82" s="22" t="s">
        <v>394</v>
      </c>
      <c r="G82" s="7"/>
      <c r="H82" s="12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3:19" ht="15.75" customHeight="1" x14ac:dyDescent="0.25">
      <c r="C83" s="10">
        <v>63</v>
      </c>
      <c r="D83" s="11"/>
      <c r="E83" s="10"/>
      <c r="F83" s="22" t="s">
        <v>30</v>
      </c>
      <c r="G83" s="7"/>
      <c r="H83" s="12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3:19" ht="15.75" customHeight="1" x14ac:dyDescent="0.25">
      <c r="C84" s="10">
        <v>64</v>
      </c>
      <c r="D84" s="11"/>
      <c r="E84" s="10"/>
      <c r="F84" s="22" t="s">
        <v>80</v>
      </c>
      <c r="G84" s="7"/>
      <c r="H84" s="12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3:19" ht="15.75" customHeight="1" x14ac:dyDescent="0.25">
      <c r="C85" s="10">
        <v>65</v>
      </c>
      <c r="D85" s="11"/>
      <c r="E85" s="10"/>
      <c r="F85" s="22" t="s">
        <v>139</v>
      </c>
      <c r="G85" s="7"/>
      <c r="H85" s="12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3:19" ht="15.75" customHeight="1" x14ac:dyDescent="0.25">
      <c r="C86" s="10">
        <v>66</v>
      </c>
      <c r="D86" s="11"/>
      <c r="E86" s="10"/>
      <c r="F86" s="22" t="s">
        <v>255</v>
      </c>
      <c r="G86" s="7"/>
      <c r="H86" s="12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3:19" ht="15.75" customHeight="1" x14ac:dyDescent="0.25">
      <c r="C87" s="10">
        <v>67</v>
      </c>
      <c r="D87" s="11"/>
      <c r="E87" s="10"/>
      <c r="F87" s="22" t="s">
        <v>269</v>
      </c>
      <c r="G87" s="7"/>
      <c r="H87" s="12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3:19" ht="15.75" customHeight="1" x14ac:dyDescent="0.25">
      <c r="C88" s="10">
        <v>68</v>
      </c>
      <c r="D88" s="11"/>
      <c r="E88" s="10"/>
      <c r="F88" s="22" t="s">
        <v>37</v>
      </c>
      <c r="G88" s="7"/>
      <c r="H88" s="12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3:19" ht="15.75" customHeight="1" x14ac:dyDescent="0.25">
      <c r="C89" s="10">
        <v>69</v>
      </c>
      <c r="D89" s="11"/>
      <c r="E89" s="10"/>
      <c r="F89" s="22" t="s">
        <v>112</v>
      </c>
      <c r="G89" s="7"/>
      <c r="H89" s="12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3:19" ht="15.75" customHeight="1" x14ac:dyDescent="0.25">
      <c r="C90" s="10">
        <v>70</v>
      </c>
      <c r="D90" s="11"/>
      <c r="E90" s="10"/>
      <c r="F90" s="22" t="s">
        <v>325</v>
      </c>
      <c r="G90" s="7"/>
      <c r="H90" s="12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3:19" ht="15.75" customHeight="1" x14ac:dyDescent="0.25">
      <c r="C91" s="10">
        <v>71</v>
      </c>
      <c r="D91" s="11"/>
      <c r="E91" s="10"/>
      <c r="F91" s="22" t="s">
        <v>284</v>
      </c>
      <c r="G91" s="7"/>
      <c r="H91" s="12"/>
      <c r="I91" s="7"/>
      <c r="J91" s="7"/>
      <c r="K91" s="7"/>
      <c r="L91" s="7"/>
      <c r="M91" s="7"/>
      <c r="N91" s="7"/>
      <c r="O91" s="7"/>
      <c r="P91" s="7"/>
      <c r="Q91" s="14"/>
      <c r="R91" s="7"/>
    </row>
    <row r="92" spans="3:19" ht="15.75" customHeight="1" x14ac:dyDescent="0.25">
      <c r="C92" s="10">
        <v>72</v>
      </c>
      <c r="D92" s="11"/>
      <c r="E92" s="10"/>
      <c r="F92" s="22" t="s">
        <v>43</v>
      </c>
      <c r="G92" s="7"/>
      <c r="H92" s="12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3:19" ht="15.75" customHeight="1" x14ac:dyDescent="0.25">
      <c r="C93" s="10">
        <v>73</v>
      </c>
      <c r="D93" s="11"/>
      <c r="E93" s="10"/>
      <c r="F93" s="22" t="s">
        <v>268</v>
      </c>
      <c r="G93" s="7"/>
      <c r="H93" s="12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3:19" ht="15.75" customHeight="1" x14ac:dyDescent="0.25">
      <c r="C94" s="10">
        <v>74</v>
      </c>
      <c r="D94" s="11"/>
      <c r="E94" s="10"/>
      <c r="F94" s="22" t="s">
        <v>30</v>
      </c>
      <c r="G94" s="7"/>
      <c r="H94" s="12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3:19" ht="15.75" customHeight="1" x14ac:dyDescent="0.25">
      <c r="C95" s="10">
        <v>75</v>
      </c>
      <c r="D95" s="11"/>
      <c r="E95" s="10"/>
      <c r="F95" s="22" t="s">
        <v>190</v>
      </c>
      <c r="G95" s="7"/>
      <c r="H95" s="12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3:19" ht="15.75" customHeight="1" x14ac:dyDescent="0.25">
      <c r="C96" s="10">
        <v>76</v>
      </c>
      <c r="D96" s="11"/>
      <c r="E96" s="10"/>
      <c r="F96" s="22" t="s">
        <v>331</v>
      </c>
      <c r="G96" s="7"/>
      <c r="H96" s="12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3:18" ht="15.75" customHeight="1" x14ac:dyDescent="0.25">
      <c r="C97" s="10">
        <v>77</v>
      </c>
      <c r="D97" s="11"/>
      <c r="E97" s="10"/>
      <c r="F97" s="22" t="s">
        <v>69</v>
      </c>
      <c r="G97" s="7"/>
      <c r="H97" s="12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3:18" ht="15.75" customHeight="1" x14ac:dyDescent="0.25">
      <c r="C98" s="10">
        <v>78</v>
      </c>
      <c r="D98" s="11"/>
      <c r="E98" s="10"/>
      <c r="F98" s="22" t="s">
        <v>52</v>
      </c>
      <c r="G98" s="7"/>
      <c r="H98" s="12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3:18" ht="15.75" customHeight="1" x14ac:dyDescent="0.25">
      <c r="C99" s="10">
        <v>79</v>
      </c>
      <c r="D99" s="11"/>
      <c r="E99" s="10"/>
      <c r="F99" s="22" t="s">
        <v>37</v>
      </c>
      <c r="G99" s="7"/>
      <c r="H99" s="12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3:18" ht="15.75" customHeight="1" x14ac:dyDescent="0.25">
      <c r="C100" s="10">
        <v>80</v>
      </c>
      <c r="D100" s="11"/>
      <c r="E100" s="10"/>
      <c r="F100" s="22" t="s">
        <v>220</v>
      </c>
      <c r="G100" s="7"/>
      <c r="H100" s="12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3:18" ht="15.75" customHeight="1" x14ac:dyDescent="0.25">
      <c r="C101" s="10">
        <v>81</v>
      </c>
      <c r="D101" s="11"/>
      <c r="E101" s="10"/>
      <c r="F101" s="22" t="s">
        <v>333</v>
      </c>
      <c r="G101" s="7"/>
      <c r="H101" s="12"/>
      <c r="I101" s="7"/>
      <c r="J101" s="7"/>
      <c r="K101" s="7"/>
      <c r="L101" s="7"/>
      <c r="M101" s="7"/>
      <c r="N101" s="7"/>
      <c r="O101" s="7"/>
      <c r="P101" s="7"/>
      <c r="Q101" s="7"/>
      <c r="R101" s="14"/>
    </row>
    <row r="102" spans="3:18" ht="15.75" customHeight="1" x14ac:dyDescent="0.25">
      <c r="C102" s="13" t="s">
        <v>3</v>
      </c>
      <c r="D102" s="14"/>
      <c r="E102" s="13"/>
      <c r="F102" s="25"/>
      <c r="G102" s="14">
        <f>SUM(G21:G101)</f>
        <v>119760</v>
      </c>
      <c r="H102" s="14"/>
      <c r="I102" s="14">
        <f t="shared" ref="I102:Q102" si="8">SUM(I21:I101)</f>
        <v>67880</v>
      </c>
      <c r="J102" s="14">
        <f t="shared" si="8"/>
        <v>16500</v>
      </c>
      <c r="K102" s="14">
        <f t="shared" si="8"/>
        <v>2000</v>
      </c>
      <c r="L102" s="14">
        <f t="shared" si="8"/>
        <v>3040</v>
      </c>
      <c r="M102" s="14">
        <f t="shared" si="8"/>
        <v>40</v>
      </c>
      <c r="N102" s="14">
        <f t="shared" si="8"/>
        <v>1400</v>
      </c>
      <c r="O102" s="14">
        <f t="shared" si="8"/>
        <v>3400</v>
      </c>
      <c r="P102" s="14">
        <f t="shared" si="8"/>
        <v>6300</v>
      </c>
      <c r="Q102" s="14">
        <f t="shared" si="8"/>
        <v>1200</v>
      </c>
      <c r="R102" s="14"/>
    </row>
    <row r="103" spans="3:18" ht="15.75" customHeight="1" x14ac:dyDescent="0.25">
      <c r="C103" s="1"/>
      <c r="E103" s="1"/>
      <c r="F103" s="16"/>
    </row>
    <row r="104" spans="3:18" ht="15.75" customHeight="1" x14ac:dyDescent="0.25">
      <c r="C104" s="1"/>
      <c r="D104" s="1"/>
      <c r="E104" s="1"/>
      <c r="F104" s="16"/>
      <c r="I104" s="33">
        <f>SUM('July 24'!$I$102:'July 24'!$Q$102)</f>
        <v>101760</v>
      </c>
    </row>
    <row r="105" spans="3:18" ht="15.75" customHeight="1" x14ac:dyDescent="0.25">
      <c r="E105" s="1"/>
      <c r="F105" s="16"/>
    </row>
    <row r="106" spans="3:18" ht="15.75" customHeight="1" x14ac:dyDescent="0.25"/>
    <row r="107" spans="3:18" ht="15.75" customHeight="1" x14ac:dyDescent="0.25"/>
    <row r="108" spans="3:18" ht="15.75" customHeight="1" x14ac:dyDescent="0.25"/>
    <row r="109" spans="3:18" ht="15.75" customHeight="1" x14ac:dyDescent="0.25"/>
    <row r="110" spans="3:18" ht="15.75" customHeight="1" x14ac:dyDescent="0.25"/>
    <row r="111" spans="3:18" ht="15.75" customHeight="1" x14ac:dyDescent="0.25"/>
    <row r="112" spans="3:1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T33:V33"/>
    <mergeCell ref="T34:V34"/>
    <mergeCell ref="T35:V35"/>
    <mergeCell ref="T36:V36"/>
    <mergeCell ref="T37:V37"/>
    <mergeCell ref="T32:V32"/>
    <mergeCell ref="X32:Y32"/>
    <mergeCell ref="C11:D11"/>
    <mergeCell ref="C18:E18"/>
    <mergeCell ref="T20:W20"/>
    <mergeCell ref="T21:V21"/>
    <mergeCell ref="X31:Y31"/>
  </mergeCells>
  <pageMargins left="0.7" right="0.7" top="0.75" bottom="0.75" header="0" footer="0"/>
  <pageSetup orientation="portrait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C3:Z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8" customWidth="1"/>
    <col min="3" max="3" width="9.85546875" customWidth="1"/>
    <col min="4" max="4" width="12.7109375" customWidth="1"/>
    <col min="5" max="5" width="13.28515625" customWidth="1"/>
    <col min="6" max="6" width="9.42578125" customWidth="1"/>
    <col min="7" max="7" width="8.7109375" customWidth="1"/>
    <col min="8" max="8" width="12.28515625" customWidth="1"/>
    <col min="9" max="14" width="8.7109375" customWidth="1"/>
    <col min="15" max="15" width="11.7109375" customWidth="1"/>
    <col min="16" max="16" width="11.42578125" customWidth="1"/>
    <col min="17" max="17" width="11.85546875" customWidth="1"/>
    <col min="18" max="20" width="8.7109375" customWidth="1"/>
    <col min="21" max="21" width="10.7109375" customWidth="1"/>
    <col min="22" max="26" width="8.7109375" customWidth="1"/>
  </cols>
  <sheetData>
    <row r="3" spans="3:17" x14ac:dyDescent="0.25"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3:17" ht="15.75" x14ac:dyDescent="0.25">
      <c r="C4" s="1"/>
      <c r="D4" s="2" t="s">
        <v>621</v>
      </c>
      <c r="E4" s="17"/>
      <c r="F4" s="18"/>
      <c r="G4" s="2"/>
      <c r="H4" s="2"/>
      <c r="I4" s="2"/>
      <c r="J4" s="2"/>
      <c r="K4" s="8"/>
      <c r="L4" s="2"/>
      <c r="M4" s="3"/>
      <c r="N4" s="3"/>
      <c r="O4" s="65" t="s">
        <v>88</v>
      </c>
      <c r="P4" s="60" t="s">
        <v>2</v>
      </c>
      <c r="Q4" s="66" t="s">
        <v>117</v>
      </c>
    </row>
    <row r="5" spans="3:17" ht="15.75" x14ac:dyDescent="0.25">
      <c r="C5" s="1"/>
      <c r="D5" s="67" t="s">
        <v>1</v>
      </c>
      <c r="E5" s="44" t="s">
        <v>2</v>
      </c>
      <c r="F5" s="45">
        <v>1799</v>
      </c>
      <c r="G5" s="46">
        <v>2699</v>
      </c>
      <c r="H5" s="46">
        <v>588</v>
      </c>
      <c r="I5" s="46">
        <v>2088</v>
      </c>
      <c r="J5" s="46">
        <v>2488</v>
      </c>
      <c r="K5" s="46">
        <v>2688</v>
      </c>
      <c r="L5" s="45">
        <v>3099</v>
      </c>
      <c r="M5" s="62" t="s">
        <v>295</v>
      </c>
      <c r="N5" s="45" t="s">
        <v>3</v>
      </c>
      <c r="O5" s="47"/>
      <c r="P5" s="42"/>
      <c r="Q5" s="42"/>
    </row>
    <row r="6" spans="3:17" ht="17.25" x14ac:dyDescent="0.3">
      <c r="C6" s="1"/>
      <c r="D6" s="6" t="s">
        <v>259</v>
      </c>
      <c r="E6" s="12">
        <v>211153</v>
      </c>
      <c r="F6" s="12">
        <v>18400</v>
      </c>
      <c r="G6" s="12">
        <v>14805</v>
      </c>
      <c r="H6" s="12">
        <v>860</v>
      </c>
      <c r="I6" s="12">
        <v>0</v>
      </c>
      <c r="J6" s="12">
        <v>0</v>
      </c>
      <c r="K6" s="12">
        <v>3500</v>
      </c>
      <c r="L6" s="12">
        <v>825</v>
      </c>
      <c r="M6" s="12">
        <v>0</v>
      </c>
      <c r="N6" s="12">
        <v>234023</v>
      </c>
      <c r="O6" s="55">
        <f t="shared" ref="O6:O9" si="0">SUM(F6:M6)</f>
        <v>38390</v>
      </c>
      <c r="P6" s="56">
        <f t="shared" ref="P6:P9" si="1">E6</f>
        <v>211153</v>
      </c>
      <c r="Q6" s="57">
        <f>SUM(E6:M6)</f>
        <v>249543</v>
      </c>
    </row>
    <row r="7" spans="3:17" ht="18.75" x14ac:dyDescent="0.3">
      <c r="C7" s="1"/>
      <c r="D7" s="6" t="s">
        <v>365</v>
      </c>
      <c r="E7" s="7">
        <f>W32</f>
        <v>19184</v>
      </c>
      <c r="F7" s="7">
        <f t="shared" ref="F7:M7" si="2">F18</f>
        <v>0</v>
      </c>
      <c r="G7" s="7">
        <f t="shared" si="2"/>
        <v>0</v>
      </c>
      <c r="H7" s="7">
        <f t="shared" si="2"/>
        <v>0</v>
      </c>
      <c r="I7" s="7">
        <f t="shared" si="2"/>
        <v>0</v>
      </c>
      <c r="J7" s="7">
        <f t="shared" si="2"/>
        <v>0</v>
      </c>
      <c r="K7" s="7">
        <f t="shared" si="2"/>
        <v>0</v>
      </c>
      <c r="L7" s="7">
        <f t="shared" si="2"/>
        <v>0</v>
      </c>
      <c r="M7" s="7">
        <f t="shared" si="2"/>
        <v>0</v>
      </c>
      <c r="N7" s="7">
        <f t="shared" ref="N7:N8" si="3">SUM(E7:M7)</f>
        <v>19184</v>
      </c>
      <c r="O7" s="68">
        <f t="shared" si="0"/>
        <v>0</v>
      </c>
      <c r="P7" s="69">
        <f t="shared" si="1"/>
        <v>19184</v>
      </c>
      <c r="Q7" s="70">
        <f>O7+P7</f>
        <v>19184</v>
      </c>
    </row>
    <row r="8" spans="3:17" ht="21" x14ac:dyDescent="0.35">
      <c r="C8" s="1"/>
      <c r="D8" s="71" t="s">
        <v>622</v>
      </c>
      <c r="E8" s="48">
        <f>'Aug 24'!$I$102</f>
        <v>49780</v>
      </c>
      <c r="F8" s="48">
        <f>'Aug 24'!$J$102</f>
        <v>17700</v>
      </c>
      <c r="G8" s="49">
        <f>'Aug 24'!$K$102</f>
        <v>3000</v>
      </c>
      <c r="H8" s="49">
        <f>'Aug 24'!$L$102</f>
        <v>860</v>
      </c>
      <c r="I8" s="49">
        <f>'Aug 24'!$M$102</f>
        <v>0</v>
      </c>
      <c r="J8" s="49">
        <f>'Aug 24'!$N$102</f>
        <v>0</v>
      </c>
      <c r="K8" s="49">
        <f>'Aug 24'!$O$102</f>
        <v>3185</v>
      </c>
      <c r="L8" s="49">
        <f>'Aug 24'!$P$102</f>
        <v>0</v>
      </c>
      <c r="M8" s="49">
        <f>'Aug 24'!$Q$102</f>
        <v>0</v>
      </c>
      <c r="N8" s="72">
        <f t="shared" si="3"/>
        <v>74525</v>
      </c>
      <c r="O8" s="73">
        <f t="shared" si="0"/>
        <v>24745</v>
      </c>
      <c r="P8" s="74">
        <f t="shared" si="1"/>
        <v>49780</v>
      </c>
      <c r="Q8" s="75">
        <f t="shared" ref="Q8:Q9" si="4">SUM(O8,P8)</f>
        <v>74525</v>
      </c>
    </row>
    <row r="9" spans="3:17" ht="17.25" x14ac:dyDescent="0.3">
      <c r="C9" s="1"/>
      <c r="D9" s="6" t="s">
        <v>261</v>
      </c>
      <c r="E9" s="12">
        <f t="shared" ref="E9:M9" si="5">SUM(E6,E7-E8)</f>
        <v>180557</v>
      </c>
      <c r="F9" s="12">
        <f t="shared" si="5"/>
        <v>700</v>
      </c>
      <c r="G9" s="12">
        <f t="shared" si="5"/>
        <v>11805</v>
      </c>
      <c r="H9" s="12">
        <f t="shared" si="5"/>
        <v>0</v>
      </c>
      <c r="I9" s="12">
        <f t="shared" si="5"/>
        <v>0</v>
      </c>
      <c r="J9" s="12">
        <f t="shared" si="5"/>
        <v>0</v>
      </c>
      <c r="K9" s="12">
        <f t="shared" si="5"/>
        <v>315</v>
      </c>
      <c r="L9" s="12">
        <f t="shared" si="5"/>
        <v>825</v>
      </c>
      <c r="M9" s="12">
        <f t="shared" si="5"/>
        <v>0</v>
      </c>
      <c r="N9" s="12">
        <f>SUM(N6+N7-N8)</f>
        <v>178682</v>
      </c>
      <c r="O9" s="55">
        <f t="shared" si="0"/>
        <v>13645</v>
      </c>
      <c r="P9" s="56">
        <f t="shared" si="1"/>
        <v>180557</v>
      </c>
      <c r="Q9" s="57">
        <f t="shared" si="4"/>
        <v>194202</v>
      </c>
    </row>
    <row r="10" spans="3:17" x14ac:dyDescent="0.25">
      <c r="C10" s="1"/>
      <c r="E10" s="1"/>
      <c r="F10" s="16"/>
    </row>
    <row r="11" spans="3:17" ht="15.75" x14ac:dyDescent="0.25">
      <c r="C11" s="103" t="s">
        <v>367</v>
      </c>
      <c r="D11" s="99"/>
      <c r="E11" s="21" t="s">
        <v>368</v>
      </c>
      <c r="F11" s="45">
        <v>1799</v>
      </c>
      <c r="G11" s="46">
        <v>2699</v>
      </c>
      <c r="H11" s="46">
        <v>588</v>
      </c>
      <c r="I11" s="46">
        <v>2088</v>
      </c>
      <c r="J11" s="46">
        <v>2488</v>
      </c>
      <c r="K11" s="46">
        <v>2688</v>
      </c>
      <c r="L11" s="45">
        <v>3099</v>
      </c>
      <c r="M11" s="62" t="s">
        <v>295</v>
      </c>
      <c r="N11" s="45" t="s">
        <v>3</v>
      </c>
      <c r="O11" s="76" t="s">
        <v>369</v>
      </c>
      <c r="P11" s="76" t="s">
        <v>370</v>
      </c>
    </row>
    <row r="12" spans="3:17" x14ac:dyDescent="0.25">
      <c r="C12" s="9" t="s">
        <v>371</v>
      </c>
      <c r="D12" s="79" t="s">
        <v>372</v>
      </c>
      <c r="E12" s="9" t="s">
        <v>373</v>
      </c>
      <c r="F12" s="22"/>
      <c r="G12" s="7"/>
      <c r="H12" s="7"/>
      <c r="I12" s="7"/>
      <c r="J12" s="7"/>
      <c r="K12" s="7"/>
      <c r="L12" s="7"/>
      <c r="M12" s="7"/>
      <c r="N12" s="7">
        <f>SUM(F12:M12)</f>
        <v>0</v>
      </c>
      <c r="O12" s="10"/>
      <c r="P12" s="10"/>
    </row>
    <row r="13" spans="3:17" x14ac:dyDescent="0.25">
      <c r="C13" s="10">
        <v>1</v>
      </c>
      <c r="D13" s="7" t="s">
        <v>374</v>
      </c>
      <c r="E13" s="78"/>
      <c r="F13" s="10"/>
      <c r="G13" s="7"/>
      <c r="H13" s="7"/>
      <c r="I13" s="7"/>
      <c r="J13" s="7"/>
      <c r="K13" s="7"/>
      <c r="L13" s="7"/>
      <c r="M13" s="7"/>
      <c r="N13" s="7"/>
      <c r="O13" s="10"/>
      <c r="P13" s="10"/>
    </row>
    <row r="14" spans="3:17" x14ac:dyDescent="0.25">
      <c r="C14" s="10">
        <v>2</v>
      </c>
      <c r="D14" s="7" t="s">
        <v>376</v>
      </c>
      <c r="E14" s="78"/>
      <c r="F14" s="22"/>
      <c r="G14" s="7"/>
      <c r="H14" s="7"/>
      <c r="I14" s="7"/>
      <c r="J14" s="7"/>
      <c r="K14" s="7"/>
      <c r="L14" s="7"/>
      <c r="M14" s="7"/>
      <c r="N14" s="7"/>
      <c r="O14" s="10"/>
      <c r="P14" s="10"/>
    </row>
    <row r="15" spans="3:17" x14ac:dyDescent="0.25">
      <c r="C15" s="10">
        <v>3</v>
      </c>
      <c r="D15" s="7" t="s">
        <v>376</v>
      </c>
      <c r="E15" s="78"/>
      <c r="F15" s="22"/>
      <c r="G15" s="7"/>
      <c r="H15" s="7"/>
      <c r="I15" s="7"/>
      <c r="J15" s="7"/>
      <c r="K15" s="7"/>
      <c r="L15" s="7"/>
      <c r="M15" s="7"/>
      <c r="N15" s="7"/>
      <c r="O15" s="10"/>
      <c r="P15" s="10"/>
    </row>
    <row r="16" spans="3:17" x14ac:dyDescent="0.25">
      <c r="C16" s="10">
        <v>4</v>
      </c>
      <c r="D16" s="7" t="s">
        <v>374</v>
      </c>
      <c r="E16" s="78"/>
      <c r="F16" s="22"/>
      <c r="G16" s="7"/>
      <c r="H16" s="7"/>
      <c r="I16" s="7"/>
      <c r="J16" s="7"/>
      <c r="K16" s="7"/>
      <c r="L16" s="7"/>
      <c r="M16" s="7"/>
      <c r="N16" s="7"/>
      <c r="O16" s="10"/>
      <c r="P16" s="10"/>
    </row>
    <row r="17" spans="3:26" x14ac:dyDescent="0.25">
      <c r="C17" s="10">
        <v>5</v>
      </c>
      <c r="D17" s="7" t="s">
        <v>378</v>
      </c>
      <c r="E17" s="11"/>
      <c r="F17" s="7"/>
      <c r="G17" s="7"/>
      <c r="H17" s="7"/>
      <c r="I17" s="7"/>
      <c r="J17" s="7"/>
      <c r="K17" s="7"/>
      <c r="L17" s="7"/>
      <c r="M17" s="7"/>
      <c r="N17" s="7"/>
      <c r="O17" s="10"/>
      <c r="P17" s="10"/>
    </row>
    <row r="18" spans="3:26" x14ac:dyDescent="0.25">
      <c r="C18" s="104" t="s">
        <v>3</v>
      </c>
      <c r="D18" s="98"/>
      <c r="E18" s="99"/>
      <c r="F18" s="7">
        <f t="shared" ref="F18:M18" si="6">SUM(F12:F17)</f>
        <v>0</v>
      </c>
      <c r="G18" s="7">
        <f t="shared" si="6"/>
        <v>0</v>
      </c>
      <c r="H18" s="7">
        <f t="shared" si="6"/>
        <v>0</v>
      </c>
      <c r="I18" s="7">
        <f t="shared" si="6"/>
        <v>0</v>
      </c>
      <c r="J18" s="7">
        <f t="shared" si="6"/>
        <v>0</v>
      </c>
      <c r="K18" s="7">
        <f t="shared" si="6"/>
        <v>0</v>
      </c>
      <c r="L18" s="7">
        <f t="shared" si="6"/>
        <v>0</v>
      </c>
      <c r="M18" s="7">
        <f t="shared" si="6"/>
        <v>0</v>
      </c>
      <c r="N18" s="7">
        <f>SUM(F18:M18)</f>
        <v>0</v>
      </c>
      <c r="O18" s="10"/>
      <c r="P18" s="10"/>
    </row>
    <row r="19" spans="3:26" x14ac:dyDescent="0.25">
      <c r="C19" s="1"/>
      <c r="E19" s="1"/>
      <c r="F19" s="16"/>
    </row>
    <row r="20" spans="3:26" ht="15.75" x14ac:dyDescent="0.25">
      <c r="C20" s="9" t="s">
        <v>8</v>
      </c>
      <c r="D20" s="4" t="s">
        <v>9</v>
      </c>
      <c r="E20" s="20" t="s">
        <v>10</v>
      </c>
      <c r="F20" s="20" t="s">
        <v>11</v>
      </c>
      <c r="G20" s="4" t="s">
        <v>4</v>
      </c>
      <c r="H20" s="4" t="s">
        <v>12</v>
      </c>
      <c r="I20" s="4" t="s">
        <v>2</v>
      </c>
      <c r="J20" s="4" t="s">
        <v>13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19</v>
      </c>
      <c r="P20" s="39" t="s">
        <v>204</v>
      </c>
      <c r="Q20" s="63" t="s">
        <v>295</v>
      </c>
      <c r="R20" s="39" t="s">
        <v>598</v>
      </c>
      <c r="T20" s="101" t="s">
        <v>118</v>
      </c>
      <c r="U20" s="102"/>
      <c r="V20" s="102"/>
      <c r="W20" s="102"/>
    </row>
    <row r="21" spans="3:26" ht="15.75" customHeight="1" x14ac:dyDescent="0.25">
      <c r="C21" s="10">
        <v>1</v>
      </c>
      <c r="D21" s="11">
        <v>45505</v>
      </c>
      <c r="E21" s="10" t="s">
        <v>410</v>
      </c>
      <c r="F21" s="22" t="s">
        <v>269</v>
      </c>
      <c r="G21" s="7">
        <v>3000</v>
      </c>
      <c r="H21" s="12">
        <v>176</v>
      </c>
      <c r="I21" s="7"/>
      <c r="J21" s="7"/>
      <c r="K21" s="7"/>
      <c r="L21" s="7"/>
      <c r="M21" s="7"/>
      <c r="N21" s="7"/>
      <c r="O21" s="7">
        <v>3000</v>
      </c>
      <c r="P21" s="7"/>
      <c r="Q21" s="40"/>
      <c r="R21" s="40"/>
      <c r="T21" s="97" t="s">
        <v>172</v>
      </c>
      <c r="U21" s="98"/>
      <c r="V21" s="98"/>
      <c r="W21" s="34"/>
    </row>
    <row r="22" spans="3:26" ht="15.75" customHeight="1" x14ac:dyDescent="0.25">
      <c r="C22" s="10">
        <v>2</v>
      </c>
      <c r="D22" s="11">
        <v>45506</v>
      </c>
      <c r="E22" s="10" t="s">
        <v>412</v>
      </c>
      <c r="F22" s="22" t="s">
        <v>623</v>
      </c>
      <c r="G22" s="7">
        <v>860</v>
      </c>
      <c r="H22" s="31">
        <v>172</v>
      </c>
      <c r="I22" s="7"/>
      <c r="J22" s="7"/>
      <c r="K22" s="7"/>
      <c r="L22" s="7">
        <v>860</v>
      </c>
      <c r="M22" s="7"/>
      <c r="N22" s="7"/>
      <c r="O22" s="7"/>
      <c r="P22" s="7"/>
      <c r="Q22" s="7"/>
      <c r="R22" s="7"/>
      <c r="T22" s="10" t="s">
        <v>121</v>
      </c>
      <c r="U22" s="7" t="s">
        <v>9</v>
      </c>
      <c r="V22" s="7" t="s">
        <v>122</v>
      </c>
      <c r="W22" s="7" t="s">
        <v>4</v>
      </c>
      <c r="X22" s="7" t="s">
        <v>549</v>
      </c>
      <c r="Y22" s="7" t="s">
        <v>576</v>
      </c>
      <c r="Z22" s="7" t="s">
        <v>577</v>
      </c>
    </row>
    <row r="23" spans="3:26" ht="15.75" customHeight="1" x14ac:dyDescent="0.25">
      <c r="C23" s="10">
        <v>3</v>
      </c>
      <c r="D23" s="11">
        <v>45509</v>
      </c>
      <c r="E23" s="10" t="s">
        <v>414</v>
      </c>
      <c r="F23" s="22" t="s">
        <v>606</v>
      </c>
      <c r="G23" s="7">
        <v>1200</v>
      </c>
      <c r="H23" s="12">
        <v>170</v>
      </c>
      <c r="I23" s="7"/>
      <c r="J23" s="7"/>
      <c r="K23" s="7">
        <v>1200</v>
      </c>
      <c r="L23" s="7"/>
      <c r="M23" s="7"/>
      <c r="N23" s="7"/>
      <c r="O23" s="7"/>
      <c r="P23" s="7"/>
      <c r="Q23" s="7"/>
      <c r="R23" s="7"/>
      <c r="T23" s="10">
        <v>1</v>
      </c>
      <c r="U23" s="41">
        <v>45534</v>
      </c>
      <c r="V23" s="7" t="s">
        <v>426</v>
      </c>
      <c r="W23" s="7">
        <v>19184</v>
      </c>
      <c r="X23" s="76">
        <v>92</v>
      </c>
      <c r="Y23" s="10"/>
      <c r="Z23" s="7">
        <f t="shared" ref="Z23:Z30" si="7">W23*X23</f>
        <v>1764928</v>
      </c>
    </row>
    <row r="24" spans="3:26" ht="15.75" customHeight="1" x14ac:dyDescent="0.25">
      <c r="C24" s="10">
        <v>4</v>
      </c>
      <c r="D24" s="11">
        <v>45509</v>
      </c>
      <c r="E24" s="10">
        <v>152</v>
      </c>
      <c r="F24" s="22" t="s">
        <v>394</v>
      </c>
      <c r="G24" s="7">
        <v>9500</v>
      </c>
      <c r="H24" s="12">
        <v>99</v>
      </c>
      <c r="I24" s="7">
        <v>9500</v>
      </c>
      <c r="J24" s="7"/>
      <c r="K24" s="7"/>
      <c r="L24" s="7"/>
      <c r="M24" s="7"/>
      <c r="N24" s="7"/>
      <c r="O24" s="7"/>
      <c r="P24" s="7"/>
      <c r="Q24" s="7"/>
      <c r="R24" s="7"/>
      <c r="T24" s="10">
        <v>2</v>
      </c>
      <c r="U24" s="41"/>
      <c r="V24" s="7" t="s">
        <v>599</v>
      </c>
      <c r="W24" s="7">
        <v>0</v>
      </c>
      <c r="X24" s="76">
        <v>0</v>
      </c>
      <c r="Y24" s="10"/>
      <c r="Z24" s="7">
        <f t="shared" si="7"/>
        <v>0</v>
      </c>
    </row>
    <row r="25" spans="3:26" ht="15.75" customHeight="1" x14ac:dyDescent="0.25">
      <c r="C25" s="10">
        <v>5</v>
      </c>
      <c r="D25" s="11">
        <v>45510</v>
      </c>
      <c r="E25" s="10">
        <v>154</v>
      </c>
      <c r="F25" s="22" t="s">
        <v>180</v>
      </c>
      <c r="G25" s="7">
        <v>100</v>
      </c>
      <c r="H25" s="12">
        <v>118</v>
      </c>
      <c r="I25" s="7">
        <v>100</v>
      </c>
      <c r="J25" s="7"/>
      <c r="K25" s="7"/>
      <c r="L25" s="7"/>
      <c r="M25" s="7"/>
      <c r="N25" s="7"/>
      <c r="O25" s="7"/>
      <c r="P25" s="7"/>
      <c r="Q25" s="7"/>
      <c r="R25" s="7"/>
      <c r="T25" s="10">
        <v>3</v>
      </c>
      <c r="U25" s="41"/>
      <c r="V25" s="7" t="s">
        <v>426</v>
      </c>
      <c r="W25" s="7"/>
      <c r="X25" s="76"/>
      <c r="Y25" s="10"/>
      <c r="Z25" s="7">
        <f t="shared" si="7"/>
        <v>0</v>
      </c>
    </row>
    <row r="26" spans="3:26" ht="15.75" customHeight="1" x14ac:dyDescent="0.25">
      <c r="C26" s="10">
        <v>6</v>
      </c>
      <c r="D26" s="11">
        <v>45511</v>
      </c>
      <c r="E26" s="10">
        <v>156</v>
      </c>
      <c r="F26" s="22" t="s">
        <v>193</v>
      </c>
      <c r="G26" s="7">
        <v>100</v>
      </c>
      <c r="H26" s="12">
        <v>116</v>
      </c>
      <c r="I26" s="7">
        <v>100</v>
      </c>
      <c r="J26" s="7"/>
      <c r="K26" s="7"/>
      <c r="L26" s="7"/>
      <c r="M26" s="7"/>
      <c r="N26" s="7"/>
      <c r="O26" s="7"/>
      <c r="P26" s="7"/>
      <c r="Q26" s="7"/>
      <c r="R26" s="7"/>
      <c r="T26" s="10">
        <v>4</v>
      </c>
      <c r="U26" s="41"/>
      <c r="V26" s="7" t="s">
        <v>426</v>
      </c>
      <c r="W26" s="7"/>
      <c r="X26" s="76"/>
      <c r="Y26" s="10"/>
      <c r="Z26" s="7">
        <f t="shared" si="7"/>
        <v>0</v>
      </c>
    </row>
    <row r="27" spans="3:26" ht="15.75" customHeight="1" x14ac:dyDescent="0.25">
      <c r="C27" s="10">
        <v>7</v>
      </c>
      <c r="D27" s="11">
        <v>45511</v>
      </c>
      <c r="E27" s="10">
        <v>157</v>
      </c>
      <c r="F27" s="22" t="s">
        <v>80</v>
      </c>
      <c r="G27" s="7">
        <v>200</v>
      </c>
      <c r="H27" s="12">
        <v>120</v>
      </c>
      <c r="I27" s="7">
        <v>120</v>
      </c>
      <c r="J27" s="7"/>
      <c r="K27" s="7"/>
      <c r="L27" s="7"/>
      <c r="M27" s="7"/>
      <c r="N27" s="7"/>
      <c r="O27" s="7"/>
      <c r="P27" s="7"/>
      <c r="Q27" s="7"/>
      <c r="R27" s="7"/>
      <c r="T27" s="10">
        <v>5</v>
      </c>
      <c r="U27" s="41"/>
      <c r="V27" s="7" t="s">
        <v>579</v>
      </c>
      <c r="W27" s="7"/>
      <c r="X27" s="76"/>
      <c r="Y27" s="10"/>
      <c r="Z27" s="7">
        <f t="shared" si="7"/>
        <v>0</v>
      </c>
    </row>
    <row r="28" spans="3:26" ht="15.75" customHeight="1" x14ac:dyDescent="0.25">
      <c r="C28" s="10">
        <v>8</v>
      </c>
      <c r="D28" s="11">
        <v>45511</v>
      </c>
      <c r="E28" s="10">
        <v>158</v>
      </c>
      <c r="F28" s="22" t="s">
        <v>624</v>
      </c>
      <c r="G28" s="7">
        <v>400</v>
      </c>
      <c r="H28" s="12" t="s">
        <v>625</v>
      </c>
      <c r="I28" s="7">
        <v>100</v>
      </c>
      <c r="J28" s="7"/>
      <c r="K28" s="7">
        <v>300</v>
      </c>
      <c r="L28" s="7"/>
      <c r="M28" s="7"/>
      <c r="N28" s="7"/>
      <c r="O28" s="7"/>
      <c r="P28" s="7"/>
      <c r="Q28" s="7"/>
      <c r="R28" s="7"/>
      <c r="T28" s="10">
        <v>6</v>
      </c>
      <c r="U28" s="41"/>
      <c r="V28" s="7" t="s">
        <v>552</v>
      </c>
      <c r="W28" s="7"/>
      <c r="X28" s="7"/>
      <c r="Y28" s="7"/>
      <c r="Z28" s="7">
        <f t="shared" si="7"/>
        <v>0</v>
      </c>
    </row>
    <row r="29" spans="3:26" ht="15.75" customHeight="1" x14ac:dyDescent="0.25">
      <c r="C29" s="10">
        <v>9</v>
      </c>
      <c r="D29" s="11">
        <v>45513</v>
      </c>
      <c r="E29" s="10" t="s">
        <v>415</v>
      </c>
      <c r="F29" s="22" t="s">
        <v>43</v>
      </c>
      <c r="G29" s="7">
        <v>4000</v>
      </c>
      <c r="H29" s="12">
        <v>156</v>
      </c>
      <c r="I29" s="7"/>
      <c r="J29" s="7">
        <v>4000</v>
      </c>
      <c r="K29" s="7"/>
      <c r="L29" s="7"/>
      <c r="M29" s="7"/>
      <c r="N29" s="7"/>
      <c r="O29" s="7"/>
      <c r="P29" s="7"/>
      <c r="Q29" s="7"/>
      <c r="R29" s="7"/>
      <c r="T29" s="10">
        <v>7</v>
      </c>
      <c r="U29" s="41"/>
      <c r="V29" s="7" t="s">
        <v>552</v>
      </c>
      <c r="W29" s="7"/>
      <c r="X29" s="7"/>
      <c r="Y29" s="7"/>
      <c r="Z29" s="7">
        <f t="shared" si="7"/>
        <v>0</v>
      </c>
    </row>
    <row r="30" spans="3:26" ht="15.75" customHeight="1" x14ac:dyDescent="0.25">
      <c r="C30" s="10">
        <v>10</v>
      </c>
      <c r="D30" s="11">
        <v>45516</v>
      </c>
      <c r="E30" s="10">
        <v>159</v>
      </c>
      <c r="F30" s="22" t="s">
        <v>333</v>
      </c>
      <c r="G30" s="7">
        <v>100</v>
      </c>
      <c r="H30" s="12">
        <v>115</v>
      </c>
      <c r="I30" s="7">
        <v>100</v>
      </c>
      <c r="J30" s="7"/>
      <c r="K30" s="7"/>
      <c r="L30" s="7"/>
      <c r="M30" s="7"/>
      <c r="N30" s="7"/>
      <c r="O30" s="7"/>
      <c r="P30" s="7"/>
      <c r="Q30" s="7"/>
      <c r="R30" s="7"/>
      <c r="T30" s="10">
        <v>8</v>
      </c>
      <c r="U30" s="11"/>
      <c r="V30" s="7"/>
      <c r="W30" s="7"/>
      <c r="X30" s="7"/>
      <c r="Y30" s="7"/>
      <c r="Z30" s="7">
        <f t="shared" si="7"/>
        <v>0</v>
      </c>
    </row>
    <row r="31" spans="3:26" ht="15.75" customHeight="1" x14ac:dyDescent="0.25">
      <c r="C31" s="10">
        <v>11</v>
      </c>
      <c r="D31" s="11">
        <v>45516</v>
      </c>
      <c r="E31" s="10">
        <v>160</v>
      </c>
      <c r="F31" s="22" t="s">
        <v>626</v>
      </c>
      <c r="G31" s="7">
        <v>5000</v>
      </c>
      <c r="H31" s="12">
        <v>120</v>
      </c>
      <c r="I31" s="7">
        <v>5000</v>
      </c>
      <c r="J31" s="7"/>
      <c r="K31" s="7"/>
      <c r="L31" s="7"/>
      <c r="M31" s="7"/>
      <c r="N31" s="7"/>
      <c r="O31" s="7"/>
      <c r="P31" s="7"/>
      <c r="Q31" s="7"/>
      <c r="R31" s="7"/>
      <c r="T31" s="10"/>
      <c r="U31" s="7"/>
      <c r="V31" s="7"/>
      <c r="W31" s="7"/>
      <c r="X31" s="104" t="s">
        <v>581</v>
      </c>
      <c r="Y31" s="99"/>
      <c r="Z31" s="7">
        <f>SUM(Z23:Z30)</f>
        <v>1764928</v>
      </c>
    </row>
    <row r="32" spans="3:26" ht="15.75" customHeight="1" x14ac:dyDescent="0.25">
      <c r="C32" s="10">
        <v>12</v>
      </c>
      <c r="D32" s="11">
        <v>45517</v>
      </c>
      <c r="E32" s="10">
        <v>161</v>
      </c>
      <c r="F32" s="22" t="s">
        <v>193</v>
      </c>
      <c r="G32" s="7">
        <v>3400</v>
      </c>
      <c r="H32" s="12">
        <v>118</v>
      </c>
      <c r="I32" s="7">
        <v>3400</v>
      </c>
      <c r="J32" s="7"/>
      <c r="K32" s="7"/>
      <c r="L32" s="7"/>
      <c r="M32" s="7"/>
      <c r="N32" s="7"/>
      <c r="O32" s="7"/>
      <c r="P32" s="7"/>
      <c r="Q32" s="7"/>
      <c r="R32" s="7"/>
      <c r="T32" s="97" t="s">
        <v>181</v>
      </c>
      <c r="U32" s="98"/>
      <c r="V32" s="99"/>
      <c r="W32" s="7">
        <f>SUM(W23:W30)</f>
        <v>19184</v>
      </c>
      <c r="X32" s="104" t="s">
        <v>582</v>
      </c>
      <c r="Y32" s="99"/>
      <c r="Z32" s="7">
        <f>Z31/W32</f>
        <v>92</v>
      </c>
    </row>
    <row r="33" spans="3:23" ht="15.75" customHeight="1" x14ac:dyDescent="0.25">
      <c r="C33" s="10">
        <v>13</v>
      </c>
      <c r="D33" s="11">
        <v>45517</v>
      </c>
      <c r="E33" s="10">
        <v>162</v>
      </c>
      <c r="F33" s="22" t="s">
        <v>407</v>
      </c>
      <c r="G33" s="7">
        <v>2000</v>
      </c>
      <c r="H33" s="12">
        <v>118</v>
      </c>
      <c r="I33" s="7">
        <v>2000</v>
      </c>
      <c r="J33" s="7"/>
      <c r="K33" s="7"/>
      <c r="L33" s="7"/>
      <c r="M33" s="7"/>
      <c r="N33" s="7"/>
      <c r="O33" s="7"/>
      <c r="P33" s="7"/>
      <c r="Q33" s="7"/>
      <c r="R33" s="7"/>
      <c r="T33" s="97" t="s">
        <v>183</v>
      </c>
      <c r="U33" s="98"/>
      <c r="V33" s="99"/>
      <c r="W33" s="7">
        <v>205777</v>
      </c>
    </row>
    <row r="34" spans="3:23" ht="15.75" customHeight="1" x14ac:dyDescent="0.25">
      <c r="C34" s="10">
        <v>14</v>
      </c>
      <c r="D34" s="11">
        <v>45517</v>
      </c>
      <c r="E34" s="10">
        <v>163</v>
      </c>
      <c r="F34" s="22" t="s">
        <v>358</v>
      </c>
      <c r="G34" s="7">
        <v>800</v>
      </c>
      <c r="H34" s="12">
        <v>157</v>
      </c>
      <c r="I34" s="7"/>
      <c r="J34" s="7">
        <v>800</v>
      </c>
      <c r="K34" s="7"/>
      <c r="L34" s="7"/>
      <c r="M34" s="7"/>
      <c r="N34" s="7"/>
      <c r="O34" s="7"/>
      <c r="P34" s="7"/>
      <c r="Q34" s="7"/>
      <c r="R34" s="7"/>
      <c r="T34" s="97" t="s">
        <v>184</v>
      </c>
      <c r="U34" s="98"/>
      <c r="V34" s="99"/>
      <c r="W34" s="35">
        <f>SUM(W32,W33)</f>
        <v>224961</v>
      </c>
    </row>
    <row r="35" spans="3:23" ht="15.75" customHeight="1" x14ac:dyDescent="0.25">
      <c r="C35" s="10">
        <v>15</v>
      </c>
      <c r="D35" s="11">
        <v>45517</v>
      </c>
      <c r="E35" s="10">
        <v>164</v>
      </c>
      <c r="F35" s="22" t="s">
        <v>620</v>
      </c>
      <c r="G35" s="7">
        <v>2000</v>
      </c>
      <c r="H35" s="12">
        <v>156</v>
      </c>
      <c r="I35" s="7"/>
      <c r="J35" s="7">
        <v>2000</v>
      </c>
      <c r="K35" s="7"/>
      <c r="L35" s="7"/>
      <c r="M35" s="7"/>
      <c r="N35" s="7"/>
      <c r="O35" s="7"/>
      <c r="P35" s="7"/>
      <c r="Q35" s="7"/>
      <c r="R35" s="7"/>
      <c r="T35" s="97" t="s">
        <v>186</v>
      </c>
      <c r="U35" s="98"/>
      <c r="V35" s="99"/>
      <c r="W35" s="7">
        <f>'Aug 24'!$I$102</f>
        <v>49780</v>
      </c>
    </row>
    <row r="36" spans="3:23" ht="15.75" customHeight="1" x14ac:dyDescent="0.25">
      <c r="C36" s="10">
        <v>16</v>
      </c>
      <c r="D36" s="11">
        <v>45518</v>
      </c>
      <c r="E36" s="10">
        <v>165</v>
      </c>
      <c r="F36" s="22" t="s">
        <v>394</v>
      </c>
      <c r="G36" s="7">
        <v>10000</v>
      </c>
      <c r="H36" s="12">
        <v>99</v>
      </c>
      <c r="I36" s="7">
        <v>10000</v>
      </c>
      <c r="J36" s="7"/>
      <c r="K36" s="7"/>
      <c r="L36" s="7"/>
      <c r="M36" s="7"/>
      <c r="N36" s="7"/>
      <c r="O36" s="7"/>
      <c r="P36" s="7"/>
      <c r="Q36" s="7"/>
      <c r="R36" s="7"/>
      <c r="T36" s="97"/>
      <c r="U36" s="98"/>
      <c r="V36" s="99"/>
      <c r="W36" s="7"/>
    </row>
    <row r="37" spans="3:23" ht="15.75" customHeight="1" x14ac:dyDescent="0.25">
      <c r="C37" s="10">
        <v>17</v>
      </c>
      <c r="D37" s="11">
        <v>45518</v>
      </c>
      <c r="E37" s="10" t="s">
        <v>433</v>
      </c>
      <c r="F37" s="22" t="s">
        <v>627</v>
      </c>
      <c r="G37" s="7">
        <v>500</v>
      </c>
      <c r="H37" s="12">
        <v>158</v>
      </c>
      <c r="I37" s="7"/>
      <c r="J37" s="7">
        <v>500</v>
      </c>
      <c r="K37" s="7"/>
      <c r="L37" s="7"/>
      <c r="M37" s="7"/>
      <c r="N37" s="7"/>
      <c r="O37" s="7"/>
      <c r="P37" s="7"/>
      <c r="Q37" s="7"/>
      <c r="R37" s="7"/>
      <c r="T37" s="100" t="s">
        <v>188</v>
      </c>
      <c r="U37" s="98"/>
      <c r="V37" s="99"/>
      <c r="W37" s="36">
        <f>SUM(W34-W35)</f>
        <v>175181</v>
      </c>
    </row>
    <row r="38" spans="3:23" ht="15.75" customHeight="1" x14ac:dyDescent="0.25">
      <c r="C38" s="10">
        <v>18</v>
      </c>
      <c r="D38" s="11">
        <v>45520</v>
      </c>
      <c r="E38" s="10" t="s">
        <v>628</v>
      </c>
      <c r="F38" s="22" t="s">
        <v>101</v>
      </c>
      <c r="G38" s="7">
        <v>5000</v>
      </c>
      <c r="H38" s="12">
        <v>157</v>
      </c>
      <c r="I38" s="7"/>
      <c r="J38" s="7">
        <v>5000</v>
      </c>
      <c r="K38" s="7"/>
      <c r="L38" s="7"/>
      <c r="M38" s="7"/>
      <c r="N38" s="7"/>
      <c r="O38" s="7"/>
      <c r="P38" s="7"/>
      <c r="Q38" s="7"/>
      <c r="R38" s="7"/>
    </row>
    <row r="39" spans="3:23" ht="15.75" customHeight="1" x14ac:dyDescent="0.25">
      <c r="C39" s="10">
        <v>18</v>
      </c>
      <c r="D39" s="11">
        <v>45520</v>
      </c>
      <c r="E39" s="24" t="s">
        <v>441</v>
      </c>
      <c r="F39" s="22" t="s">
        <v>80</v>
      </c>
      <c r="G39" s="7">
        <v>1000</v>
      </c>
      <c r="H39" s="12">
        <v>160</v>
      </c>
      <c r="I39" s="7"/>
      <c r="J39" s="7">
        <v>1000</v>
      </c>
      <c r="K39" s="7"/>
      <c r="L39" s="7"/>
      <c r="M39" s="7"/>
      <c r="N39" s="7"/>
      <c r="O39" s="7"/>
      <c r="P39" s="7"/>
      <c r="Q39" s="7"/>
      <c r="R39" s="7"/>
    </row>
    <row r="40" spans="3:23" ht="15.75" customHeight="1" x14ac:dyDescent="0.25">
      <c r="C40" s="10">
        <v>19</v>
      </c>
      <c r="D40" s="11">
        <v>45521</v>
      </c>
      <c r="E40" s="10">
        <v>166</v>
      </c>
      <c r="F40" s="22" t="s">
        <v>52</v>
      </c>
      <c r="G40" s="7">
        <v>6000</v>
      </c>
      <c r="H40" s="12">
        <v>115</v>
      </c>
      <c r="I40" s="7">
        <v>6000</v>
      </c>
      <c r="J40" s="7"/>
      <c r="K40" s="7"/>
      <c r="L40" s="7"/>
      <c r="M40" s="7"/>
      <c r="N40" s="7"/>
      <c r="O40" s="7"/>
      <c r="P40" s="7"/>
      <c r="Q40" s="7"/>
      <c r="R40" s="7"/>
    </row>
    <row r="41" spans="3:23" ht="15.75" customHeight="1" x14ac:dyDescent="0.25">
      <c r="C41" s="10">
        <v>20</v>
      </c>
      <c r="D41" s="11">
        <v>45521</v>
      </c>
      <c r="E41" s="10">
        <v>167</v>
      </c>
      <c r="F41" s="22" t="s">
        <v>48</v>
      </c>
      <c r="G41" s="7">
        <v>200</v>
      </c>
      <c r="H41" s="12">
        <v>117</v>
      </c>
      <c r="I41" s="7">
        <v>200</v>
      </c>
      <c r="J41" s="7"/>
      <c r="K41" s="7"/>
      <c r="L41" s="7"/>
      <c r="M41" s="7"/>
      <c r="N41" s="7"/>
      <c r="O41" s="7"/>
      <c r="P41" s="7"/>
      <c r="Q41" s="7"/>
      <c r="R41" s="7"/>
    </row>
    <row r="42" spans="3:23" ht="15.75" customHeight="1" x14ac:dyDescent="0.25">
      <c r="C42" s="10">
        <v>21</v>
      </c>
      <c r="D42" s="11">
        <v>45521</v>
      </c>
      <c r="E42" s="10">
        <v>168</v>
      </c>
      <c r="F42" s="22" t="s">
        <v>48</v>
      </c>
      <c r="G42" s="7">
        <v>400</v>
      </c>
      <c r="H42" s="12">
        <v>157</v>
      </c>
      <c r="I42" s="7"/>
      <c r="J42" s="7">
        <v>400</v>
      </c>
      <c r="K42" s="7"/>
      <c r="L42" s="7"/>
      <c r="M42" s="7"/>
      <c r="N42" s="7"/>
      <c r="O42" s="7"/>
      <c r="P42" s="7"/>
      <c r="Q42" s="7"/>
      <c r="R42" s="7"/>
    </row>
    <row r="43" spans="3:23" ht="15.75" customHeight="1" x14ac:dyDescent="0.25">
      <c r="C43" s="10">
        <v>22</v>
      </c>
      <c r="D43" s="11">
        <v>45521</v>
      </c>
      <c r="E43" s="10">
        <v>169</v>
      </c>
      <c r="F43" s="22" t="s">
        <v>44</v>
      </c>
      <c r="G43" s="7">
        <v>500</v>
      </c>
      <c r="H43" s="12">
        <v>171</v>
      </c>
      <c r="I43" s="7"/>
      <c r="J43" s="7"/>
      <c r="K43" s="7">
        <v>500</v>
      </c>
      <c r="L43" s="7"/>
      <c r="M43" s="7"/>
      <c r="N43" s="7"/>
      <c r="O43" s="7"/>
      <c r="P43" s="7"/>
      <c r="Q43" s="7"/>
      <c r="R43" s="7"/>
    </row>
    <row r="44" spans="3:23" ht="15.75" customHeight="1" x14ac:dyDescent="0.25">
      <c r="C44" s="10">
        <v>23</v>
      </c>
      <c r="D44" s="11">
        <v>45521</v>
      </c>
      <c r="E44" s="10">
        <v>170</v>
      </c>
      <c r="F44" s="22" t="s">
        <v>44</v>
      </c>
      <c r="G44" s="7">
        <v>1000</v>
      </c>
      <c r="H44" s="12">
        <v>117</v>
      </c>
      <c r="I44" s="7">
        <v>1000</v>
      </c>
      <c r="J44" s="7"/>
      <c r="K44" s="7"/>
      <c r="L44" s="7"/>
      <c r="M44" s="7"/>
      <c r="N44" s="7"/>
      <c r="O44" s="7"/>
      <c r="P44" s="7"/>
      <c r="Q44" s="7"/>
      <c r="R44" s="7"/>
    </row>
    <row r="45" spans="3:23" ht="15.75" customHeight="1" x14ac:dyDescent="0.25">
      <c r="C45" s="10">
        <v>24</v>
      </c>
      <c r="D45" s="11">
        <v>45521</v>
      </c>
      <c r="E45" s="10">
        <v>171</v>
      </c>
      <c r="F45" s="22" t="s">
        <v>614</v>
      </c>
      <c r="G45" s="7">
        <v>200</v>
      </c>
      <c r="H45" s="12">
        <v>105</v>
      </c>
      <c r="I45" s="7">
        <v>200</v>
      </c>
      <c r="J45" s="7"/>
      <c r="K45" s="7"/>
      <c r="L45" s="7"/>
      <c r="M45" s="7"/>
      <c r="N45" s="7"/>
      <c r="O45" s="7"/>
      <c r="P45" s="7"/>
      <c r="Q45" s="7"/>
      <c r="R45" s="7"/>
    </row>
    <row r="46" spans="3:23" ht="15.75" customHeight="1" x14ac:dyDescent="0.25">
      <c r="C46" s="10">
        <v>26</v>
      </c>
      <c r="D46" s="11">
        <v>45523</v>
      </c>
      <c r="E46" s="10">
        <v>173</v>
      </c>
      <c r="F46" s="22" t="s">
        <v>162</v>
      </c>
      <c r="G46" s="7">
        <v>60</v>
      </c>
      <c r="H46" s="12">
        <v>115</v>
      </c>
      <c r="I46" s="7">
        <v>60</v>
      </c>
      <c r="J46" s="7"/>
      <c r="K46" s="7"/>
      <c r="L46" s="7"/>
      <c r="M46" s="7"/>
      <c r="N46" s="7"/>
      <c r="O46" s="7"/>
      <c r="P46" s="7"/>
      <c r="Q46" s="7"/>
      <c r="R46" s="7"/>
    </row>
    <row r="47" spans="3:23" ht="15.75" customHeight="1" x14ac:dyDescent="0.25">
      <c r="C47" s="10">
        <v>27</v>
      </c>
      <c r="D47" s="11">
        <v>45525</v>
      </c>
      <c r="E47" s="10">
        <v>176</v>
      </c>
      <c r="F47" s="22" t="s">
        <v>80</v>
      </c>
      <c r="G47" s="7">
        <v>500</v>
      </c>
      <c r="H47" s="12">
        <v>128</v>
      </c>
      <c r="I47" s="7">
        <v>500</v>
      </c>
      <c r="J47" s="7"/>
      <c r="K47" s="7"/>
      <c r="L47" s="7"/>
      <c r="M47" s="7"/>
      <c r="N47" s="7"/>
      <c r="O47" s="7"/>
      <c r="P47" s="7"/>
      <c r="Q47" s="7"/>
      <c r="R47" s="7"/>
    </row>
    <row r="48" spans="3:23" ht="15.75" customHeight="1" x14ac:dyDescent="0.25">
      <c r="C48" s="10">
        <v>28</v>
      </c>
      <c r="D48" s="11">
        <v>45525</v>
      </c>
      <c r="E48" s="10" t="s">
        <v>449</v>
      </c>
      <c r="F48" s="22" t="s">
        <v>43</v>
      </c>
      <c r="G48" s="7">
        <v>3000</v>
      </c>
      <c r="H48" s="12" t="s">
        <v>629</v>
      </c>
      <c r="I48" s="7"/>
      <c r="J48" s="7">
        <v>2000</v>
      </c>
      <c r="K48" s="7">
        <v>1000</v>
      </c>
      <c r="L48" s="7"/>
      <c r="M48" s="7"/>
      <c r="N48" s="7"/>
      <c r="O48" s="7"/>
      <c r="P48" s="7"/>
      <c r="Q48" s="7"/>
      <c r="R48" s="7"/>
      <c r="S48" s="1"/>
    </row>
    <row r="49" spans="3:19" ht="15.75" customHeight="1" x14ac:dyDescent="0.25">
      <c r="C49" s="10">
        <v>29</v>
      </c>
      <c r="D49" s="11">
        <v>45526</v>
      </c>
      <c r="E49" s="10">
        <v>177</v>
      </c>
      <c r="F49" s="22" t="s">
        <v>620</v>
      </c>
      <c r="G49" s="7">
        <v>2000</v>
      </c>
      <c r="H49" s="12">
        <v>156</v>
      </c>
      <c r="I49" s="7"/>
      <c r="J49" s="7">
        <v>2000</v>
      </c>
      <c r="K49" s="7"/>
      <c r="L49" s="7"/>
      <c r="M49" s="7"/>
      <c r="N49" s="7"/>
      <c r="O49" s="7"/>
      <c r="P49" s="7"/>
      <c r="Q49" s="7"/>
      <c r="R49" s="7"/>
      <c r="S49" s="1"/>
    </row>
    <row r="50" spans="3:19" ht="15.75" customHeight="1" x14ac:dyDescent="0.25">
      <c r="C50" s="10">
        <v>30</v>
      </c>
      <c r="D50" s="11">
        <v>45530</v>
      </c>
      <c r="E50" s="10">
        <v>178</v>
      </c>
      <c r="F50" s="22" t="s">
        <v>394</v>
      </c>
      <c r="G50" s="7">
        <v>10000</v>
      </c>
      <c r="H50" s="12">
        <v>99</v>
      </c>
      <c r="I50" s="7">
        <v>10000</v>
      </c>
      <c r="J50" s="7"/>
      <c r="K50" s="7"/>
      <c r="L50" s="7"/>
      <c r="M50" s="7"/>
      <c r="N50" s="7"/>
      <c r="O50" s="7"/>
      <c r="P50" s="7"/>
      <c r="Q50" s="7"/>
      <c r="R50" s="7"/>
      <c r="S50" s="1"/>
    </row>
    <row r="51" spans="3:19" ht="15.75" customHeight="1" x14ac:dyDescent="0.25">
      <c r="C51" s="10">
        <v>31</v>
      </c>
      <c r="D51" s="11">
        <v>45530</v>
      </c>
      <c r="E51" s="10">
        <v>179</v>
      </c>
      <c r="F51" s="22" t="s">
        <v>76</v>
      </c>
      <c r="G51" s="7">
        <v>200</v>
      </c>
      <c r="H51" s="12" t="s">
        <v>630</v>
      </c>
      <c r="I51" s="7">
        <v>100</v>
      </c>
      <c r="J51" s="7"/>
      <c r="K51" s="7"/>
      <c r="L51" s="7"/>
      <c r="M51" s="7"/>
      <c r="N51" s="7"/>
      <c r="O51" s="7">
        <v>185</v>
      </c>
      <c r="P51" s="7"/>
      <c r="Q51" s="7"/>
      <c r="R51" s="7"/>
      <c r="S51" s="1"/>
    </row>
    <row r="52" spans="3:19" ht="15.75" customHeight="1" x14ac:dyDescent="0.25">
      <c r="C52" s="10">
        <v>32</v>
      </c>
      <c r="D52" s="11">
        <v>45535</v>
      </c>
      <c r="E52" s="10">
        <v>181</v>
      </c>
      <c r="F52" s="22" t="s">
        <v>631</v>
      </c>
      <c r="G52" s="7">
        <v>500</v>
      </c>
      <c r="H52" s="12">
        <v>119</v>
      </c>
      <c r="I52" s="7">
        <v>500</v>
      </c>
      <c r="J52" s="7"/>
      <c r="K52" s="7"/>
      <c r="L52" s="7"/>
      <c r="M52" s="7"/>
      <c r="N52" s="7"/>
      <c r="O52" s="7"/>
      <c r="P52" s="7"/>
      <c r="Q52" s="7"/>
      <c r="R52" s="7"/>
      <c r="S52" s="1"/>
    </row>
    <row r="53" spans="3:19" ht="15.75" customHeight="1" x14ac:dyDescent="0.25">
      <c r="C53" s="10">
        <v>33</v>
      </c>
      <c r="D53" s="11">
        <v>45514</v>
      </c>
      <c r="E53" s="10" t="s">
        <v>27</v>
      </c>
      <c r="F53" s="22" t="s">
        <v>37</v>
      </c>
      <c r="G53" s="7">
        <v>800</v>
      </c>
      <c r="H53" s="12">
        <v>125</v>
      </c>
      <c r="I53" s="7">
        <v>800</v>
      </c>
      <c r="J53" s="7"/>
      <c r="K53" s="7"/>
      <c r="L53" s="7"/>
      <c r="M53" s="7"/>
      <c r="N53" s="7"/>
      <c r="O53" s="7"/>
      <c r="P53" s="7"/>
      <c r="Q53" s="7"/>
      <c r="R53" s="7"/>
      <c r="S53" s="1"/>
    </row>
    <row r="54" spans="3:19" ht="15.75" customHeight="1" x14ac:dyDescent="0.25">
      <c r="C54" s="10">
        <v>34</v>
      </c>
      <c r="D54" s="11"/>
      <c r="E54" s="10"/>
      <c r="F54" s="22" t="s">
        <v>394</v>
      </c>
      <c r="G54" s="7"/>
      <c r="H54" s="12"/>
      <c r="I54" s="7"/>
      <c r="J54" s="7"/>
      <c r="K54" s="7"/>
      <c r="L54" s="7"/>
      <c r="M54" s="7"/>
      <c r="N54" s="7"/>
      <c r="O54" s="7"/>
      <c r="P54" s="7"/>
      <c r="Q54" s="7"/>
      <c r="R54" s="7"/>
      <c r="S54" s="1"/>
    </row>
    <row r="55" spans="3:19" ht="15.75" customHeight="1" x14ac:dyDescent="0.25">
      <c r="C55" s="10">
        <v>35</v>
      </c>
      <c r="D55" s="11"/>
      <c r="E55" s="10"/>
      <c r="F55" s="22" t="s">
        <v>255</v>
      </c>
      <c r="G55" s="7"/>
      <c r="H55" s="12"/>
      <c r="I55" s="7"/>
      <c r="J55" s="7"/>
      <c r="K55" s="7"/>
      <c r="L55" s="7"/>
      <c r="M55" s="7"/>
      <c r="N55" s="7"/>
      <c r="O55" s="7"/>
      <c r="P55" s="7"/>
      <c r="Q55" s="7"/>
      <c r="R55" s="7"/>
      <c r="S55" s="1"/>
    </row>
    <row r="56" spans="3:19" ht="15.75" customHeight="1" x14ac:dyDescent="0.25">
      <c r="C56" s="10">
        <v>36</v>
      </c>
      <c r="D56" s="11"/>
      <c r="E56" s="10"/>
      <c r="F56" s="22" t="s">
        <v>37</v>
      </c>
      <c r="G56" s="7"/>
      <c r="H56" s="12"/>
      <c r="I56" s="7"/>
      <c r="J56" s="7"/>
      <c r="K56" s="7"/>
      <c r="L56" s="7"/>
      <c r="M56" s="7"/>
      <c r="N56" s="7"/>
      <c r="O56" s="7"/>
      <c r="P56" s="7"/>
      <c r="Q56" s="7"/>
      <c r="R56" s="7"/>
      <c r="S56" s="1"/>
    </row>
    <row r="57" spans="3:19" ht="15.75" customHeight="1" x14ac:dyDescent="0.25">
      <c r="C57" s="10">
        <v>37</v>
      </c>
      <c r="D57" s="11"/>
      <c r="E57" s="10"/>
      <c r="F57" s="22" t="s">
        <v>620</v>
      </c>
      <c r="G57" s="7"/>
      <c r="H57" s="12"/>
      <c r="I57" s="7"/>
      <c r="J57" s="7"/>
      <c r="K57" s="7"/>
      <c r="L57" s="7"/>
      <c r="M57" s="7"/>
      <c r="N57" s="7"/>
      <c r="O57" s="7"/>
      <c r="P57" s="7"/>
      <c r="Q57" s="7"/>
      <c r="R57" s="7"/>
      <c r="S57" s="1"/>
    </row>
    <row r="58" spans="3:19" ht="15.75" customHeight="1" x14ac:dyDescent="0.25">
      <c r="C58" s="10">
        <v>38</v>
      </c>
      <c r="D58" s="11"/>
      <c r="E58" s="10"/>
      <c r="F58" s="22" t="s">
        <v>162</v>
      </c>
      <c r="G58" s="7"/>
      <c r="H58" s="12"/>
      <c r="I58" s="7"/>
      <c r="J58" s="7"/>
      <c r="K58" s="7"/>
      <c r="L58" s="7"/>
      <c r="M58" s="7"/>
      <c r="N58" s="7"/>
      <c r="O58" s="7"/>
      <c r="P58" s="7"/>
      <c r="Q58" s="7"/>
      <c r="R58" s="7"/>
      <c r="S58" s="1"/>
    </row>
    <row r="59" spans="3:19" ht="15.75" customHeight="1" x14ac:dyDescent="0.25">
      <c r="C59" s="10">
        <v>41</v>
      </c>
      <c r="D59" s="11"/>
      <c r="E59" s="10"/>
      <c r="F59" s="22" t="s">
        <v>37</v>
      </c>
      <c r="G59" s="7"/>
      <c r="H59" s="31"/>
      <c r="I59" s="7"/>
      <c r="J59" s="7"/>
      <c r="K59" s="7"/>
      <c r="L59" s="7"/>
      <c r="M59" s="7"/>
      <c r="N59" s="7"/>
      <c r="O59" s="7"/>
      <c r="P59" s="7"/>
      <c r="Q59" s="7"/>
      <c r="R59" s="7"/>
      <c r="S59" s="1"/>
    </row>
    <row r="60" spans="3:19" ht="15.75" customHeight="1" x14ac:dyDescent="0.25">
      <c r="C60" s="10">
        <v>39</v>
      </c>
      <c r="D60" s="11"/>
      <c r="E60" s="10"/>
      <c r="F60" s="22" t="s">
        <v>48</v>
      </c>
      <c r="G60" s="7"/>
      <c r="H60" s="12"/>
      <c r="I60" s="7"/>
      <c r="J60" s="7"/>
      <c r="K60" s="7"/>
      <c r="L60" s="7"/>
      <c r="M60" s="7"/>
      <c r="N60" s="7"/>
      <c r="O60" s="7"/>
      <c r="P60" s="7"/>
      <c r="Q60" s="7"/>
      <c r="R60" s="7"/>
      <c r="S60" s="1"/>
    </row>
    <row r="61" spans="3:19" ht="15.75" customHeight="1" x14ac:dyDescent="0.25">
      <c r="C61" s="10">
        <v>42</v>
      </c>
      <c r="D61" s="11"/>
      <c r="E61" s="10"/>
      <c r="F61" s="22" t="s">
        <v>32</v>
      </c>
      <c r="G61" s="7"/>
      <c r="H61" s="12"/>
      <c r="I61" s="7"/>
      <c r="J61" s="7"/>
      <c r="K61" s="7"/>
      <c r="L61" s="7"/>
      <c r="M61" s="7"/>
      <c r="N61" s="7"/>
      <c r="O61" s="7"/>
      <c r="P61" s="7"/>
      <c r="Q61" s="7"/>
      <c r="R61" s="7"/>
      <c r="S61" s="1"/>
    </row>
    <row r="62" spans="3:19" ht="15.75" customHeight="1" x14ac:dyDescent="0.25">
      <c r="C62" s="10">
        <v>40</v>
      </c>
      <c r="D62" s="11"/>
      <c r="E62" s="10"/>
      <c r="F62" s="22" t="s">
        <v>80</v>
      </c>
      <c r="G62" s="7"/>
      <c r="H62" s="12"/>
      <c r="I62" s="7"/>
      <c r="J62" s="7"/>
      <c r="K62" s="7"/>
      <c r="L62" s="7"/>
      <c r="M62" s="7"/>
      <c r="N62" s="7"/>
      <c r="O62" s="7"/>
      <c r="P62" s="7"/>
      <c r="Q62" s="7"/>
      <c r="R62" s="7"/>
      <c r="S62" s="1"/>
    </row>
    <row r="63" spans="3:19" ht="15.75" customHeight="1" x14ac:dyDescent="0.25">
      <c r="C63" s="10">
        <v>43</v>
      </c>
      <c r="D63" s="11"/>
      <c r="E63" s="10"/>
      <c r="F63" s="22" t="s">
        <v>268</v>
      </c>
      <c r="G63" s="7"/>
      <c r="H63" s="12"/>
      <c r="I63" s="7"/>
      <c r="J63" s="7"/>
      <c r="K63" s="7"/>
      <c r="L63" s="7"/>
      <c r="M63" s="7"/>
      <c r="N63" s="7"/>
      <c r="O63" s="7"/>
      <c r="P63" s="7"/>
      <c r="Q63" s="7"/>
      <c r="R63" s="7"/>
      <c r="S63" s="1"/>
    </row>
    <row r="64" spans="3:19" ht="15.75" customHeight="1" x14ac:dyDescent="0.25">
      <c r="C64" s="10">
        <v>44</v>
      </c>
      <c r="D64" s="11"/>
      <c r="E64" s="10"/>
      <c r="F64" s="22" t="s">
        <v>80</v>
      </c>
      <c r="G64" s="7"/>
      <c r="H64" s="12"/>
      <c r="I64" s="7"/>
      <c r="J64" s="7"/>
      <c r="K64" s="7"/>
      <c r="L64" s="7"/>
      <c r="M64" s="7"/>
      <c r="N64" s="7"/>
      <c r="O64" s="7"/>
      <c r="P64" s="7"/>
      <c r="Q64" s="7"/>
      <c r="R64" s="7"/>
      <c r="S64" s="1"/>
    </row>
    <row r="65" spans="3:19" ht="15.75" customHeight="1" x14ac:dyDescent="0.25">
      <c r="C65" s="10">
        <v>45</v>
      </c>
      <c r="D65" s="11"/>
      <c r="E65" s="10"/>
      <c r="F65" s="22" t="s">
        <v>546</v>
      </c>
      <c r="G65" s="7"/>
      <c r="H65" s="12"/>
      <c r="I65" s="7"/>
      <c r="J65" s="7"/>
      <c r="K65" s="7"/>
      <c r="L65" s="7"/>
      <c r="M65" s="7"/>
      <c r="N65" s="7"/>
      <c r="O65" s="7"/>
      <c r="P65" s="7"/>
      <c r="Q65" s="7"/>
      <c r="R65" s="7"/>
      <c r="S65" s="1"/>
    </row>
    <row r="66" spans="3:19" ht="15.75" customHeight="1" x14ac:dyDescent="0.25">
      <c r="C66" s="10">
        <v>46</v>
      </c>
      <c r="D66" s="11"/>
      <c r="E66" s="10"/>
      <c r="F66" s="22" t="s">
        <v>333</v>
      </c>
      <c r="G66" s="7"/>
      <c r="H66" s="12"/>
      <c r="I66" s="7"/>
      <c r="J66" s="7"/>
      <c r="K66" s="7"/>
      <c r="L66" s="7"/>
      <c r="M66" s="7"/>
      <c r="N66" s="7"/>
      <c r="O66" s="7"/>
      <c r="P66" s="7"/>
      <c r="Q66" s="7"/>
      <c r="R66" s="7"/>
      <c r="S66" s="1"/>
    </row>
    <row r="67" spans="3:19" ht="15.75" customHeight="1" x14ac:dyDescent="0.25">
      <c r="C67" s="10">
        <v>47</v>
      </c>
      <c r="D67" s="11"/>
      <c r="E67" s="10"/>
      <c r="F67" s="22" t="s">
        <v>37</v>
      </c>
      <c r="G67" s="7"/>
      <c r="H67" s="12"/>
      <c r="I67" s="7"/>
      <c r="J67" s="7"/>
      <c r="K67" s="7"/>
      <c r="L67" s="7"/>
      <c r="M67" s="7"/>
      <c r="N67" s="7"/>
      <c r="O67" s="7"/>
      <c r="P67" s="7"/>
      <c r="Q67" s="7"/>
      <c r="R67" s="7"/>
      <c r="S67" s="1"/>
    </row>
    <row r="68" spans="3:19" ht="15.75" customHeight="1" x14ac:dyDescent="0.25">
      <c r="C68" s="10">
        <v>48</v>
      </c>
      <c r="D68" s="11"/>
      <c r="E68" s="10"/>
      <c r="F68" s="22" t="s">
        <v>268</v>
      </c>
      <c r="G68" s="7"/>
      <c r="H68" s="12"/>
      <c r="I68" s="7"/>
      <c r="J68" s="7"/>
      <c r="K68" s="7"/>
      <c r="L68" s="7"/>
      <c r="M68" s="7"/>
      <c r="N68" s="7"/>
      <c r="O68" s="7"/>
      <c r="P68" s="7"/>
      <c r="Q68" s="7"/>
      <c r="R68" s="7"/>
      <c r="S68" s="1"/>
    </row>
    <row r="69" spans="3:19" ht="15.75" customHeight="1" x14ac:dyDescent="0.25">
      <c r="C69" s="10">
        <v>49</v>
      </c>
      <c r="D69" s="11"/>
      <c r="E69" s="10"/>
      <c r="F69" s="22" t="s">
        <v>37</v>
      </c>
      <c r="G69" s="7"/>
      <c r="H69" s="12"/>
      <c r="I69" s="7"/>
      <c r="J69" s="7"/>
      <c r="K69" s="7"/>
      <c r="L69" s="7"/>
      <c r="M69" s="7"/>
      <c r="N69" s="7"/>
      <c r="O69" s="7"/>
      <c r="P69" s="7"/>
      <c r="Q69" s="7"/>
      <c r="R69" s="7"/>
      <c r="S69" s="1"/>
    </row>
    <row r="70" spans="3:19" ht="15.75" customHeight="1" x14ac:dyDescent="0.25">
      <c r="C70" s="10">
        <v>50</v>
      </c>
      <c r="D70" s="11"/>
      <c r="E70" s="10"/>
      <c r="F70" s="22" t="s">
        <v>333</v>
      </c>
      <c r="G70" s="7"/>
      <c r="H70" s="12"/>
      <c r="I70" s="7"/>
      <c r="J70" s="7"/>
      <c r="K70" s="7"/>
      <c r="L70" s="7"/>
      <c r="M70" s="7"/>
      <c r="N70" s="7"/>
      <c r="O70" s="7"/>
      <c r="P70" s="7"/>
      <c r="Q70" s="7"/>
      <c r="R70" s="7"/>
      <c r="S70" s="1"/>
    </row>
    <row r="71" spans="3:19" ht="15.75" customHeight="1" x14ac:dyDescent="0.25">
      <c r="C71" s="10">
        <v>51</v>
      </c>
      <c r="D71" s="11"/>
      <c r="E71" s="10"/>
      <c r="F71" s="22" t="s">
        <v>24</v>
      </c>
      <c r="G71" s="7"/>
      <c r="H71" s="12"/>
      <c r="I71" s="7"/>
      <c r="J71" s="7"/>
      <c r="K71" s="7"/>
      <c r="L71" s="7"/>
      <c r="M71" s="7"/>
      <c r="N71" s="7"/>
      <c r="O71" s="7"/>
      <c r="P71" s="7"/>
      <c r="Q71" s="7"/>
      <c r="R71" s="7"/>
      <c r="S71" s="1"/>
    </row>
    <row r="72" spans="3:19" ht="15.75" customHeight="1" x14ac:dyDescent="0.25">
      <c r="C72" s="10">
        <v>52</v>
      </c>
      <c r="D72" s="11"/>
      <c r="E72" s="10"/>
      <c r="F72" s="22" t="s">
        <v>269</v>
      </c>
      <c r="G72" s="7"/>
      <c r="H72" s="31"/>
      <c r="I72" s="7"/>
      <c r="J72" s="7"/>
      <c r="K72" s="7"/>
      <c r="L72" s="7"/>
      <c r="M72" s="7"/>
      <c r="N72" s="7"/>
      <c r="O72" s="7"/>
      <c r="P72" s="7"/>
      <c r="Q72" s="7"/>
      <c r="R72" s="7"/>
      <c r="S72" s="1"/>
    </row>
    <row r="73" spans="3:19" ht="15.75" customHeight="1" x14ac:dyDescent="0.25">
      <c r="C73" s="10">
        <v>53</v>
      </c>
      <c r="D73" s="11"/>
      <c r="E73" s="10"/>
      <c r="F73" s="22" t="s">
        <v>48</v>
      </c>
      <c r="G73" s="7"/>
      <c r="H73" s="12"/>
      <c r="I73" s="7"/>
      <c r="J73" s="7"/>
      <c r="K73" s="7"/>
      <c r="L73" s="7"/>
      <c r="M73" s="7"/>
      <c r="N73" s="7"/>
      <c r="O73" s="7"/>
      <c r="P73" s="7"/>
      <c r="Q73" s="7"/>
      <c r="R73" s="7"/>
      <c r="S73" s="1"/>
    </row>
    <row r="74" spans="3:19" ht="15.75" customHeight="1" x14ac:dyDescent="0.25">
      <c r="C74" s="10">
        <v>54</v>
      </c>
      <c r="D74" s="11"/>
      <c r="E74" s="10"/>
      <c r="F74" s="22" t="s">
        <v>32</v>
      </c>
      <c r="G74" s="7"/>
      <c r="H74" s="12"/>
      <c r="I74" s="7"/>
      <c r="J74" s="7"/>
      <c r="K74" s="7"/>
      <c r="L74" s="7"/>
      <c r="M74" s="7"/>
      <c r="N74" s="7"/>
      <c r="O74" s="7"/>
      <c r="P74" s="7"/>
      <c r="Q74" s="7"/>
      <c r="R74" s="7"/>
      <c r="S74" s="1"/>
    </row>
    <row r="75" spans="3:19" ht="15.75" customHeight="1" x14ac:dyDescent="0.25">
      <c r="C75" s="10">
        <v>55</v>
      </c>
      <c r="D75" s="11"/>
      <c r="E75" s="10"/>
      <c r="F75" s="22" t="s">
        <v>71</v>
      </c>
      <c r="G75" s="7"/>
      <c r="H75" s="12"/>
      <c r="I75" s="7"/>
      <c r="J75" s="7"/>
      <c r="K75" s="7"/>
      <c r="L75" s="7"/>
      <c r="M75" s="7"/>
      <c r="N75" s="7"/>
      <c r="O75" s="7"/>
      <c r="P75" s="7"/>
      <c r="Q75" s="7"/>
      <c r="R75" s="7"/>
      <c r="S75" s="1"/>
    </row>
    <row r="76" spans="3:19" ht="15.75" customHeight="1" x14ac:dyDescent="0.25">
      <c r="C76" s="10">
        <v>56</v>
      </c>
      <c r="D76" s="11"/>
      <c r="E76" s="10"/>
      <c r="F76" s="22" t="s">
        <v>284</v>
      </c>
      <c r="G76" s="7"/>
      <c r="H76" s="12"/>
      <c r="I76" s="7"/>
      <c r="J76" s="7"/>
      <c r="K76" s="7"/>
      <c r="L76" s="7"/>
      <c r="M76" s="7"/>
      <c r="N76" s="7"/>
      <c r="O76" s="7"/>
      <c r="P76" s="7"/>
      <c r="Q76" s="7"/>
      <c r="R76" s="7"/>
      <c r="S76" s="1"/>
    </row>
    <row r="77" spans="3:19" ht="15.75" customHeight="1" x14ac:dyDescent="0.25">
      <c r="C77" s="10">
        <v>57</v>
      </c>
      <c r="D77" s="11"/>
      <c r="E77" s="10"/>
      <c r="F77" s="22" t="s">
        <v>71</v>
      </c>
      <c r="G77" s="7"/>
      <c r="H77" s="12"/>
      <c r="I77" s="7"/>
      <c r="J77" s="7"/>
      <c r="K77" s="7"/>
      <c r="L77" s="7"/>
      <c r="M77" s="7"/>
      <c r="N77" s="7"/>
      <c r="O77" s="7"/>
      <c r="P77" s="7"/>
      <c r="Q77" s="7"/>
      <c r="R77" s="7"/>
      <c r="S77" s="1"/>
    </row>
    <row r="78" spans="3:19" ht="15.75" customHeight="1" x14ac:dyDescent="0.25">
      <c r="C78" s="10">
        <v>58</v>
      </c>
      <c r="D78" s="11"/>
      <c r="E78" s="10"/>
      <c r="F78" s="22" t="s">
        <v>51</v>
      </c>
      <c r="G78" s="7"/>
      <c r="H78" s="12"/>
      <c r="I78" s="7"/>
      <c r="J78" s="7"/>
      <c r="K78" s="7"/>
      <c r="L78" s="7"/>
      <c r="M78" s="7"/>
      <c r="N78" s="7"/>
      <c r="O78" s="7"/>
      <c r="P78" s="7"/>
      <c r="Q78" s="7"/>
      <c r="R78" s="7"/>
      <c r="S78" s="1"/>
    </row>
    <row r="79" spans="3:19" ht="15.75" customHeight="1" x14ac:dyDescent="0.25">
      <c r="C79" s="10">
        <v>59</v>
      </c>
      <c r="D79" s="11"/>
      <c r="E79" s="10"/>
      <c r="F79" s="22" t="s">
        <v>362</v>
      </c>
      <c r="G79" s="7"/>
      <c r="H79" s="12"/>
      <c r="I79" s="7"/>
      <c r="J79" s="7"/>
      <c r="K79" s="7"/>
      <c r="L79" s="7"/>
      <c r="M79" s="7"/>
      <c r="N79" s="7"/>
      <c r="O79" s="7"/>
      <c r="P79" s="7"/>
      <c r="Q79" s="7"/>
      <c r="R79" s="7"/>
      <c r="S79" s="1"/>
    </row>
    <row r="80" spans="3:19" ht="15.75" customHeight="1" x14ac:dyDescent="0.25">
      <c r="C80" s="10">
        <v>60</v>
      </c>
      <c r="D80" s="11"/>
      <c r="E80" s="10"/>
      <c r="F80" s="22" t="s">
        <v>193</v>
      </c>
      <c r="G80" s="7"/>
      <c r="H80" s="12"/>
      <c r="I80" s="7"/>
      <c r="J80" s="7"/>
      <c r="K80" s="7"/>
      <c r="L80" s="7"/>
      <c r="M80" s="7"/>
      <c r="N80" s="7"/>
      <c r="O80" s="7"/>
      <c r="P80" s="7"/>
      <c r="Q80" s="7"/>
      <c r="R80" s="7"/>
      <c r="S80" s="1"/>
    </row>
    <row r="81" spans="3:19" ht="15.75" customHeight="1" x14ac:dyDescent="0.25">
      <c r="C81" s="10">
        <v>61</v>
      </c>
      <c r="D81" s="11"/>
      <c r="E81" s="10"/>
      <c r="F81" s="22" t="s">
        <v>90</v>
      </c>
      <c r="G81" s="7"/>
      <c r="H81" s="12"/>
      <c r="I81" s="7"/>
      <c r="J81" s="7"/>
      <c r="K81" s="7"/>
      <c r="L81" s="7"/>
      <c r="M81" s="7"/>
      <c r="N81" s="7"/>
      <c r="O81" s="7"/>
      <c r="P81" s="7"/>
      <c r="Q81" s="7"/>
      <c r="R81" s="7"/>
      <c r="S81" s="1"/>
    </row>
    <row r="82" spans="3:19" ht="15.75" customHeight="1" x14ac:dyDescent="0.25">
      <c r="C82" s="10">
        <v>62</v>
      </c>
      <c r="D82" s="11"/>
      <c r="E82" s="10"/>
      <c r="F82" s="22" t="s">
        <v>394</v>
      </c>
      <c r="G82" s="7"/>
      <c r="H82" s="12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3:19" ht="15.75" customHeight="1" x14ac:dyDescent="0.25">
      <c r="C83" s="10">
        <v>63</v>
      </c>
      <c r="D83" s="11"/>
      <c r="E83" s="10"/>
      <c r="F83" s="22" t="s">
        <v>30</v>
      </c>
      <c r="G83" s="7"/>
      <c r="H83" s="12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3:19" ht="15.75" customHeight="1" x14ac:dyDescent="0.25">
      <c r="C84" s="10">
        <v>64</v>
      </c>
      <c r="D84" s="11"/>
      <c r="E84" s="10"/>
      <c r="F84" s="22" t="s">
        <v>80</v>
      </c>
      <c r="G84" s="7"/>
      <c r="H84" s="12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3:19" ht="15.75" customHeight="1" x14ac:dyDescent="0.25">
      <c r="C85" s="10">
        <v>65</v>
      </c>
      <c r="D85" s="11"/>
      <c r="E85" s="10"/>
      <c r="F85" s="22" t="s">
        <v>139</v>
      </c>
      <c r="G85" s="7"/>
      <c r="H85" s="12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3:19" ht="15.75" customHeight="1" x14ac:dyDescent="0.25">
      <c r="C86" s="10">
        <v>66</v>
      </c>
      <c r="D86" s="11"/>
      <c r="E86" s="10"/>
      <c r="F86" s="22" t="s">
        <v>255</v>
      </c>
      <c r="G86" s="7"/>
      <c r="H86" s="12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3:19" ht="15.75" customHeight="1" x14ac:dyDescent="0.25">
      <c r="C87" s="10">
        <v>67</v>
      </c>
      <c r="D87" s="11"/>
      <c r="E87" s="10"/>
      <c r="F87" s="22" t="s">
        <v>269</v>
      </c>
      <c r="G87" s="7"/>
      <c r="H87" s="12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3:19" ht="15.75" customHeight="1" x14ac:dyDescent="0.25">
      <c r="C88" s="10">
        <v>68</v>
      </c>
      <c r="D88" s="11"/>
      <c r="E88" s="10"/>
      <c r="F88" s="22" t="s">
        <v>37</v>
      </c>
      <c r="G88" s="7"/>
      <c r="H88" s="12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3:19" ht="15.75" customHeight="1" x14ac:dyDescent="0.25">
      <c r="C89" s="10">
        <v>69</v>
      </c>
      <c r="D89" s="11"/>
      <c r="E89" s="10"/>
      <c r="F89" s="22" t="s">
        <v>112</v>
      </c>
      <c r="G89" s="7"/>
      <c r="H89" s="12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3:19" ht="15.75" customHeight="1" x14ac:dyDescent="0.25">
      <c r="C90" s="10">
        <v>70</v>
      </c>
      <c r="D90" s="11"/>
      <c r="E90" s="10"/>
      <c r="F90" s="22" t="s">
        <v>325</v>
      </c>
      <c r="G90" s="7"/>
      <c r="H90" s="12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3:19" ht="15.75" customHeight="1" x14ac:dyDescent="0.25">
      <c r="C91" s="10">
        <v>71</v>
      </c>
      <c r="D91" s="11"/>
      <c r="E91" s="10"/>
      <c r="F91" s="22" t="s">
        <v>284</v>
      </c>
      <c r="G91" s="7"/>
      <c r="H91" s="12"/>
      <c r="I91" s="7"/>
      <c r="J91" s="7"/>
      <c r="K91" s="7"/>
      <c r="L91" s="7"/>
      <c r="M91" s="7"/>
      <c r="N91" s="7"/>
      <c r="O91" s="7"/>
      <c r="P91" s="7"/>
      <c r="Q91" s="14"/>
      <c r="R91" s="7"/>
    </row>
    <row r="92" spans="3:19" ht="15.75" customHeight="1" x14ac:dyDescent="0.25">
      <c r="C92" s="10">
        <v>72</v>
      </c>
      <c r="D92" s="11"/>
      <c r="E92" s="10"/>
      <c r="F92" s="22" t="s">
        <v>43</v>
      </c>
      <c r="G92" s="7"/>
      <c r="H92" s="12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3:19" ht="15.75" customHeight="1" x14ac:dyDescent="0.25">
      <c r="C93" s="10">
        <v>73</v>
      </c>
      <c r="D93" s="11"/>
      <c r="E93" s="10"/>
      <c r="F93" s="22" t="s">
        <v>268</v>
      </c>
      <c r="G93" s="7"/>
      <c r="H93" s="12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3:19" ht="15.75" customHeight="1" x14ac:dyDescent="0.25">
      <c r="C94" s="10">
        <v>74</v>
      </c>
      <c r="D94" s="11"/>
      <c r="E94" s="10"/>
      <c r="F94" s="22" t="s">
        <v>30</v>
      </c>
      <c r="G94" s="7"/>
      <c r="H94" s="12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3:19" ht="15.75" customHeight="1" x14ac:dyDescent="0.25">
      <c r="C95" s="10">
        <v>75</v>
      </c>
      <c r="D95" s="11"/>
      <c r="E95" s="10"/>
      <c r="F95" s="22" t="s">
        <v>190</v>
      </c>
      <c r="G95" s="7"/>
      <c r="H95" s="12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3:19" ht="15.75" customHeight="1" x14ac:dyDescent="0.25">
      <c r="C96" s="10">
        <v>76</v>
      </c>
      <c r="D96" s="11"/>
      <c r="E96" s="10"/>
      <c r="F96" s="22" t="s">
        <v>331</v>
      </c>
      <c r="G96" s="7"/>
      <c r="H96" s="12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3:18" ht="15.75" customHeight="1" x14ac:dyDescent="0.25">
      <c r="C97" s="10">
        <v>77</v>
      </c>
      <c r="D97" s="11"/>
      <c r="E97" s="10"/>
      <c r="F97" s="22" t="s">
        <v>69</v>
      </c>
      <c r="G97" s="7"/>
      <c r="H97" s="12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3:18" ht="15.75" customHeight="1" x14ac:dyDescent="0.25">
      <c r="C98" s="10">
        <v>78</v>
      </c>
      <c r="D98" s="11"/>
      <c r="E98" s="10"/>
      <c r="F98" s="22" t="s">
        <v>52</v>
      </c>
      <c r="G98" s="7"/>
      <c r="H98" s="12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3:18" ht="15.75" customHeight="1" x14ac:dyDescent="0.25">
      <c r="C99" s="10">
        <v>79</v>
      </c>
      <c r="D99" s="11"/>
      <c r="E99" s="10"/>
      <c r="F99" s="22" t="s">
        <v>37</v>
      </c>
      <c r="G99" s="7"/>
      <c r="H99" s="12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3:18" ht="15.75" customHeight="1" x14ac:dyDescent="0.25">
      <c r="C100" s="10">
        <v>80</v>
      </c>
      <c r="D100" s="11"/>
      <c r="E100" s="10"/>
      <c r="F100" s="22" t="s">
        <v>220</v>
      </c>
      <c r="G100" s="7"/>
      <c r="H100" s="12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3:18" ht="15.75" customHeight="1" x14ac:dyDescent="0.25">
      <c r="C101" s="10">
        <v>81</v>
      </c>
      <c r="D101" s="11"/>
      <c r="E101" s="10"/>
      <c r="F101" s="22" t="s">
        <v>333</v>
      </c>
      <c r="G101" s="7"/>
      <c r="H101" s="12"/>
      <c r="I101" s="7"/>
      <c r="J101" s="7"/>
      <c r="K101" s="7"/>
      <c r="L101" s="7"/>
      <c r="M101" s="7"/>
      <c r="N101" s="7"/>
      <c r="O101" s="7"/>
      <c r="P101" s="7"/>
      <c r="Q101" s="7"/>
      <c r="R101" s="14"/>
    </row>
    <row r="102" spans="3:18" ht="15.75" customHeight="1" x14ac:dyDescent="0.25">
      <c r="C102" s="13" t="s">
        <v>3</v>
      </c>
      <c r="D102" s="14"/>
      <c r="E102" s="13"/>
      <c r="F102" s="25"/>
      <c r="G102" s="14">
        <f>SUM(G21:G101)</f>
        <v>74520</v>
      </c>
      <c r="H102" s="14"/>
      <c r="I102" s="14">
        <f t="shared" ref="I102:Q102" si="8">SUM(I21:I101)</f>
        <v>49780</v>
      </c>
      <c r="J102" s="14">
        <f t="shared" si="8"/>
        <v>17700</v>
      </c>
      <c r="K102" s="14">
        <f t="shared" si="8"/>
        <v>3000</v>
      </c>
      <c r="L102" s="14">
        <f t="shared" si="8"/>
        <v>860</v>
      </c>
      <c r="M102" s="14">
        <f t="shared" si="8"/>
        <v>0</v>
      </c>
      <c r="N102" s="14">
        <f t="shared" si="8"/>
        <v>0</v>
      </c>
      <c r="O102" s="14">
        <f t="shared" si="8"/>
        <v>3185</v>
      </c>
      <c r="P102" s="14">
        <f t="shared" si="8"/>
        <v>0</v>
      </c>
      <c r="Q102" s="14">
        <f t="shared" si="8"/>
        <v>0</v>
      </c>
      <c r="R102" s="14"/>
    </row>
    <row r="103" spans="3:18" ht="15.75" customHeight="1" x14ac:dyDescent="0.25">
      <c r="C103" s="1"/>
      <c r="E103" s="1"/>
      <c r="F103" s="16"/>
    </row>
    <row r="104" spans="3:18" ht="15.75" customHeight="1" x14ac:dyDescent="0.25">
      <c r="C104" s="1"/>
      <c r="D104" s="1"/>
      <c r="E104" s="1"/>
      <c r="F104" s="16"/>
      <c r="I104" s="33">
        <f>SUM('Aug 24'!$I$102:'Aug 24'!$Q$102)</f>
        <v>74525</v>
      </c>
    </row>
    <row r="105" spans="3:18" ht="15.75" customHeight="1" x14ac:dyDescent="0.25">
      <c r="E105" s="1"/>
      <c r="F105" s="16"/>
    </row>
    <row r="106" spans="3:18" ht="15.75" customHeight="1" x14ac:dyDescent="0.25"/>
    <row r="107" spans="3:18" ht="15.75" customHeight="1" x14ac:dyDescent="0.25"/>
    <row r="108" spans="3:18" ht="15.75" customHeight="1" x14ac:dyDescent="0.25"/>
    <row r="109" spans="3:18" ht="15.75" customHeight="1" x14ac:dyDescent="0.25"/>
    <row r="110" spans="3:18" ht="15.75" customHeight="1" x14ac:dyDescent="0.25"/>
    <row r="111" spans="3:18" ht="15.75" customHeight="1" x14ac:dyDescent="0.25"/>
    <row r="112" spans="3:1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T33:V33"/>
    <mergeCell ref="T34:V34"/>
    <mergeCell ref="T35:V35"/>
    <mergeCell ref="T36:V36"/>
    <mergeCell ref="T37:V37"/>
    <mergeCell ref="T32:V32"/>
    <mergeCell ref="X32:Y32"/>
    <mergeCell ref="C11:D11"/>
    <mergeCell ref="C18:E18"/>
    <mergeCell ref="T20:W20"/>
    <mergeCell ref="T21:V21"/>
    <mergeCell ref="X31:Y31"/>
  </mergeCells>
  <pageMargins left="0.7" right="0.7" top="0.75" bottom="0.75" header="0" footer="0"/>
  <pageSetup orientation="portrait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C3:Z1000"/>
  <sheetViews>
    <sheetView workbookViewId="0"/>
  </sheetViews>
  <sheetFormatPr defaultColWidth="14.42578125" defaultRowHeight="15" customHeight="1" x14ac:dyDescent="0.25"/>
  <cols>
    <col min="1" max="1" width="8.7109375" customWidth="1"/>
    <col min="2" max="2" width="8" customWidth="1"/>
    <col min="3" max="3" width="9.85546875" customWidth="1"/>
    <col min="4" max="4" width="12.7109375" customWidth="1"/>
    <col min="5" max="5" width="13.28515625" customWidth="1"/>
    <col min="6" max="6" width="9.42578125" customWidth="1"/>
    <col min="7" max="7" width="8.7109375" customWidth="1"/>
    <col min="8" max="8" width="12.28515625" customWidth="1"/>
    <col min="9" max="14" width="8.7109375" customWidth="1"/>
    <col min="15" max="15" width="11.7109375" customWidth="1"/>
    <col min="16" max="16" width="11.42578125" customWidth="1"/>
    <col min="17" max="17" width="11.85546875" customWidth="1"/>
    <col min="18" max="20" width="8.7109375" customWidth="1"/>
    <col min="21" max="21" width="10.7109375" customWidth="1"/>
    <col min="22" max="26" width="8.7109375" customWidth="1"/>
  </cols>
  <sheetData>
    <row r="3" spans="3:17" x14ac:dyDescent="0.25"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3:17" ht="15.75" x14ac:dyDescent="0.25">
      <c r="C4" s="1"/>
      <c r="D4" s="2" t="s">
        <v>632</v>
      </c>
      <c r="E4" s="17"/>
      <c r="F4" s="18"/>
      <c r="G4" s="2"/>
      <c r="H4" s="2"/>
      <c r="I4" s="2"/>
      <c r="J4" s="2"/>
      <c r="K4" s="8"/>
      <c r="L4" s="2"/>
      <c r="M4" s="3"/>
      <c r="N4" s="3"/>
      <c r="O4" s="65" t="s">
        <v>88</v>
      </c>
      <c r="P4" s="60" t="s">
        <v>2</v>
      </c>
      <c r="Q4" s="66" t="s">
        <v>117</v>
      </c>
    </row>
    <row r="5" spans="3:17" ht="15.75" x14ac:dyDescent="0.25">
      <c r="C5" s="1"/>
      <c r="D5" s="67" t="s">
        <v>1</v>
      </c>
      <c r="E5" s="44" t="s">
        <v>2</v>
      </c>
      <c r="F5" s="45">
        <v>1799</v>
      </c>
      <c r="G5" s="46">
        <v>2699</v>
      </c>
      <c r="H5" s="46">
        <v>588</v>
      </c>
      <c r="I5" s="46">
        <v>2088</v>
      </c>
      <c r="J5" s="46">
        <v>2488</v>
      </c>
      <c r="K5" s="46">
        <v>2688</v>
      </c>
      <c r="L5" s="45">
        <v>3099</v>
      </c>
      <c r="M5" s="62" t="s">
        <v>295</v>
      </c>
      <c r="N5" s="45" t="s">
        <v>3</v>
      </c>
      <c r="O5" s="47"/>
      <c r="P5" s="42"/>
      <c r="Q5" s="42"/>
    </row>
    <row r="6" spans="3:17" ht="17.25" x14ac:dyDescent="0.3">
      <c r="C6" s="1"/>
      <c r="D6" s="6" t="s">
        <v>259</v>
      </c>
      <c r="E6" s="12">
        <v>180557</v>
      </c>
      <c r="F6" s="12">
        <v>300</v>
      </c>
      <c r="G6" s="12">
        <v>11800</v>
      </c>
      <c r="H6" s="12">
        <v>0</v>
      </c>
      <c r="I6" s="12">
        <v>0</v>
      </c>
      <c r="J6" s="12">
        <v>0</v>
      </c>
      <c r="K6" s="12">
        <v>200</v>
      </c>
      <c r="L6" s="12">
        <v>300</v>
      </c>
      <c r="M6" s="12">
        <v>0</v>
      </c>
      <c r="N6" s="12">
        <v>234023</v>
      </c>
      <c r="O6" s="55">
        <f t="shared" ref="O6:O9" si="0">SUM(F6:M6)</f>
        <v>12600</v>
      </c>
      <c r="P6" s="56">
        <f t="shared" ref="P6:P9" si="1">E6</f>
        <v>180557</v>
      </c>
      <c r="Q6" s="57">
        <f>SUM(E6:M6)</f>
        <v>193157</v>
      </c>
    </row>
    <row r="7" spans="3:17" ht="18.75" x14ac:dyDescent="0.3">
      <c r="C7" s="1"/>
      <c r="D7" s="6" t="s">
        <v>365</v>
      </c>
      <c r="E7" s="7">
        <f>W32</f>
        <v>56064</v>
      </c>
      <c r="F7" s="7">
        <f t="shared" ref="F7:M7" si="2">F18</f>
        <v>0</v>
      </c>
      <c r="G7" s="7">
        <f t="shared" si="2"/>
        <v>0</v>
      </c>
      <c r="H7" s="7">
        <f t="shared" si="2"/>
        <v>6000</v>
      </c>
      <c r="I7" s="7">
        <f t="shared" si="2"/>
        <v>16000</v>
      </c>
      <c r="J7" s="7">
        <f t="shared" si="2"/>
        <v>6000</v>
      </c>
      <c r="K7" s="7">
        <f t="shared" si="2"/>
        <v>0</v>
      </c>
      <c r="L7" s="7">
        <f t="shared" si="2"/>
        <v>0</v>
      </c>
      <c r="M7" s="7">
        <f t="shared" si="2"/>
        <v>0</v>
      </c>
      <c r="N7" s="7">
        <f t="shared" ref="N7:N8" si="3">SUM(E7:M7)</f>
        <v>84064</v>
      </c>
      <c r="O7" s="68">
        <f t="shared" si="0"/>
        <v>28000</v>
      </c>
      <c r="P7" s="69">
        <f t="shared" si="1"/>
        <v>56064</v>
      </c>
      <c r="Q7" s="70">
        <f>O7+P7</f>
        <v>84064</v>
      </c>
    </row>
    <row r="8" spans="3:17" ht="21" x14ac:dyDescent="0.35">
      <c r="C8" s="1"/>
      <c r="D8" s="71" t="s">
        <v>633</v>
      </c>
      <c r="E8" s="48">
        <f>'Sept 24'!$I$102</f>
        <v>40740</v>
      </c>
      <c r="F8" s="48">
        <f>'Sept 24'!$J$102</f>
        <v>0</v>
      </c>
      <c r="G8" s="49">
        <f>'Sept 24'!$K$102</f>
        <v>10900</v>
      </c>
      <c r="H8" s="49">
        <f>'Sept 24'!$L$102</f>
        <v>0</v>
      </c>
      <c r="I8" s="49">
        <f>'Sept 24'!$M$102</f>
        <v>2000</v>
      </c>
      <c r="J8" s="49">
        <f>'Sept 24'!$N$102</f>
        <v>6000</v>
      </c>
      <c r="K8" s="49">
        <f>'Sept 24'!$O$102</f>
        <v>0</v>
      </c>
      <c r="L8" s="49">
        <f>'Sept 24'!$P$102</f>
        <v>300</v>
      </c>
      <c r="M8" s="49">
        <f>'Sept 24'!$Q$102</f>
        <v>0</v>
      </c>
      <c r="N8" s="72">
        <f t="shared" si="3"/>
        <v>59940</v>
      </c>
      <c r="O8" s="73">
        <f t="shared" si="0"/>
        <v>19200</v>
      </c>
      <c r="P8" s="74">
        <f t="shared" si="1"/>
        <v>40740</v>
      </c>
      <c r="Q8" s="75">
        <f t="shared" ref="Q8:Q9" si="4">SUM(O8,P8)</f>
        <v>59940</v>
      </c>
    </row>
    <row r="9" spans="3:17" ht="17.25" x14ac:dyDescent="0.3">
      <c r="C9" s="1"/>
      <c r="D9" s="6" t="s">
        <v>261</v>
      </c>
      <c r="E9" s="12">
        <f t="shared" ref="E9:M9" si="5">SUM(E6,E7-E8)</f>
        <v>195881</v>
      </c>
      <c r="F9" s="12">
        <f t="shared" si="5"/>
        <v>300</v>
      </c>
      <c r="G9" s="12">
        <f t="shared" si="5"/>
        <v>900</v>
      </c>
      <c r="H9" s="12">
        <f t="shared" si="5"/>
        <v>6000</v>
      </c>
      <c r="I9" s="12">
        <f t="shared" si="5"/>
        <v>14000</v>
      </c>
      <c r="J9" s="12">
        <f t="shared" si="5"/>
        <v>0</v>
      </c>
      <c r="K9" s="12">
        <f t="shared" si="5"/>
        <v>200</v>
      </c>
      <c r="L9" s="12">
        <f t="shared" si="5"/>
        <v>0</v>
      </c>
      <c r="M9" s="12">
        <f t="shared" si="5"/>
        <v>0</v>
      </c>
      <c r="N9" s="12">
        <f>SUM(N6+N7-N8)</f>
        <v>258147</v>
      </c>
      <c r="O9" s="55">
        <f t="shared" si="0"/>
        <v>21400</v>
      </c>
      <c r="P9" s="56">
        <f t="shared" si="1"/>
        <v>195881</v>
      </c>
      <c r="Q9" s="57">
        <f t="shared" si="4"/>
        <v>217281</v>
      </c>
    </row>
    <row r="10" spans="3:17" x14ac:dyDescent="0.25">
      <c r="C10" s="1"/>
      <c r="E10" s="1"/>
      <c r="F10" s="16"/>
    </row>
    <row r="11" spans="3:17" ht="15.75" x14ac:dyDescent="0.25">
      <c r="C11" s="103" t="s">
        <v>367</v>
      </c>
      <c r="D11" s="99"/>
      <c r="E11" s="21" t="s">
        <v>368</v>
      </c>
      <c r="F11" s="45">
        <v>1799</v>
      </c>
      <c r="G11" s="46">
        <v>2699</v>
      </c>
      <c r="H11" s="46">
        <v>588</v>
      </c>
      <c r="I11" s="46">
        <v>2088</v>
      </c>
      <c r="J11" s="46">
        <v>2488</v>
      </c>
      <c r="K11" s="46">
        <v>2688</v>
      </c>
      <c r="L11" s="45">
        <v>3099</v>
      </c>
      <c r="M11" s="62" t="s">
        <v>295</v>
      </c>
      <c r="N11" s="45" t="s">
        <v>3</v>
      </c>
      <c r="O11" s="76" t="s">
        <v>369</v>
      </c>
      <c r="P11" s="76" t="s">
        <v>370</v>
      </c>
    </row>
    <row r="12" spans="3:17" x14ac:dyDescent="0.25">
      <c r="C12" s="9" t="s">
        <v>371</v>
      </c>
      <c r="D12" s="79" t="s">
        <v>372</v>
      </c>
      <c r="E12" s="9" t="s">
        <v>373</v>
      </c>
      <c r="F12" s="22"/>
      <c r="G12" s="7"/>
      <c r="H12" s="7"/>
      <c r="I12" s="7"/>
      <c r="J12" s="7"/>
      <c r="K12" s="7"/>
      <c r="L12" s="7"/>
      <c r="M12" s="7"/>
      <c r="N12" s="7">
        <f>SUM(F12:M12)</f>
        <v>0</v>
      </c>
      <c r="O12" s="10"/>
      <c r="P12" s="10"/>
    </row>
    <row r="13" spans="3:17" x14ac:dyDescent="0.25">
      <c r="C13" s="10">
        <v>1</v>
      </c>
      <c r="D13" s="7" t="s">
        <v>374</v>
      </c>
      <c r="E13" s="78">
        <v>45559</v>
      </c>
      <c r="F13" s="10"/>
      <c r="G13" s="7"/>
      <c r="H13" s="7">
        <v>6000</v>
      </c>
      <c r="I13" s="7">
        <v>16000</v>
      </c>
      <c r="J13" s="7">
        <v>6000</v>
      </c>
      <c r="K13" s="7"/>
      <c r="L13" s="7"/>
      <c r="M13" s="7"/>
      <c r="N13" s="7"/>
      <c r="O13" s="10"/>
      <c r="P13" s="10"/>
    </row>
    <row r="14" spans="3:17" x14ac:dyDescent="0.25">
      <c r="C14" s="10">
        <v>2</v>
      </c>
      <c r="D14" s="7" t="s">
        <v>376</v>
      </c>
      <c r="E14" s="78"/>
      <c r="F14" s="22"/>
      <c r="G14" s="7"/>
      <c r="H14" s="7"/>
      <c r="I14" s="7"/>
      <c r="J14" s="7"/>
      <c r="K14" s="7"/>
      <c r="L14" s="7"/>
      <c r="M14" s="7"/>
      <c r="N14" s="7"/>
      <c r="O14" s="10"/>
      <c r="P14" s="10"/>
    </row>
    <row r="15" spans="3:17" x14ac:dyDescent="0.25">
      <c r="C15" s="10">
        <v>3</v>
      </c>
      <c r="D15" s="7" t="s">
        <v>376</v>
      </c>
      <c r="E15" s="78"/>
      <c r="F15" s="22"/>
      <c r="G15" s="7"/>
      <c r="H15" s="7"/>
      <c r="I15" s="7"/>
      <c r="J15" s="7"/>
      <c r="K15" s="7"/>
      <c r="L15" s="7"/>
      <c r="M15" s="7"/>
      <c r="N15" s="7"/>
      <c r="O15" s="10"/>
      <c r="P15" s="10"/>
    </row>
    <row r="16" spans="3:17" x14ac:dyDescent="0.25">
      <c r="C16" s="10">
        <v>4</v>
      </c>
      <c r="D16" s="7" t="s">
        <v>374</v>
      </c>
      <c r="E16" s="78"/>
      <c r="F16" s="22"/>
      <c r="G16" s="7"/>
      <c r="H16" s="7"/>
      <c r="I16" s="7"/>
      <c r="J16" s="7"/>
      <c r="K16" s="7"/>
      <c r="L16" s="7"/>
      <c r="M16" s="7"/>
      <c r="N16" s="7"/>
      <c r="O16" s="10"/>
      <c r="P16" s="10"/>
    </row>
    <row r="17" spans="3:26" x14ac:dyDescent="0.25">
      <c r="C17" s="10">
        <v>5</v>
      </c>
      <c r="D17" s="7" t="s">
        <v>378</v>
      </c>
      <c r="E17" s="11"/>
      <c r="F17" s="7"/>
      <c r="G17" s="7"/>
      <c r="H17" s="7"/>
      <c r="I17" s="7"/>
      <c r="J17" s="7"/>
      <c r="K17" s="7"/>
      <c r="L17" s="7"/>
      <c r="M17" s="7"/>
      <c r="N17" s="7"/>
      <c r="O17" s="10"/>
      <c r="P17" s="10"/>
    </row>
    <row r="18" spans="3:26" x14ac:dyDescent="0.25">
      <c r="C18" s="104" t="s">
        <v>3</v>
      </c>
      <c r="D18" s="98"/>
      <c r="E18" s="99"/>
      <c r="F18" s="7">
        <f t="shared" ref="F18:M18" si="6">SUM(F12:F17)</f>
        <v>0</v>
      </c>
      <c r="G18" s="7">
        <f t="shared" si="6"/>
        <v>0</v>
      </c>
      <c r="H18" s="7">
        <f t="shared" si="6"/>
        <v>6000</v>
      </c>
      <c r="I18" s="7">
        <f t="shared" si="6"/>
        <v>16000</v>
      </c>
      <c r="J18" s="7">
        <f t="shared" si="6"/>
        <v>6000</v>
      </c>
      <c r="K18" s="7">
        <f t="shared" si="6"/>
        <v>0</v>
      </c>
      <c r="L18" s="7">
        <f t="shared" si="6"/>
        <v>0</v>
      </c>
      <c r="M18" s="7">
        <f t="shared" si="6"/>
        <v>0</v>
      </c>
      <c r="N18" s="7">
        <f>SUM(F18:M18)</f>
        <v>28000</v>
      </c>
      <c r="O18" s="10"/>
      <c r="P18" s="10"/>
    </row>
    <row r="19" spans="3:26" x14ac:dyDescent="0.25">
      <c r="C19" s="1"/>
      <c r="E19" s="1"/>
      <c r="F19" s="16"/>
    </row>
    <row r="20" spans="3:26" ht="15.75" x14ac:dyDescent="0.25">
      <c r="C20" s="9" t="s">
        <v>8</v>
      </c>
      <c r="D20" s="4" t="s">
        <v>9</v>
      </c>
      <c r="E20" s="20" t="s">
        <v>10</v>
      </c>
      <c r="F20" s="20" t="s">
        <v>11</v>
      </c>
      <c r="G20" s="4" t="s">
        <v>4</v>
      </c>
      <c r="H20" s="4" t="s">
        <v>12</v>
      </c>
      <c r="I20" s="4" t="s">
        <v>2</v>
      </c>
      <c r="J20" s="4" t="s">
        <v>13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19</v>
      </c>
      <c r="P20" s="39" t="s">
        <v>204</v>
      </c>
      <c r="Q20" s="63" t="s">
        <v>295</v>
      </c>
      <c r="R20" s="39" t="s">
        <v>598</v>
      </c>
      <c r="T20" s="101" t="s">
        <v>118</v>
      </c>
      <c r="U20" s="102"/>
      <c r="V20" s="102"/>
      <c r="W20" s="102"/>
    </row>
    <row r="21" spans="3:26" ht="15.75" customHeight="1" x14ac:dyDescent="0.25">
      <c r="C21" s="10">
        <v>1</v>
      </c>
      <c r="D21" s="11">
        <v>45537</v>
      </c>
      <c r="E21" s="10">
        <v>182</v>
      </c>
      <c r="F21" s="22" t="s">
        <v>80</v>
      </c>
      <c r="G21" s="7">
        <v>500</v>
      </c>
      <c r="H21" s="12">
        <v>120</v>
      </c>
      <c r="I21" s="7">
        <v>500</v>
      </c>
      <c r="J21" s="7"/>
      <c r="K21" s="7"/>
      <c r="L21" s="7"/>
      <c r="M21" s="7"/>
      <c r="N21" s="7"/>
      <c r="O21" s="7"/>
      <c r="P21" s="7"/>
      <c r="Q21" s="40"/>
      <c r="R21" s="40"/>
      <c r="T21" s="97" t="s">
        <v>172</v>
      </c>
      <c r="U21" s="98"/>
      <c r="V21" s="98"/>
      <c r="W21" s="34"/>
    </row>
    <row r="22" spans="3:26" ht="15.75" customHeight="1" x14ac:dyDescent="0.25">
      <c r="C22" s="10">
        <v>2</v>
      </c>
      <c r="D22" s="11">
        <v>45537</v>
      </c>
      <c r="E22" s="10" t="s">
        <v>27</v>
      </c>
      <c r="F22" s="22" t="s">
        <v>255</v>
      </c>
      <c r="G22" s="7">
        <v>400</v>
      </c>
      <c r="H22" s="31">
        <v>118</v>
      </c>
      <c r="I22" s="7">
        <v>500</v>
      </c>
      <c r="J22" s="7"/>
      <c r="K22" s="7"/>
      <c r="L22" s="7"/>
      <c r="M22" s="7"/>
      <c r="N22" s="7"/>
      <c r="O22" s="7"/>
      <c r="P22" s="7"/>
      <c r="Q22" s="7"/>
      <c r="R22" s="7"/>
      <c r="T22" s="10" t="s">
        <v>121</v>
      </c>
      <c r="U22" s="7" t="s">
        <v>9</v>
      </c>
      <c r="V22" s="7" t="s">
        <v>122</v>
      </c>
      <c r="W22" s="7" t="s">
        <v>4</v>
      </c>
      <c r="X22" s="7" t="s">
        <v>549</v>
      </c>
      <c r="Y22" s="7" t="s">
        <v>576</v>
      </c>
      <c r="Z22" s="7" t="s">
        <v>577</v>
      </c>
    </row>
    <row r="23" spans="3:26" ht="15.75" customHeight="1" x14ac:dyDescent="0.25">
      <c r="C23" s="10">
        <v>3</v>
      </c>
      <c r="D23" s="11">
        <v>45538</v>
      </c>
      <c r="E23" s="10">
        <v>184</v>
      </c>
      <c r="F23" s="22" t="s">
        <v>333</v>
      </c>
      <c r="G23" s="7">
        <v>1500</v>
      </c>
      <c r="H23" s="12">
        <v>115</v>
      </c>
      <c r="I23" s="7">
        <v>1500</v>
      </c>
      <c r="J23" s="7"/>
      <c r="K23" s="7"/>
      <c r="L23" s="7"/>
      <c r="M23" s="7"/>
      <c r="N23" s="7"/>
      <c r="O23" s="7"/>
      <c r="P23" s="7"/>
      <c r="Q23" s="7"/>
      <c r="R23" s="7"/>
      <c r="T23" s="10">
        <v>1</v>
      </c>
      <c r="U23" s="41">
        <v>45537</v>
      </c>
      <c r="V23" s="7" t="s">
        <v>634</v>
      </c>
      <c r="W23" s="7">
        <v>17468</v>
      </c>
      <c r="X23" s="76">
        <v>76</v>
      </c>
      <c r="Y23" s="10">
        <v>22</v>
      </c>
      <c r="Z23" s="7">
        <f t="shared" ref="Z23:Z30" si="7">W23*X23</f>
        <v>1327568</v>
      </c>
    </row>
    <row r="24" spans="3:26" ht="15.75" customHeight="1" x14ac:dyDescent="0.25">
      <c r="C24" s="10">
        <v>4</v>
      </c>
      <c r="D24" s="11">
        <v>45538</v>
      </c>
      <c r="E24" s="10">
        <v>185</v>
      </c>
      <c r="F24" s="22" t="s">
        <v>614</v>
      </c>
      <c r="G24" s="7">
        <v>100</v>
      </c>
      <c r="H24" s="12">
        <v>105</v>
      </c>
      <c r="I24" s="7">
        <v>100</v>
      </c>
      <c r="J24" s="7"/>
      <c r="K24" s="7"/>
      <c r="L24" s="7"/>
      <c r="M24" s="7"/>
      <c r="N24" s="7"/>
      <c r="O24" s="7"/>
      <c r="P24" s="7"/>
      <c r="Q24" s="7"/>
      <c r="R24" s="7"/>
      <c r="T24" s="10">
        <v>2</v>
      </c>
      <c r="U24" s="41">
        <v>45542</v>
      </c>
      <c r="V24" s="7" t="s">
        <v>635</v>
      </c>
      <c r="W24" s="7">
        <v>19985</v>
      </c>
      <c r="X24" s="76">
        <v>92</v>
      </c>
      <c r="Y24" s="10">
        <v>24</v>
      </c>
      <c r="Z24" s="7">
        <f t="shared" si="7"/>
        <v>1838620</v>
      </c>
    </row>
    <row r="25" spans="3:26" ht="15.75" customHeight="1" x14ac:dyDescent="0.25">
      <c r="C25" s="10">
        <v>5</v>
      </c>
      <c r="D25" s="11">
        <v>45538</v>
      </c>
      <c r="E25" s="10">
        <v>135</v>
      </c>
      <c r="F25" s="22" t="s">
        <v>636</v>
      </c>
      <c r="G25" s="7">
        <v>500</v>
      </c>
      <c r="H25" s="12">
        <v>168</v>
      </c>
      <c r="I25" s="7"/>
      <c r="J25" s="7"/>
      <c r="K25" s="7">
        <v>500</v>
      </c>
      <c r="L25" s="7"/>
      <c r="M25" s="7"/>
      <c r="N25" s="7"/>
      <c r="O25" s="7"/>
      <c r="P25" s="7"/>
      <c r="Q25" s="7"/>
      <c r="R25" s="7"/>
      <c r="T25" s="10">
        <v>3</v>
      </c>
      <c r="U25" s="41">
        <v>45540</v>
      </c>
      <c r="V25" s="7" t="s">
        <v>426</v>
      </c>
      <c r="W25" s="7">
        <v>18611</v>
      </c>
      <c r="X25" s="76">
        <v>76</v>
      </c>
      <c r="Y25" s="10">
        <v>21</v>
      </c>
      <c r="Z25" s="7">
        <f t="shared" si="7"/>
        <v>1414436</v>
      </c>
    </row>
    <row r="26" spans="3:26" ht="15.75" customHeight="1" x14ac:dyDescent="0.25">
      <c r="C26" s="10">
        <v>6</v>
      </c>
      <c r="D26" s="11">
        <v>45538</v>
      </c>
      <c r="E26" s="10">
        <v>136</v>
      </c>
      <c r="F26" s="22" t="s">
        <v>43</v>
      </c>
      <c r="G26" s="7">
        <v>1500</v>
      </c>
      <c r="H26" s="12">
        <v>168</v>
      </c>
      <c r="I26" s="7"/>
      <c r="J26" s="7"/>
      <c r="K26" s="7">
        <v>1500</v>
      </c>
      <c r="L26" s="7"/>
      <c r="M26" s="7"/>
      <c r="N26" s="7"/>
      <c r="O26" s="7"/>
      <c r="P26" s="7"/>
      <c r="Q26" s="7"/>
      <c r="R26" s="7"/>
      <c r="T26" s="10">
        <v>4</v>
      </c>
      <c r="U26" s="41"/>
      <c r="V26" s="7" t="s">
        <v>426</v>
      </c>
      <c r="W26" s="7"/>
      <c r="X26" s="76"/>
      <c r="Y26" s="10"/>
      <c r="Z26" s="7">
        <f t="shared" si="7"/>
        <v>0</v>
      </c>
    </row>
    <row r="27" spans="3:26" ht="15.75" customHeight="1" x14ac:dyDescent="0.25">
      <c r="C27" s="10">
        <v>7</v>
      </c>
      <c r="D27" s="11">
        <v>45539</v>
      </c>
      <c r="E27" s="10">
        <v>186</v>
      </c>
      <c r="F27" s="22" t="s">
        <v>358</v>
      </c>
      <c r="G27" s="7">
        <v>800</v>
      </c>
      <c r="H27" s="12">
        <v>115</v>
      </c>
      <c r="I27" s="7">
        <v>800</v>
      </c>
      <c r="J27" s="7"/>
      <c r="K27" s="7"/>
      <c r="L27" s="7"/>
      <c r="M27" s="7"/>
      <c r="N27" s="7"/>
      <c r="O27" s="7"/>
      <c r="P27" s="7"/>
      <c r="Q27" s="7"/>
      <c r="R27" s="7"/>
      <c r="T27" s="10">
        <v>5</v>
      </c>
      <c r="U27" s="41"/>
      <c r="V27" s="7" t="s">
        <v>579</v>
      </c>
      <c r="W27" s="7"/>
      <c r="X27" s="76"/>
      <c r="Y27" s="10"/>
      <c r="Z27" s="7">
        <f t="shared" si="7"/>
        <v>0</v>
      </c>
    </row>
    <row r="28" spans="3:26" ht="15.75" customHeight="1" x14ac:dyDescent="0.25">
      <c r="C28" s="10">
        <v>8</v>
      </c>
      <c r="D28" s="11">
        <v>45539</v>
      </c>
      <c r="E28" s="10">
        <v>187</v>
      </c>
      <c r="F28" s="22" t="s">
        <v>193</v>
      </c>
      <c r="G28" s="7">
        <v>1600</v>
      </c>
      <c r="H28" s="12">
        <v>115</v>
      </c>
      <c r="I28" s="7">
        <v>1600</v>
      </c>
      <c r="J28" s="7"/>
      <c r="K28" s="7"/>
      <c r="L28" s="7"/>
      <c r="M28" s="7"/>
      <c r="N28" s="7"/>
      <c r="O28" s="7"/>
      <c r="P28" s="7"/>
      <c r="Q28" s="7"/>
      <c r="R28" s="7"/>
      <c r="T28" s="10">
        <v>6</v>
      </c>
      <c r="U28" s="41"/>
      <c r="V28" s="7" t="s">
        <v>552</v>
      </c>
      <c r="W28" s="7"/>
      <c r="X28" s="7"/>
      <c r="Y28" s="7"/>
      <c r="Z28" s="7">
        <f t="shared" si="7"/>
        <v>0</v>
      </c>
    </row>
    <row r="29" spans="3:26" ht="15.75" customHeight="1" x14ac:dyDescent="0.25">
      <c r="C29" s="10">
        <v>9</v>
      </c>
      <c r="D29" s="11">
        <v>45540</v>
      </c>
      <c r="E29" s="10">
        <v>188</v>
      </c>
      <c r="F29" s="22" t="s">
        <v>394</v>
      </c>
      <c r="G29" s="7">
        <v>10000</v>
      </c>
      <c r="H29" s="12">
        <v>99</v>
      </c>
      <c r="I29" s="7">
        <v>10000</v>
      </c>
      <c r="J29" s="7"/>
      <c r="K29" s="7"/>
      <c r="L29" s="7"/>
      <c r="M29" s="7"/>
      <c r="N29" s="7"/>
      <c r="O29" s="7"/>
      <c r="P29" s="7"/>
      <c r="Q29" s="7"/>
      <c r="R29" s="7"/>
      <c r="T29" s="10">
        <v>7</v>
      </c>
      <c r="U29" s="41"/>
      <c r="V29" s="7" t="s">
        <v>552</v>
      </c>
      <c r="W29" s="7"/>
      <c r="X29" s="7"/>
      <c r="Y29" s="7"/>
      <c r="Z29" s="7">
        <f t="shared" si="7"/>
        <v>0</v>
      </c>
    </row>
    <row r="30" spans="3:26" ht="15.75" customHeight="1" x14ac:dyDescent="0.25">
      <c r="C30" s="10">
        <v>10</v>
      </c>
      <c r="D30" s="11">
        <v>45540</v>
      </c>
      <c r="E30" s="10" t="s">
        <v>27</v>
      </c>
      <c r="F30" s="22" t="s">
        <v>69</v>
      </c>
      <c r="G30" s="7">
        <v>300</v>
      </c>
      <c r="H30" s="12">
        <v>188</v>
      </c>
      <c r="I30" s="7"/>
      <c r="J30" s="7"/>
      <c r="K30" s="7"/>
      <c r="L30" s="7"/>
      <c r="M30" s="7"/>
      <c r="N30" s="7"/>
      <c r="O30" s="7"/>
      <c r="P30" s="7">
        <v>300</v>
      </c>
      <c r="Q30" s="7"/>
      <c r="R30" s="7"/>
      <c r="T30" s="10">
        <v>8</v>
      </c>
      <c r="U30" s="11"/>
      <c r="V30" s="7"/>
      <c r="W30" s="7"/>
      <c r="X30" s="7"/>
      <c r="Y30" s="7"/>
      <c r="Z30" s="7">
        <f t="shared" si="7"/>
        <v>0</v>
      </c>
    </row>
    <row r="31" spans="3:26" ht="15.75" customHeight="1" x14ac:dyDescent="0.25">
      <c r="C31" s="10">
        <v>11</v>
      </c>
      <c r="D31" s="11">
        <v>45541</v>
      </c>
      <c r="E31" s="10">
        <v>189</v>
      </c>
      <c r="F31" s="22" t="s">
        <v>44</v>
      </c>
      <c r="G31" s="7">
        <v>2000</v>
      </c>
      <c r="H31" s="12">
        <v>172</v>
      </c>
      <c r="I31" s="7"/>
      <c r="J31" s="7"/>
      <c r="K31" s="7">
        <v>2000</v>
      </c>
      <c r="L31" s="7"/>
      <c r="M31" s="7"/>
      <c r="N31" s="7"/>
      <c r="O31" s="7"/>
      <c r="P31" s="7"/>
      <c r="Q31" s="7"/>
      <c r="R31" s="7"/>
      <c r="T31" s="10"/>
      <c r="U31" s="7"/>
      <c r="V31" s="7"/>
      <c r="W31" s="7"/>
      <c r="X31" s="104" t="s">
        <v>581</v>
      </c>
      <c r="Y31" s="99"/>
      <c r="Z31" s="7">
        <f>SUM(Z23:Z30)</f>
        <v>4580624</v>
      </c>
    </row>
    <row r="32" spans="3:26" ht="15.75" customHeight="1" x14ac:dyDescent="0.25">
      <c r="C32" s="10">
        <v>12</v>
      </c>
      <c r="D32" s="11">
        <v>45541</v>
      </c>
      <c r="E32" s="10">
        <v>190</v>
      </c>
      <c r="F32" s="22" t="s">
        <v>44</v>
      </c>
      <c r="G32" s="7">
        <v>2000</v>
      </c>
      <c r="H32" s="12">
        <v>118</v>
      </c>
      <c r="I32" s="7">
        <v>2000</v>
      </c>
      <c r="J32" s="7"/>
      <c r="K32" s="7"/>
      <c r="L32" s="7"/>
      <c r="M32" s="7"/>
      <c r="N32" s="7"/>
      <c r="O32" s="7"/>
      <c r="P32" s="7"/>
      <c r="Q32" s="7"/>
      <c r="R32" s="7"/>
      <c r="T32" s="97" t="s">
        <v>181</v>
      </c>
      <c r="U32" s="98"/>
      <c r="V32" s="99"/>
      <c r="W32" s="7">
        <f>SUM(W23:W30)</f>
        <v>56064</v>
      </c>
      <c r="X32" s="104" t="s">
        <v>582</v>
      </c>
      <c r="Y32" s="99"/>
      <c r="Z32" s="7">
        <f>Z31/W32</f>
        <v>81.703481735159812</v>
      </c>
    </row>
    <row r="33" spans="3:23" ht="15.75" customHeight="1" x14ac:dyDescent="0.25">
      <c r="C33" s="10">
        <v>13</v>
      </c>
      <c r="D33" s="11">
        <v>45544</v>
      </c>
      <c r="E33" s="10" t="s">
        <v>637</v>
      </c>
      <c r="F33" s="22" t="s">
        <v>636</v>
      </c>
      <c r="G33" s="7">
        <v>1000</v>
      </c>
      <c r="H33" s="12">
        <v>168</v>
      </c>
      <c r="I33" s="7"/>
      <c r="J33" s="7"/>
      <c r="K33" s="7">
        <v>1000</v>
      </c>
      <c r="L33" s="7"/>
      <c r="M33" s="7"/>
      <c r="N33" s="7"/>
      <c r="O33" s="7"/>
      <c r="P33" s="7"/>
      <c r="Q33" s="7"/>
      <c r="R33" s="7"/>
      <c r="T33" s="97" t="s">
        <v>183</v>
      </c>
      <c r="U33" s="98"/>
      <c r="V33" s="99"/>
      <c r="W33" s="7">
        <v>205777</v>
      </c>
    </row>
    <row r="34" spans="3:23" ht="15.75" customHeight="1" x14ac:dyDescent="0.25">
      <c r="C34" s="10">
        <v>14</v>
      </c>
      <c r="D34" s="11">
        <v>45546</v>
      </c>
      <c r="E34" s="10">
        <v>193</v>
      </c>
      <c r="F34" s="22" t="s">
        <v>333</v>
      </c>
      <c r="G34" s="7">
        <v>5000</v>
      </c>
      <c r="H34" s="12">
        <v>115</v>
      </c>
      <c r="I34" s="7">
        <v>5000</v>
      </c>
      <c r="J34" s="7"/>
      <c r="K34" s="7"/>
      <c r="L34" s="7"/>
      <c r="M34" s="7"/>
      <c r="N34" s="7"/>
      <c r="O34" s="7"/>
      <c r="P34" s="7"/>
      <c r="Q34" s="7"/>
      <c r="R34" s="7"/>
      <c r="T34" s="97" t="s">
        <v>184</v>
      </c>
      <c r="U34" s="98"/>
      <c r="V34" s="99"/>
      <c r="W34" s="35">
        <f>SUM(W32,W33)</f>
        <v>261841</v>
      </c>
    </row>
    <row r="35" spans="3:23" ht="15.75" customHeight="1" x14ac:dyDescent="0.25">
      <c r="C35" s="10">
        <v>15</v>
      </c>
      <c r="D35" s="11">
        <v>45548</v>
      </c>
      <c r="E35" s="10">
        <v>196</v>
      </c>
      <c r="F35" s="22" t="s">
        <v>193</v>
      </c>
      <c r="G35" s="7">
        <v>2700</v>
      </c>
      <c r="H35" s="12">
        <v>116</v>
      </c>
      <c r="I35" s="7">
        <v>2700</v>
      </c>
      <c r="J35" s="7"/>
      <c r="K35" s="7"/>
      <c r="L35" s="7"/>
      <c r="M35" s="7"/>
      <c r="N35" s="7"/>
      <c r="O35" s="7"/>
      <c r="P35" s="7"/>
      <c r="Q35" s="7"/>
      <c r="R35" s="7"/>
      <c r="T35" s="97" t="s">
        <v>186</v>
      </c>
      <c r="U35" s="98"/>
      <c r="V35" s="99"/>
      <c r="W35" s="7">
        <f>'Sept 24'!$I$102</f>
        <v>40740</v>
      </c>
    </row>
    <row r="36" spans="3:23" ht="15.75" customHeight="1" x14ac:dyDescent="0.25">
      <c r="C36" s="10">
        <v>16</v>
      </c>
      <c r="D36" s="11">
        <v>45548</v>
      </c>
      <c r="E36" s="10">
        <v>197</v>
      </c>
      <c r="F36" s="22" t="s">
        <v>358</v>
      </c>
      <c r="G36" s="7">
        <v>100</v>
      </c>
      <c r="H36" s="12">
        <v>115</v>
      </c>
      <c r="I36" s="7">
        <v>100</v>
      </c>
      <c r="J36" s="7"/>
      <c r="K36" s="7"/>
      <c r="L36" s="7"/>
      <c r="M36" s="7"/>
      <c r="N36" s="7"/>
      <c r="O36" s="7"/>
      <c r="P36" s="7"/>
      <c r="Q36" s="7"/>
      <c r="R36" s="7"/>
      <c r="T36" s="97"/>
      <c r="U36" s="98"/>
      <c r="V36" s="99"/>
      <c r="W36" s="7"/>
    </row>
    <row r="37" spans="3:23" ht="15.75" customHeight="1" x14ac:dyDescent="0.25">
      <c r="C37" s="10">
        <v>17</v>
      </c>
      <c r="D37" s="11">
        <v>45551</v>
      </c>
      <c r="E37" s="10">
        <v>198</v>
      </c>
      <c r="F37" s="22" t="s">
        <v>614</v>
      </c>
      <c r="G37" s="7">
        <v>500</v>
      </c>
      <c r="H37" s="12">
        <v>114</v>
      </c>
      <c r="I37" s="7">
        <v>500</v>
      </c>
      <c r="J37" s="7"/>
      <c r="K37" s="7"/>
      <c r="L37" s="7"/>
      <c r="M37" s="7"/>
      <c r="N37" s="7"/>
      <c r="O37" s="7"/>
      <c r="P37" s="7"/>
      <c r="Q37" s="7"/>
      <c r="R37" s="7"/>
      <c r="T37" s="100" t="s">
        <v>188</v>
      </c>
      <c r="U37" s="98"/>
      <c r="V37" s="99"/>
      <c r="W37" s="36">
        <f>SUM(W34-W35)</f>
        <v>221101</v>
      </c>
    </row>
    <row r="38" spans="3:23" ht="15.75" customHeight="1" x14ac:dyDescent="0.25">
      <c r="C38" s="10">
        <v>18</v>
      </c>
      <c r="D38" s="11">
        <v>45553</v>
      </c>
      <c r="E38" s="10">
        <v>199</v>
      </c>
      <c r="F38" s="22" t="s">
        <v>638</v>
      </c>
      <c r="G38" s="7">
        <v>3500</v>
      </c>
      <c r="H38" s="12">
        <v>127</v>
      </c>
      <c r="I38" s="7">
        <v>3500</v>
      </c>
      <c r="J38" s="7"/>
      <c r="K38" s="7"/>
      <c r="L38" s="7"/>
      <c r="M38" s="7"/>
      <c r="N38" s="7"/>
      <c r="O38" s="7"/>
      <c r="P38" s="7"/>
      <c r="Q38" s="7"/>
      <c r="R38" s="7"/>
    </row>
    <row r="39" spans="3:23" ht="15.75" customHeight="1" x14ac:dyDescent="0.25">
      <c r="C39" s="10">
        <v>18</v>
      </c>
      <c r="D39" s="11">
        <v>45554</v>
      </c>
      <c r="E39" s="24">
        <v>200</v>
      </c>
      <c r="F39" s="22" t="s">
        <v>614</v>
      </c>
      <c r="G39" s="7">
        <v>300</v>
      </c>
      <c r="H39" s="12">
        <v>108</v>
      </c>
      <c r="I39" s="7">
        <v>300</v>
      </c>
      <c r="J39" s="7"/>
      <c r="K39" s="7"/>
      <c r="L39" s="7"/>
      <c r="M39" s="7"/>
      <c r="N39" s="7"/>
      <c r="O39" s="7"/>
      <c r="P39" s="7"/>
      <c r="Q39" s="7"/>
      <c r="R39" s="7"/>
    </row>
    <row r="40" spans="3:23" ht="15.75" customHeight="1" x14ac:dyDescent="0.25">
      <c r="C40" s="10">
        <v>19</v>
      </c>
      <c r="D40" s="11">
        <v>45554</v>
      </c>
      <c r="E40" s="10">
        <v>201</v>
      </c>
      <c r="F40" s="22" t="s">
        <v>631</v>
      </c>
      <c r="G40" s="7">
        <v>200</v>
      </c>
      <c r="H40" s="12">
        <v>118</v>
      </c>
      <c r="I40" s="7">
        <v>200</v>
      </c>
      <c r="J40" s="7"/>
      <c r="K40" s="7"/>
      <c r="L40" s="7"/>
      <c r="M40" s="7"/>
      <c r="N40" s="7"/>
      <c r="O40" s="7"/>
      <c r="P40" s="7"/>
      <c r="Q40" s="7"/>
      <c r="R40" s="7"/>
    </row>
    <row r="41" spans="3:23" ht="15.75" customHeight="1" x14ac:dyDescent="0.25">
      <c r="C41" s="10">
        <v>20</v>
      </c>
      <c r="D41" s="11">
        <v>45556</v>
      </c>
      <c r="E41" s="10">
        <v>202</v>
      </c>
      <c r="F41" s="22" t="s">
        <v>80</v>
      </c>
      <c r="G41" s="7">
        <v>500</v>
      </c>
      <c r="H41" s="12">
        <v>120</v>
      </c>
      <c r="I41" s="7">
        <v>500</v>
      </c>
      <c r="J41" s="7"/>
      <c r="K41" s="7"/>
      <c r="L41" s="7"/>
      <c r="M41" s="7"/>
      <c r="N41" s="7"/>
      <c r="O41" s="7"/>
      <c r="P41" s="7"/>
      <c r="Q41" s="7"/>
      <c r="R41" s="7"/>
    </row>
    <row r="42" spans="3:23" ht="15.75" customHeight="1" x14ac:dyDescent="0.25">
      <c r="C42" s="10">
        <v>21</v>
      </c>
      <c r="D42" s="11">
        <v>45556</v>
      </c>
      <c r="E42" s="10">
        <v>204</v>
      </c>
      <c r="F42" s="22" t="s">
        <v>162</v>
      </c>
      <c r="G42" s="7">
        <v>1040</v>
      </c>
      <c r="H42" s="12">
        <v>113</v>
      </c>
      <c r="I42" s="7">
        <v>1040</v>
      </c>
      <c r="J42" s="7"/>
      <c r="K42" s="7"/>
      <c r="L42" s="7"/>
      <c r="M42" s="7"/>
      <c r="N42" s="7"/>
      <c r="O42" s="7"/>
      <c r="P42" s="7"/>
      <c r="Q42" s="7"/>
      <c r="R42" s="7"/>
    </row>
    <row r="43" spans="3:23" ht="15.75" customHeight="1" x14ac:dyDescent="0.25">
      <c r="C43" s="10">
        <v>22</v>
      </c>
      <c r="D43" s="11">
        <v>45559</v>
      </c>
      <c r="E43" s="10" t="s">
        <v>639</v>
      </c>
      <c r="F43" s="22" t="s">
        <v>269</v>
      </c>
      <c r="G43" s="7">
        <v>2500</v>
      </c>
      <c r="H43" s="12">
        <v>183</v>
      </c>
      <c r="I43" s="7"/>
      <c r="J43" s="7"/>
      <c r="K43" s="7"/>
      <c r="L43" s="7"/>
      <c r="M43" s="7">
        <v>2000</v>
      </c>
      <c r="N43" s="7">
        <v>500</v>
      </c>
      <c r="O43" s="7"/>
      <c r="P43" s="7"/>
      <c r="Q43" s="7"/>
      <c r="R43" s="7"/>
    </row>
    <row r="44" spans="3:23" ht="15.75" customHeight="1" x14ac:dyDescent="0.25">
      <c r="C44" s="10">
        <v>23</v>
      </c>
      <c r="D44" s="11">
        <v>45558</v>
      </c>
      <c r="E44" s="10">
        <v>206</v>
      </c>
      <c r="F44" s="22" t="s">
        <v>90</v>
      </c>
      <c r="G44" s="7">
        <v>5000</v>
      </c>
      <c r="H44" s="12">
        <v>110</v>
      </c>
      <c r="I44" s="7">
        <v>5000</v>
      </c>
      <c r="J44" s="7"/>
      <c r="K44" s="7"/>
      <c r="L44" s="7"/>
      <c r="M44" s="7"/>
      <c r="N44" s="7"/>
      <c r="O44" s="7"/>
      <c r="P44" s="7"/>
      <c r="Q44" s="7"/>
      <c r="R44" s="7"/>
    </row>
    <row r="45" spans="3:23" ht="15.75" customHeight="1" x14ac:dyDescent="0.25">
      <c r="C45" s="10">
        <v>24</v>
      </c>
      <c r="D45" s="11">
        <v>45558</v>
      </c>
      <c r="E45" s="10">
        <v>207</v>
      </c>
      <c r="F45" s="22" t="s">
        <v>162</v>
      </c>
      <c r="G45" s="7">
        <v>100</v>
      </c>
      <c r="H45" s="12">
        <v>110</v>
      </c>
      <c r="I45" s="7">
        <v>100</v>
      </c>
      <c r="J45" s="7"/>
      <c r="K45" s="7"/>
      <c r="L45" s="7"/>
      <c r="M45" s="7"/>
      <c r="N45" s="7"/>
      <c r="O45" s="7"/>
      <c r="P45" s="7"/>
      <c r="Q45" s="7"/>
      <c r="R45" s="7"/>
    </row>
    <row r="46" spans="3:23" ht="15.75" customHeight="1" x14ac:dyDescent="0.25">
      <c r="C46" s="10">
        <v>26</v>
      </c>
      <c r="D46" s="11">
        <v>45559</v>
      </c>
      <c r="E46" s="10">
        <v>208</v>
      </c>
      <c r="F46" s="22" t="s">
        <v>76</v>
      </c>
      <c r="G46" s="7">
        <v>300</v>
      </c>
      <c r="H46" s="12">
        <v>118</v>
      </c>
      <c r="I46" s="7">
        <v>300</v>
      </c>
      <c r="J46" s="7"/>
      <c r="K46" s="7"/>
      <c r="L46" s="7"/>
      <c r="M46" s="7"/>
      <c r="N46" s="7"/>
      <c r="O46" s="7"/>
      <c r="P46" s="7"/>
      <c r="Q46" s="7"/>
      <c r="R46" s="7"/>
    </row>
    <row r="47" spans="3:23" ht="15.75" customHeight="1" x14ac:dyDescent="0.25">
      <c r="C47" s="10">
        <v>27</v>
      </c>
      <c r="D47" s="11">
        <v>45560</v>
      </c>
      <c r="E47" s="10" t="s">
        <v>640</v>
      </c>
      <c r="F47" s="22" t="s">
        <v>391</v>
      </c>
      <c r="G47" s="7">
        <v>4000</v>
      </c>
      <c r="H47" s="12">
        <v>182</v>
      </c>
      <c r="I47" s="7"/>
      <c r="J47" s="7"/>
      <c r="K47" s="7"/>
      <c r="L47" s="7"/>
      <c r="M47" s="7"/>
      <c r="N47" s="7">
        <v>4000</v>
      </c>
      <c r="O47" s="7"/>
      <c r="P47" s="7"/>
      <c r="Q47" s="7"/>
      <c r="R47" s="7"/>
    </row>
    <row r="48" spans="3:23" ht="15.75" customHeight="1" x14ac:dyDescent="0.25">
      <c r="C48" s="10">
        <v>28</v>
      </c>
      <c r="D48" s="11">
        <v>45560</v>
      </c>
      <c r="E48" s="10" t="s">
        <v>475</v>
      </c>
      <c r="F48" s="22" t="s">
        <v>112</v>
      </c>
      <c r="G48" s="7">
        <v>5900</v>
      </c>
      <c r="H48" s="12">
        <v>163</v>
      </c>
      <c r="I48" s="7"/>
      <c r="J48" s="7"/>
      <c r="K48" s="7">
        <v>5900</v>
      </c>
      <c r="L48" s="7"/>
      <c r="M48" s="7"/>
      <c r="N48" s="7"/>
      <c r="O48" s="7"/>
      <c r="P48" s="7"/>
      <c r="Q48" s="7"/>
      <c r="R48" s="7"/>
      <c r="S48" s="1"/>
    </row>
    <row r="49" spans="3:19" ht="15.75" customHeight="1" x14ac:dyDescent="0.25">
      <c r="C49" s="10">
        <v>29</v>
      </c>
      <c r="D49" s="11">
        <v>45562</v>
      </c>
      <c r="E49" s="10" t="s">
        <v>477</v>
      </c>
      <c r="F49" s="22" t="s">
        <v>202</v>
      </c>
      <c r="G49" s="7">
        <v>1000</v>
      </c>
      <c r="H49" s="12">
        <v>184</v>
      </c>
      <c r="I49" s="7"/>
      <c r="J49" s="7"/>
      <c r="K49" s="7"/>
      <c r="L49" s="7"/>
      <c r="M49" s="7"/>
      <c r="N49" s="7">
        <v>1000</v>
      </c>
      <c r="O49" s="7"/>
      <c r="P49" s="7"/>
      <c r="Q49" s="7"/>
      <c r="R49" s="7"/>
      <c r="S49" s="1"/>
    </row>
    <row r="50" spans="3:19" ht="15.75" customHeight="1" x14ac:dyDescent="0.25">
      <c r="C50" s="10">
        <v>30</v>
      </c>
      <c r="D50" s="11">
        <v>45561</v>
      </c>
      <c r="E50" s="10">
        <v>209</v>
      </c>
      <c r="F50" s="22" t="s">
        <v>193</v>
      </c>
      <c r="G50" s="7">
        <v>2400</v>
      </c>
      <c r="H50" s="12">
        <v>112</v>
      </c>
      <c r="I50" s="7">
        <v>2400</v>
      </c>
      <c r="J50" s="7"/>
      <c r="K50" s="7"/>
      <c r="L50" s="7"/>
      <c r="M50" s="7"/>
      <c r="N50" s="7"/>
      <c r="O50" s="7"/>
      <c r="P50" s="7"/>
      <c r="Q50" s="7"/>
      <c r="R50" s="7"/>
      <c r="S50" s="1"/>
    </row>
    <row r="51" spans="3:19" ht="15.75" customHeight="1" x14ac:dyDescent="0.25">
      <c r="C51" s="10">
        <v>31</v>
      </c>
      <c r="D51" s="11">
        <v>45563</v>
      </c>
      <c r="E51" s="10">
        <v>212</v>
      </c>
      <c r="F51" s="22" t="s">
        <v>24</v>
      </c>
      <c r="G51" s="7">
        <v>1000</v>
      </c>
      <c r="H51" s="12">
        <v>112</v>
      </c>
      <c r="I51" s="7">
        <v>1000</v>
      </c>
      <c r="J51" s="7"/>
      <c r="K51" s="7"/>
      <c r="L51" s="7"/>
      <c r="M51" s="7"/>
      <c r="N51" s="7"/>
      <c r="O51" s="7"/>
      <c r="P51" s="7"/>
      <c r="Q51" s="7"/>
      <c r="R51" s="7"/>
      <c r="S51" s="1"/>
    </row>
    <row r="52" spans="3:19" ht="15.75" customHeight="1" x14ac:dyDescent="0.25">
      <c r="C52" s="10">
        <v>32</v>
      </c>
      <c r="D52" s="11">
        <v>45563</v>
      </c>
      <c r="E52" s="10">
        <v>213</v>
      </c>
      <c r="F52" s="22" t="s">
        <v>641</v>
      </c>
      <c r="G52" s="7">
        <v>300</v>
      </c>
      <c r="H52" s="12">
        <v>115</v>
      </c>
      <c r="I52" s="7">
        <v>300</v>
      </c>
      <c r="J52" s="7"/>
      <c r="K52" s="7"/>
      <c r="L52" s="7"/>
      <c r="M52" s="7"/>
      <c r="N52" s="7"/>
      <c r="O52" s="7"/>
      <c r="P52" s="7"/>
      <c r="Q52" s="7"/>
      <c r="R52" s="7"/>
      <c r="S52" s="1"/>
    </row>
    <row r="53" spans="3:19" ht="15.75" customHeight="1" x14ac:dyDescent="0.25">
      <c r="C53" s="10">
        <v>33</v>
      </c>
      <c r="D53" s="11">
        <v>45565</v>
      </c>
      <c r="E53" s="10" t="s">
        <v>488</v>
      </c>
      <c r="F53" s="22" t="s">
        <v>32</v>
      </c>
      <c r="G53" s="7">
        <v>500</v>
      </c>
      <c r="H53" s="12">
        <v>187</v>
      </c>
      <c r="I53" s="7"/>
      <c r="J53" s="7"/>
      <c r="K53" s="7"/>
      <c r="L53" s="7"/>
      <c r="M53" s="7"/>
      <c r="N53" s="7">
        <v>500</v>
      </c>
      <c r="O53" s="7"/>
      <c r="P53" s="7"/>
      <c r="Q53" s="7"/>
      <c r="R53" s="7"/>
      <c r="S53" s="1"/>
    </row>
    <row r="54" spans="3:19" ht="15.75" customHeight="1" x14ac:dyDescent="0.25">
      <c r="C54" s="10">
        <v>34</v>
      </c>
      <c r="D54" s="11">
        <v>45555</v>
      </c>
      <c r="E54" s="10" t="s">
        <v>27</v>
      </c>
      <c r="F54" s="22" t="s">
        <v>37</v>
      </c>
      <c r="G54" s="7">
        <v>800</v>
      </c>
      <c r="H54" s="12">
        <v>125</v>
      </c>
      <c r="I54" s="7">
        <v>800</v>
      </c>
      <c r="J54" s="7"/>
      <c r="K54" s="7"/>
      <c r="L54" s="7"/>
      <c r="M54" s="7"/>
      <c r="N54" s="7"/>
      <c r="O54" s="7"/>
      <c r="P54" s="7"/>
      <c r="Q54" s="7"/>
      <c r="R54" s="7"/>
      <c r="S54" s="1"/>
    </row>
    <row r="55" spans="3:19" ht="15.75" customHeight="1" x14ac:dyDescent="0.25">
      <c r="C55" s="10">
        <v>35</v>
      </c>
      <c r="D55" s="11"/>
      <c r="E55" s="10"/>
      <c r="F55" s="22" t="s">
        <v>255</v>
      </c>
      <c r="G55" s="7"/>
      <c r="H55" s="12"/>
      <c r="I55" s="7"/>
      <c r="J55" s="7"/>
      <c r="K55" s="7"/>
      <c r="L55" s="7"/>
      <c r="M55" s="7"/>
      <c r="N55" s="7"/>
      <c r="O55" s="7"/>
      <c r="P55" s="7"/>
      <c r="Q55" s="7"/>
      <c r="R55" s="7"/>
      <c r="S55" s="1"/>
    </row>
    <row r="56" spans="3:19" ht="15.75" customHeight="1" x14ac:dyDescent="0.25">
      <c r="C56" s="10">
        <v>36</v>
      </c>
      <c r="D56" s="11"/>
      <c r="E56" s="10"/>
      <c r="F56" s="22" t="s">
        <v>37</v>
      </c>
      <c r="G56" s="7"/>
      <c r="H56" s="12"/>
      <c r="I56" s="7"/>
      <c r="J56" s="7"/>
      <c r="K56" s="7"/>
      <c r="L56" s="7"/>
      <c r="M56" s="7"/>
      <c r="N56" s="7"/>
      <c r="O56" s="7"/>
      <c r="P56" s="7"/>
      <c r="Q56" s="7"/>
      <c r="R56" s="7"/>
      <c r="S56" s="1"/>
    </row>
    <row r="57" spans="3:19" ht="15.75" customHeight="1" x14ac:dyDescent="0.25">
      <c r="C57" s="10">
        <v>37</v>
      </c>
      <c r="D57" s="11"/>
      <c r="E57" s="10"/>
      <c r="F57" s="22" t="s">
        <v>620</v>
      </c>
      <c r="G57" s="7"/>
      <c r="H57" s="12"/>
      <c r="I57" s="7"/>
      <c r="J57" s="7"/>
      <c r="K57" s="7"/>
      <c r="L57" s="7"/>
      <c r="M57" s="7"/>
      <c r="N57" s="7"/>
      <c r="O57" s="7"/>
      <c r="P57" s="7"/>
      <c r="Q57" s="7"/>
      <c r="R57" s="7"/>
      <c r="S57" s="1"/>
    </row>
    <row r="58" spans="3:19" ht="15.75" customHeight="1" x14ac:dyDescent="0.25">
      <c r="C58" s="10">
        <v>38</v>
      </c>
      <c r="D58" s="11"/>
      <c r="E58" s="10"/>
      <c r="F58" s="22" t="s">
        <v>162</v>
      </c>
      <c r="G58" s="7"/>
      <c r="H58" s="12"/>
      <c r="I58" s="7"/>
      <c r="J58" s="7"/>
      <c r="K58" s="7"/>
      <c r="L58" s="7"/>
      <c r="M58" s="7"/>
      <c r="N58" s="7"/>
      <c r="O58" s="7"/>
      <c r="P58" s="7"/>
      <c r="Q58" s="7"/>
      <c r="R58" s="7"/>
      <c r="S58" s="1"/>
    </row>
    <row r="59" spans="3:19" ht="15.75" customHeight="1" x14ac:dyDescent="0.25">
      <c r="C59" s="10">
        <v>41</v>
      </c>
      <c r="D59" s="11"/>
      <c r="E59" s="10"/>
      <c r="F59" s="22" t="s">
        <v>37</v>
      </c>
      <c r="G59" s="7"/>
      <c r="H59" s="31"/>
      <c r="I59" s="7"/>
      <c r="J59" s="7"/>
      <c r="K59" s="7"/>
      <c r="L59" s="7"/>
      <c r="M59" s="7"/>
      <c r="N59" s="7"/>
      <c r="O59" s="7"/>
      <c r="P59" s="7"/>
      <c r="Q59" s="7"/>
      <c r="R59" s="7"/>
      <c r="S59" s="1"/>
    </row>
    <row r="60" spans="3:19" ht="15.75" customHeight="1" x14ac:dyDescent="0.25">
      <c r="C60" s="10">
        <v>39</v>
      </c>
      <c r="D60" s="11"/>
      <c r="E60" s="10"/>
      <c r="F60" s="22" t="s">
        <v>48</v>
      </c>
      <c r="G60" s="7"/>
      <c r="H60" s="12"/>
      <c r="I60" s="7"/>
      <c r="J60" s="7"/>
      <c r="K60" s="7"/>
      <c r="L60" s="7"/>
      <c r="M60" s="7"/>
      <c r="N60" s="7"/>
      <c r="O60" s="7"/>
      <c r="P60" s="7"/>
      <c r="Q60" s="7"/>
      <c r="R60" s="7"/>
      <c r="S60" s="1"/>
    </row>
    <row r="61" spans="3:19" ht="15.75" customHeight="1" x14ac:dyDescent="0.25">
      <c r="C61" s="10">
        <v>42</v>
      </c>
      <c r="D61" s="11"/>
      <c r="E61" s="10"/>
      <c r="F61" s="22" t="s">
        <v>32</v>
      </c>
      <c r="G61" s="7"/>
      <c r="H61" s="12"/>
      <c r="I61" s="7"/>
      <c r="J61" s="7"/>
      <c r="K61" s="7"/>
      <c r="L61" s="7"/>
      <c r="M61" s="7"/>
      <c r="N61" s="7"/>
      <c r="O61" s="7"/>
      <c r="P61" s="7"/>
      <c r="Q61" s="7"/>
      <c r="R61" s="7"/>
      <c r="S61" s="1"/>
    </row>
    <row r="62" spans="3:19" ht="15.75" customHeight="1" x14ac:dyDescent="0.25">
      <c r="C62" s="10">
        <v>40</v>
      </c>
      <c r="D62" s="11"/>
      <c r="E62" s="10"/>
      <c r="F62" s="22" t="s">
        <v>80</v>
      </c>
      <c r="G62" s="7"/>
      <c r="H62" s="12"/>
      <c r="I62" s="7"/>
      <c r="J62" s="7"/>
      <c r="K62" s="7"/>
      <c r="L62" s="7"/>
      <c r="M62" s="7"/>
      <c r="N62" s="7"/>
      <c r="O62" s="7"/>
      <c r="P62" s="7"/>
      <c r="Q62" s="7"/>
      <c r="R62" s="7"/>
      <c r="S62" s="1"/>
    </row>
    <row r="63" spans="3:19" ht="15.75" customHeight="1" x14ac:dyDescent="0.25">
      <c r="C63" s="10">
        <v>43</v>
      </c>
      <c r="D63" s="11"/>
      <c r="E63" s="10"/>
      <c r="F63" s="22" t="s">
        <v>268</v>
      </c>
      <c r="G63" s="7"/>
      <c r="H63" s="12"/>
      <c r="I63" s="7"/>
      <c r="J63" s="7"/>
      <c r="K63" s="7"/>
      <c r="L63" s="7"/>
      <c r="M63" s="7"/>
      <c r="N63" s="7"/>
      <c r="O63" s="7"/>
      <c r="P63" s="7"/>
      <c r="Q63" s="7"/>
      <c r="R63" s="7"/>
      <c r="S63" s="1"/>
    </row>
    <row r="64" spans="3:19" ht="15.75" customHeight="1" x14ac:dyDescent="0.25">
      <c r="C64" s="10">
        <v>44</v>
      </c>
      <c r="D64" s="11"/>
      <c r="E64" s="10"/>
      <c r="F64" s="22" t="s">
        <v>80</v>
      </c>
      <c r="G64" s="7"/>
      <c r="H64" s="12"/>
      <c r="I64" s="7"/>
      <c r="J64" s="7"/>
      <c r="K64" s="7"/>
      <c r="L64" s="7"/>
      <c r="M64" s="7"/>
      <c r="N64" s="7"/>
      <c r="O64" s="7"/>
      <c r="P64" s="7"/>
      <c r="Q64" s="7"/>
      <c r="R64" s="7"/>
      <c r="S64" s="1"/>
    </row>
    <row r="65" spans="3:19" ht="15.75" customHeight="1" x14ac:dyDescent="0.25">
      <c r="C65" s="10">
        <v>45</v>
      </c>
      <c r="D65" s="11"/>
      <c r="E65" s="10"/>
      <c r="F65" s="22" t="s">
        <v>546</v>
      </c>
      <c r="G65" s="7"/>
      <c r="H65" s="12"/>
      <c r="I65" s="7"/>
      <c r="J65" s="7"/>
      <c r="K65" s="7"/>
      <c r="L65" s="7"/>
      <c r="M65" s="7"/>
      <c r="N65" s="7"/>
      <c r="O65" s="7"/>
      <c r="P65" s="7"/>
      <c r="Q65" s="7"/>
      <c r="R65" s="7"/>
      <c r="S65" s="1"/>
    </row>
    <row r="66" spans="3:19" ht="15.75" customHeight="1" x14ac:dyDescent="0.25">
      <c r="C66" s="10">
        <v>46</v>
      </c>
      <c r="D66" s="11"/>
      <c r="E66" s="10"/>
      <c r="F66" s="22" t="s">
        <v>333</v>
      </c>
      <c r="G66" s="7"/>
      <c r="H66" s="12"/>
      <c r="I66" s="7"/>
      <c r="J66" s="7"/>
      <c r="K66" s="7"/>
      <c r="L66" s="7"/>
      <c r="M66" s="7"/>
      <c r="N66" s="7"/>
      <c r="O66" s="7"/>
      <c r="P66" s="7"/>
      <c r="Q66" s="7"/>
      <c r="R66" s="7"/>
      <c r="S66" s="1"/>
    </row>
    <row r="67" spans="3:19" ht="15.75" customHeight="1" x14ac:dyDescent="0.25">
      <c r="C67" s="10">
        <v>47</v>
      </c>
      <c r="D67" s="11"/>
      <c r="E67" s="10"/>
      <c r="F67" s="22" t="s">
        <v>37</v>
      </c>
      <c r="G67" s="7"/>
      <c r="H67" s="12"/>
      <c r="I67" s="7"/>
      <c r="J67" s="7"/>
      <c r="K67" s="7"/>
      <c r="L67" s="7"/>
      <c r="M67" s="7"/>
      <c r="N67" s="7"/>
      <c r="O67" s="7"/>
      <c r="P67" s="7"/>
      <c r="Q67" s="7"/>
      <c r="R67" s="7"/>
      <c r="S67" s="1"/>
    </row>
    <row r="68" spans="3:19" ht="15.75" customHeight="1" x14ac:dyDescent="0.25">
      <c r="C68" s="10">
        <v>48</v>
      </c>
      <c r="D68" s="11"/>
      <c r="E68" s="10"/>
      <c r="F68" s="22" t="s">
        <v>268</v>
      </c>
      <c r="G68" s="7"/>
      <c r="H68" s="12"/>
      <c r="I68" s="7"/>
      <c r="J68" s="7"/>
      <c r="K68" s="7"/>
      <c r="L68" s="7"/>
      <c r="M68" s="7"/>
      <c r="N68" s="7"/>
      <c r="O68" s="7"/>
      <c r="P68" s="7"/>
      <c r="Q68" s="7"/>
      <c r="R68" s="7"/>
      <c r="S68" s="1"/>
    </row>
    <row r="69" spans="3:19" ht="15.75" customHeight="1" x14ac:dyDescent="0.25">
      <c r="C69" s="10">
        <v>49</v>
      </c>
      <c r="D69" s="11"/>
      <c r="E69" s="10"/>
      <c r="F69" s="22" t="s">
        <v>37</v>
      </c>
      <c r="G69" s="7"/>
      <c r="H69" s="12"/>
      <c r="I69" s="7"/>
      <c r="J69" s="7"/>
      <c r="K69" s="7"/>
      <c r="L69" s="7"/>
      <c r="M69" s="7"/>
      <c r="N69" s="7"/>
      <c r="O69" s="7"/>
      <c r="P69" s="7"/>
      <c r="Q69" s="7"/>
      <c r="R69" s="7"/>
      <c r="S69" s="1"/>
    </row>
    <row r="70" spans="3:19" ht="15.75" customHeight="1" x14ac:dyDescent="0.25">
      <c r="C70" s="10">
        <v>50</v>
      </c>
      <c r="D70" s="11"/>
      <c r="E70" s="10"/>
      <c r="F70" s="22" t="s">
        <v>333</v>
      </c>
      <c r="G70" s="7"/>
      <c r="H70" s="12"/>
      <c r="I70" s="7"/>
      <c r="J70" s="7"/>
      <c r="K70" s="7"/>
      <c r="L70" s="7"/>
      <c r="M70" s="7"/>
      <c r="N70" s="7"/>
      <c r="O70" s="7"/>
      <c r="P70" s="7"/>
      <c r="Q70" s="7"/>
      <c r="R70" s="7"/>
      <c r="S70" s="1"/>
    </row>
    <row r="71" spans="3:19" ht="15.75" customHeight="1" x14ac:dyDescent="0.25">
      <c r="C71" s="10">
        <v>51</v>
      </c>
      <c r="D71" s="11"/>
      <c r="E71" s="10"/>
      <c r="F71" s="22" t="s">
        <v>24</v>
      </c>
      <c r="G71" s="7"/>
      <c r="H71" s="12"/>
      <c r="I71" s="7"/>
      <c r="J71" s="7"/>
      <c r="K71" s="7"/>
      <c r="L71" s="7"/>
      <c r="M71" s="7"/>
      <c r="N71" s="7"/>
      <c r="O71" s="7"/>
      <c r="P71" s="7"/>
      <c r="Q71" s="7"/>
      <c r="R71" s="7"/>
      <c r="S71" s="1"/>
    </row>
    <row r="72" spans="3:19" ht="15.75" customHeight="1" x14ac:dyDescent="0.25">
      <c r="C72" s="10">
        <v>52</v>
      </c>
      <c r="D72" s="11"/>
      <c r="E72" s="10"/>
      <c r="F72" s="22" t="s">
        <v>269</v>
      </c>
      <c r="G72" s="7"/>
      <c r="H72" s="31"/>
      <c r="I72" s="7"/>
      <c r="J72" s="7"/>
      <c r="K72" s="7"/>
      <c r="L72" s="7"/>
      <c r="M72" s="7"/>
      <c r="N72" s="7"/>
      <c r="O72" s="7"/>
      <c r="P72" s="7"/>
      <c r="Q72" s="7"/>
      <c r="R72" s="7"/>
      <c r="S72" s="1"/>
    </row>
    <row r="73" spans="3:19" ht="15.75" customHeight="1" x14ac:dyDescent="0.25">
      <c r="C73" s="10">
        <v>53</v>
      </c>
      <c r="D73" s="11"/>
      <c r="E73" s="10"/>
      <c r="F73" s="22" t="s">
        <v>48</v>
      </c>
      <c r="G73" s="7"/>
      <c r="H73" s="12"/>
      <c r="I73" s="7"/>
      <c r="J73" s="7"/>
      <c r="K73" s="7"/>
      <c r="L73" s="7"/>
      <c r="M73" s="7"/>
      <c r="N73" s="7"/>
      <c r="O73" s="7"/>
      <c r="P73" s="7"/>
      <c r="Q73" s="7"/>
      <c r="R73" s="7"/>
      <c r="S73" s="1"/>
    </row>
    <row r="74" spans="3:19" ht="15.75" customHeight="1" x14ac:dyDescent="0.25">
      <c r="C74" s="10">
        <v>54</v>
      </c>
      <c r="D74" s="11"/>
      <c r="E74" s="10"/>
      <c r="F74" s="22" t="s">
        <v>32</v>
      </c>
      <c r="G74" s="7"/>
      <c r="H74" s="12"/>
      <c r="I74" s="7"/>
      <c r="J74" s="7"/>
      <c r="K74" s="7"/>
      <c r="L74" s="7"/>
      <c r="M74" s="7"/>
      <c r="N74" s="7"/>
      <c r="O74" s="7"/>
      <c r="P74" s="7"/>
      <c r="Q74" s="7"/>
      <c r="R74" s="7"/>
      <c r="S74" s="1"/>
    </row>
    <row r="75" spans="3:19" ht="15.75" customHeight="1" x14ac:dyDescent="0.25">
      <c r="C75" s="10">
        <v>55</v>
      </c>
      <c r="D75" s="11"/>
      <c r="E75" s="10"/>
      <c r="F75" s="22" t="s">
        <v>71</v>
      </c>
      <c r="G75" s="7"/>
      <c r="H75" s="12"/>
      <c r="I75" s="7"/>
      <c r="J75" s="7"/>
      <c r="K75" s="7"/>
      <c r="L75" s="7"/>
      <c r="M75" s="7"/>
      <c r="N75" s="7"/>
      <c r="O75" s="7"/>
      <c r="P75" s="7"/>
      <c r="Q75" s="7"/>
      <c r="R75" s="7"/>
      <c r="S75" s="1"/>
    </row>
    <row r="76" spans="3:19" ht="15.75" customHeight="1" x14ac:dyDescent="0.25">
      <c r="C76" s="10">
        <v>56</v>
      </c>
      <c r="D76" s="11"/>
      <c r="E76" s="10"/>
      <c r="F76" s="22" t="s">
        <v>284</v>
      </c>
      <c r="G76" s="7"/>
      <c r="H76" s="12"/>
      <c r="I76" s="7"/>
      <c r="J76" s="7"/>
      <c r="K76" s="7"/>
      <c r="L76" s="7"/>
      <c r="M76" s="7"/>
      <c r="N76" s="7"/>
      <c r="O76" s="7"/>
      <c r="P76" s="7"/>
      <c r="Q76" s="7"/>
      <c r="R76" s="7"/>
      <c r="S76" s="1"/>
    </row>
    <row r="77" spans="3:19" ht="15.75" customHeight="1" x14ac:dyDescent="0.25">
      <c r="C77" s="10">
        <v>57</v>
      </c>
      <c r="D77" s="11"/>
      <c r="E77" s="10"/>
      <c r="F77" s="22" t="s">
        <v>71</v>
      </c>
      <c r="G77" s="7"/>
      <c r="H77" s="12"/>
      <c r="I77" s="7"/>
      <c r="J77" s="7"/>
      <c r="K77" s="7"/>
      <c r="L77" s="7"/>
      <c r="M77" s="7"/>
      <c r="N77" s="7"/>
      <c r="O77" s="7"/>
      <c r="P77" s="7"/>
      <c r="Q77" s="7"/>
      <c r="R77" s="7"/>
      <c r="S77" s="1"/>
    </row>
    <row r="78" spans="3:19" ht="15.75" customHeight="1" x14ac:dyDescent="0.25">
      <c r="C78" s="10">
        <v>58</v>
      </c>
      <c r="D78" s="11"/>
      <c r="E78" s="10"/>
      <c r="F78" s="22" t="s">
        <v>51</v>
      </c>
      <c r="G78" s="7"/>
      <c r="H78" s="12"/>
      <c r="I78" s="7"/>
      <c r="J78" s="7"/>
      <c r="K78" s="7"/>
      <c r="L78" s="7"/>
      <c r="M78" s="7"/>
      <c r="N78" s="7"/>
      <c r="O78" s="7"/>
      <c r="P78" s="7"/>
      <c r="Q78" s="7"/>
      <c r="R78" s="7"/>
      <c r="S78" s="1"/>
    </row>
    <row r="79" spans="3:19" ht="15.75" customHeight="1" x14ac:dyDescent="0.25">
      <c r="C79" s="10">
        <v>59</v>
      </c>
      <c r="D79" s="11"/>
      <c r="E79" s="10"/>
      <c r="F79" s="22" t="s">
        <v>362</v>
      </c>
      <c r="G79" s="7"/>
      <c r="H79" s="12"/>
      <c r="I79" s="7"/>
      <c r="J79" s="7"/>
      <c r="K79" s="7"/>
      <c r="L79" s="7"/>
      <c r="M79" s="7"/>
      <c r="N79" s="7"/>
      <c r="O79" s="7"/>
      <c r="P79" s="7"/>
      <c r="Q79" s="7"/>
      <c r="R79" s="7"/>
      <c r="S79" s="1"/>
    </row>
    <row r="80" spans="3:19" ht="15.75" customHeight="1" x14ac:dyDescent="0.25">
      <c r="C80" s="10">
        <v>60</v>
      </c>
      <c r="D80" s="11"/>
      <c r="E80" s="10"/>
      <c r="F80" s="22" t="s">
        <v>193</v>
      </c>
      <c r="G80" s="7"/>
      <c r="H80" s="12"/>
      <c r="I80" s="7"/>
      <c r="J80" s="7"/>
      <c r="K80" s="7"/>
      <c r="L80" s="7"/>
      <c r="M80" s="7"/>
      <c r="N80" s="7"/>
      <c r="O80" s="7"/>
      <c r="P80" s="7"/>
      <c r="Q80" s="7"/>
      <c r="R80" s="7"/>
      <c r="S80" s="1"/>
    </row>
    <row r="81" spans="3:19" ht="15.75" customHeight="1" x14ac:dyDescent="0.25">
      <c r="C81" s="10">
        <v>61</v>
      </c>
      <c r="D81" s="11"/>
      <c r="E81" s="10"/>
      <c r="F81" s="22" t="s">
        <v>90</v>
      </c>
      <c r="G81" s="7"/>
      <c r="H81" s="12"/>
      <c r="I81" s="7"/>
      <c r="J81" s="7"/>
      <c r="K81" s="7"/>
      <c r="L81" s="7"/>
      <c r="M81" s="7"/>
      <c r="N81" s="7"/>
      <c r="O81" s="7"/>
      <c r="P81" s="7"/>
      <c r="Q81" s="7"/>
      <c r="R81" s="7"/>
      <c r="S81" s="1"/>
    </row>
    <row r="82" spans="3:19" ht="15.75" customHeight="1" x14ac:dyDescent="0.25">
      <c r="C82" s="10">
        <v>62</v>
      </c>
      <c r="D82" s="11"/>
      <c r="E82" s="10"/>
      <c r="F82" s="22" t="s">
        <v>394</v>
      </c>
      <c r="G82" s="7"/>
      <c r="H82" s="12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3:19" ht="15.75" customHeight="1" x14ac:dyDescent="0.25">
      <c r="C83" s="10">
        <v>63</v>
      </c>
      <c r="D83" s="11"/>
      <c r="E83" s="10"/>
      <c r="F83" s="22" t="s">
        <v>30</v>
      </c>
      <c r="G83" s="7"/>
      <c r="H83" s="12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3:19" ht="15.75" customHeight="1" x14ac:dyDescent="0.25">
      <c r="C84" s="10">
        <v>64</v>
      </c>
      <c r="D84" s="11"/>
      <c r="E84" s="10"/>
      <c r="F84" s="22" t="s">
        <v>80</v>
      </c>
      <c r="G84" s="7"/>
      <c r="H84" s="12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3:19" ht="15.75" customHeight="1" x14ac:dyDescent="0.25">
      <c r="C85" s="10">
        <v>65</v>
      </c>
      <c r="D85" s="11"/>
      <c r="E85" s="10"/>
      <c r="F85" s="22" t="s">
        <v>139</v>
      </c>
      <c r="G85" s="7"/>
      <c r="H85" s="12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3:19" ht="15.75" customHeight="1" x14ac:dyDescent="0.25">
      <c r="C86" s="10">
        <v>66</v>
      </c>
      <c r="D86" s="11"/>
      <c r="E86" s="10"/>
      <c r="F86" s="22" t="s">
        <v>255</v>
      </c>
      <c r="G86" s="7"/>
      <c r="H86" s="12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3:19" ht="15.75" customHeight="1" x14ac:dyDescent="0.25">
      <c r="C87" s="10">
        <v>67</v>
      </c>
      <c r="D87" s="11"/>
      <c r="E87" s="10"/>
      <c r="F87" s="22" t="s">
        <v>269</v>
      </c>
      <c r="G87" s="7"/>
      <c r="H87" s="12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3:19" ht="15.75" customHeight="1" x14ac:dyDescent="0.25">
      <c r="C88" s="10">
        <v>68</v>
      </c>
      <c r="D88" s="11"/>
      <c r="E88" s="10"/>
      <c r="F88" s="22" t="s">
        <v>37</v>
      </c>
      <c r="G88" s="7"/>
      <c r="H88" s="12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3:19" ht="15.75" customHeight="1" x14ac:dyDescent="0.25">
      <c r="C89" s="10">
        <v>69</v>
      </c>
      <c r="D89" s="11"/>
      <c r="E89" s="10"/>
      <c r="F89" s="22" t="s">
        <v>112</v>
      </c>
      <c r="G89" s="7"/>
      <c r="H89" s="12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3:19" ht="15.75" customHeight="1" x14ac:dyDescent="0.25">
      <c r="C90" s="10">
        <v>70</v>
      </c>
      <c r="D90" s="11"/>
      <c r="E90" s="10"/>
      <c r="F90" s="22" t="s">
        <v>325</v>
      </c>
      <c r="G90" s="7"/>
      <c r="H90" s="12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3:19" ht="15.75" customHeight="1" x14ac:dyDescent="0.25">
      <c r="C91" s="10">
        <v>71</v>
      </c>
      <c r="D91" s="11"/>
      <c r="E91" s="10"/>
      <c r="F91" s="22" t="s">
        <v>284</v>
      </c>
      <c r="G91" s="7"/>
      <c r="H91" s="12"/>
      <c r="I91" s="7"/>
      <c r="J91" s="7"/>
      <c r="K91" s="7"/>
      <c r="L91" s="7"/>
      <c r="M91" s="7"/>
      <c r="N91" s="7"/>
      <c r="O91" s="7"/>
      <c r="P91" s="7"/>
      <c r="Q91" s="14"/>
      <c r="R91" s="7"/>
    </row>
    <row r="92" spans="3:19" ht="15.75" customHeight="1" x14ac:dyDescent="0.25">
      <c r="C92" s="10">
        <v>72</v>
      </c>
      <c r="D92" s="11"/>
      <c r="E92" s="10"/>
      <c r="F92" s="22" t="s">
        <v>43</v>
      </c>
      <c r="G92" s="7"/>
      <c r="H92" s="12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3:19" ht="15.75" customHeight="1" x14ac:dyDescent="0.25">
      <c r="C93" s="10">
        <v>73</v>
      </c>
      <c r="D93" s="11"/>
      <c r="E93" s="10"/>
      <c r="F93" s="22" t="s">
        <v>268</v>
      </c>
      <c r="G93" s="7"/>
      <c r="H93" s="12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3:19" ht="15.75" customHeight="1" x14ac:dyDescent="0.25">
      <c r="C94" s="10">
        <v>74</v>
      </c>
      <c r="D94" s="11"/>
      <c r="E94" s="10"/>
      <c r="F94" s="22" t="s">
        <v>30</v>
      </c>
      <c r="G94" s="7"/>
      <c r="H94" s="12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3:19" ht="15.75" customHeight="1" x14ac:dyDescent="0.25">
      <c r="C95" s="10">
        <v>75</v>
      </c>
      <c r="D95" s="11"/>
      <c r="E95" s="10"/>
      <c r="F95" s="22" t="s">
        <v>190</v>
      </c>
      <c r="G95" s="7"/>
      <c r="H95" s="12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3:19" ht="15.75" customHeight="1" x14ac:dyDescent="0.25">
      <c r="C96" s="10">
        <v>76</v>
      </c>
      <c r="D96" s="11"/>
      <c r="E96" s="10"/>
      <c r="F96" s="22" t="s">
        <v>331</v>
      </c>
      <c r="G96" s="7"/>
      <c r="H96" s="12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3:18" ht="15.75" customHeight="1" x14ac:dyDescent="0.25">
      <c r="C97" s="10">
        <v>77</v>
      </c>
      <c r="D97" s="11"/>
      <c r="E97" s="10"/>
      <c r="F97" s="22" t="s">
        <v>69</v>
      </c>
      <c r="G97" s="7"/>
      <c r="H97" s="12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3:18" ht="15.75" customHeight="1" x14ac:dyDescent="0.25">
      <c r="C98" s="10">
        <v>78</v>
      </c>
      <c r="D98" s="11"/>
      <c r="E98" s="10"/>
      <c r="F98" s="22" t="s">
        <v>52</v>
      </c>
      <c r="G98" s="7"/>
      <c r="H98" s="12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3:18" ht="15.75" customHeight="1" x14ac:dyDescent="0.25">
      <c r="C99" s="10">
        <v>79</v>
      </c>
      <c r="D99" s="11"/>
      <c r="E99" s="10"/>
      <c r="F99" s="22" t="s">
        <v>37</v>
      </c>
      <c r="G99" s="7"/>
      <c r="H99" s="12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3:18" ht="15.75" customHeight="1" x14ac:dyDescent="0.25">
      <c r="C100" s="10">
        <v>80</v>
      </c>
      <c r="D100" s="11"/>
      <c r="E100" s="10"/>
      <c r="F100" s="22" t="s">
        <v>220</v>
      </c>
      <c r="G100" s="7"/>
      <c r="H100" s="12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3:18" ht="15.75" customHeight="1" x14ac:dyDescent="0.25">
      <c r="C101" s="10">
        <v>81</v>
      </c>
      <c r="D101" s="11"/>
      <c r="E101" s="10"/>
      <c r="F101" s="22" t="s">
        <v>333</v>
      </c>
      <c r="G101" s="7"/>
      <c r="H101" s="12"/>
      <c r="I101" s="7"/>
      <c r="J101" s="7"/>
      <c r="K101" s="7"/>
      <c r="L101" s="7"/>
      <c r="M101" s="7"/>
      <c r="N101" s="7"/>
      <c r="O101" s="7"/>
      <c r="P101" s="7"/>
      <c r="Q101" s="7"/>
      <c r="R101" s="14"/>
    </row>
    <row r="102" spans="3:18" ht="15.75" customHeight="1" x14ac:dyDescent="0.25">
      <c r="C102" s="13" t="s">
        <v>3</v>
      </c>
      <c r="D102" s="14"/>
      <c r="E102" s="13"/>
      <c r="F102" s="25"/>
      <c r="G102" s="14">
        <f>SUM(G21:G101)</f>
        <v>59840</v>
      </c>
      <c r="H102" s="14"/>
      <c r="I102" s="14">
        <f t="shared" ref="I102:Q102" si="8">SUM(I21:I101)</f>
        <v>40740</v>
      </c>
      <c r="J102" s="14">
        <f t="shared" si="8"/>
        <v>0</v>
      </c>
      <c r="K102" s="14">
        <f t="shared" si="8"/>
        <v>10900</v>
      </c>
      <c r="L102" s="14">
        <f t="shared" si="8"/>
        <v>0</v>
      </c>
      <c r="M102" s="14">
        <f t="shared" si="8"/>
        <v>2000</v>
      </c>
      <c r="N102" s="14">
        <f t="shared" si="8"/>
        <v>6000</v>
      </c>
      <c r="O102" s="14">
        <f t="shared" si="8"/>
        <v>0</v>
      </c>
      <c r="P102" s="14">
        <f t="shared" si="8"/>
        <v>300</v>
      </c>
      <c r="Q102" s="14">
        <f t="shared" si="8"/>
        <v>0</v>
      </c>
      <c r="R102" s="14"/>
    </row>
    <row r="103" spans="3:18" ht="15.75" customHeight="1" x14ac:dyDescent="0.25">
      <c r="C103" s="1"/>
      <c r="E103" s="1"/>
      <c r="F103" s="16"/>
    </row>
    <row r="104" spans="3:18" ht="15.75" customHeight="1" x14ac:dyDescent="0.25">
      <c r="C104" s="1"/>
      <c r="D104" s="1"/>
      <c r="E104" s="1"/>
      <c r="F104" s="16"/>
      <c r="I104" s="33">
        <f>SUM('Sept 24'!$I$102:'Sept 24'!$Q$102)</f>
        <v>59940</v>
      </c>
    </row>
    <row r="105" spans="3:18" ht="15.75" customHeight="1" x14ac:dyDescent="0.25">
      <c r="E105" s="1"/>
      <c r="F105" s="16"/>
    </row>
    <row r="106" spans="3:18" ht="15.75" customHeight="1" x14ac:dyDescent="0.25"/>
    <row r="107" spans="3:18" ht="15.75" customHeight="1" x14ac:dyDescent="0.25"/>
    <row r="108" spans="3:18" ht="15.75" customHeight="1" x14ac:dyDescent="0.25"/>
    <row r="109" spans="3:18" ht="15.75" customHeight="1" x14ac:dyDescent="0.25"/>
    <row r="110" spans="3:18" ht="15.75" customHeight="1" x14ac:dyDescent="0.25"/>
    <row r="111" spans="3:18" ht="15.75" customHeight="1" x14ac:dyDescent="0.25"/>
    <row r="112" spans="3:1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T33:V33"/>
    <mergeCell ref="T34:V34"/>
    <mergeCell ref="T35:V35"/>
    <mergeCell ref="T36:V36"/>
    <mergeCell ref="T37:V37"/>
    <mergeCell ref="T32:V32"/>
    <mergeCell ref="X32:Y32"/>
    <mergeCell ref="C11:D11"/>
    <mergeCell ref="C18:E18"/>
    <mergeCell ref="T20:W20"/>
    <mergeCell ref="T21:V21"/>
    <mergeCell ref="X31:Y31"/>
  </mergeCells>
  <pageMargins left="0.7" right="0.7" top="0.75" bottom="0.75" header="0" footer="0"/>
  <pageSetup orientation="portrait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C3:Z1000"/>
  <sheetViews>
    <sheetView workbookViewId="0">
      <selection activeCell="Q8" sqref="Q8"/>
    </sheetView>
  </sheetViews>
  <sheetFormatPr defaultColWidth="14.42578125" defaultRowHeight="15" customHeight="1" x14ac:dyDescent="0.25"/>
  <cols>
    <col min="1" max="1" width="8.7109375" customWidth="1"/>
    <col min="2" max="2" width="8" customWidth="1"/>
    <col min="3" max="3" width="9.85546875" customWidth="1"/>
    <col min="4" max="4" width="12.7109375" customWidth="1"/>
    <col min="5" max="5" width="13.28515625" customWidth="1"/>
    <col min="6" max="6" width="9.42578125" customWidth="1"/>
    <col min="7" max="7" width="8.7109375" customWidth="1"/>
    <col min="8" max="8" width="12.28515625" customWidth="1"/>
    <col min="9" max="14" width="8.7109375" customWidth="1"/>
    <col min="15" max="15" width="11.7109375" customWidth="1"/>
    <col min="16" max="16" width="11.42578125" customWidth="1"/>
    <col min="17" max="17" width="11.85546875" customWidth="1"/>
    <col min="18" max="20" width="8.7109375" customWidth="1"/>
    <col min="21" max="21" width="10.7109375" customWidth="1"/>
    <col min="22" max="26" width="8.7109375" customWidth="1"/>
  </cols>
  <sheetData>
    <row r="3" spans="3:17" x14ac:dyDescent="0.25"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3:17" ht="15.75" x14ac:dyDescent="0.25">
      <c r="C4" s="1"/>
      <c r="D4" s="2" t="s">
        <v>642</v>
      </c>
      <c r="E4" s="17"/>
      <c r="F4" s="18"/>
      <c r="G4" s="2"/>
      <c r="H4" s="2"/>
      <c r="I4" s="2"/>
      <c r="J4" s="2"/>
      <c r="K4" s="8"/>
      <c r="L4" s="2"/>
      <c r="M4" s="3"/>
      <c r="N4" s="3"/>
      <c r="O4" s="65" t="s">
        <v>88</v>
      </c>
      <c r="P4" s="60" t="s">
        <v>2</v>
      </c>
      <c r="Q4" s="66" t="s">
        <v>117</v>
      </c>
    </row>
    <row r="5" spans="3:17" ht="15.75" x14ac:dyDescent="0.25">
      <c r="C5" s="1"/>
      <c r="D5" s="67" t="s">
        <v>1</v>
      </c>
      <c r="E5" s="44" t="s">
        <v>2</v>
      </c>
      <c r="F5" s="45">
        <v>1799</v>
      </c>
      <c r="G5" s="46">
        <v>2699</v>
      </c>
      <c r="H5" s="46">
        <v>588</v>
      </c>
      <c r="I5" s="46">
        <v>2088</v>
      </c>
      <c r="J5" s="46">
        <v>2488</v>
      </c>
      <c r="K5" s="46">
        <v>2688</v>
      </c>
      <c r="L5" s="45">
        <v>3099</v>
      </c>
      <c r="M5" s="62" t="s">
        <v>295</v>
      </c>
      <c r="N5" s="45" t="s">
        <v>3</v>
      </c>
      <c r="O5" s="47"/>
      <c r="P5" s="42"/>
      <c r="Q5" s="42"/>
    </row>
    <row r="6" spans="3:17" ht="17.25" x14ac:dyDescent="0.3">
      <c r="C6" s="1"/>
      <c r="D6" s="6" t="s">
        <v>259</v>
      </c>
      <c r="E6" s="12">
        <v>195881</v>
      </c>
      <c r="F6" s="12">
        <v>0</v>
      </c>
      <c r="G6" s="12">
        <v>0</v>
      </c>
      <c r="H6" s="12">
        <v>6000</v>
      </c>
      <c r="I6" s="12">
        <v>14000</v>
      </c>
      <c r="J6" s="12">
        <v>0</v>
      </c>
      <c r="K6" s="12">
        <v>0</v>
      </c>
      <c r="L6" s="12">
        <v>0</v>
      </c>
      <c r="M6" s="12">
        <v>0</v>
      </c>
      <c r="N6" s="12">
        <v>215881</v>
      </c>
      <c r="O6" s="55">
        <f t="shared" ref="O6:O9" si="0">SUM(F6:M6)</f>
        <v>20000</v>
      </c>
      <c r="P6" s="56">
        <f t="shared" ref="P6:P9" si="1">E6</f>
        <v>195881</v>
      </c>
      <c r="Q6" s="57">
        <f>SUM(E6:M6)</f>
        <v>215881</v>
      </c>
    </row>
    <row r="7" spans="3:17" ht="18.75" x14ac:dyDescent="0.3">
      <c r="C7" s="1"/>
      <c r="D7" s="6" t="s">
        <v>365</v>
      </c>
      <c r="E7" s="7">
        <f>W32</f>
        <v>58342</v>
      </c>
      <c r="F7" s="7">
        <f t="shared" ref="F7:M7" si="2">F18</f>
        <v>18000</v>
      </c>
      <c r="G7" s="7">
        <f t="shared" si="2"/>
        <v>0</v>
      </c>
      <c r="H7" s="7">
        <f t="shared" si="2"/>
        <v>20000</v>
      </c>
      <c r="I7" s="7">
        <f t="shared" si="2"/>
        <v>29000</v>
      </c>
      <c r="J7" s="7">
        <f t="shared" si="2"/>
        <v>4000</v>
      </c>
      <c r="K7" s="7">
        <f t="shared" si="2"/>
        <v>5000</v>
      </c>
      <c r="L7" s="7">
        <f t="shared" si="2"/>
        <v>9000</v>
      </c>
      <c r="M7" s="7">
        <f t="shared" si="2"/>
        <v>0</v>
      </c>
      <c r="N7" s="7">
        <f t="shared" ref="N7:N8" si="3">SUM(E7:M7)</f>
        <v>143342</v>
      </c>
      <c r="O7" s="68">
        <f t="shared" si="0"/>
        <v>85000</v>
      </c>
      <c r="P7" s="69">
        <f t="shared" si="1"/>
        <v>58342</v>
      </c>
      <c r="Q7" s="70">
        <f>O7+P7</f>
        <v>143342</v>
      </c>
    </row>
    <row r="8" spans="3:17" ht="21" x14ac:dyDescent="0.35">
      <c r="C8" s="1"/>
      <c r="D8" s="71" t="s">
        <v>643</v>
      </c>
      <c r="E8" s="48">
        <f>'Oct 24'!$I$102</f>
        <v>51580</v>
      </c>
      <c r="F8" s="48">
        <f>'Oct 24'!$J$102</f>
        <v>12000</v>
      </c>
      <c r="G8" s="49">
        <f>'Oct 24'!$K$102</f>
        <v>0</v>
      </c>
      <c r="H8" s="49">
        <f>'Oct 24'!$L$102</f>
        <v>17600</v>
      </c>
      <c r="I8" s="49">
        <f>'Oct 24'!$M$102</f>
        <v>17300</v>
      </c>
      <c r="J8" s="49">
        <f>'Oct 24'!$N$102</f>
        <v>4000</v>
      </c>
      <c r="K8" s="49">
        <f>'Oct 24'!$O$102</f>
        <v>500</v>
      </c>
      <c r="L8" s="49">
        <f>'Oct 24'!$P$102</f>
        <v>0</v>
      </c>
      <c r="M8" s="49">
        <f>'Oct 24'!$Q$102</f>
        <v>0</v>
      </c>
      <c r="N8" s="72">
        <f t="shared" si="3"/>
        <v>102980</v>
      </c>
      <c r="O8" s="73">
        <f t="shared" si="0"/>
        <v>51400</v>
      </c>
      <c r="P8" s="74">
        <f t="shared" si="1"/>
        <v>51580</v>
      </c>
      <c r="Q8" s="75">
        <f t="shared" ref="Q8:Q9" si="4">SUM(O8,P8)</f>
        <v>102980</v>
      </c>
    </row>
    <row r="9" spans="3:17" ht="17.25" x14ac:dyDescent="0.3">
      <c r="C9" s="1"/>
      <c r="D9" s="6" t="s">
        <v>261</v>
      </c>
      <c r="E9" s="12">
        <f t="shared" ref="E9:M9" si="5">SUM(E6,E7-E8)</f>
        <v>202643</v>
      </c>
      <c r="F9" s="12">
        <f t="shared" si="5"/>
        <v>6000</v>
      </c>
      <c r="G9" s="12">
        <f t="shared" si="5"/>
        <v>0</v>
      </c>
      <c r="H9" s="12">
        <f t="shared" si="5"/>
        <v>8400</v>
      </c>
      <c r="I9" s="12">
        <f t="shared" si="5"/>
        <v>25700</v>
      </c>
      <c r="J9" s="12">
        <f t="shared" si="5"/>
        <v>0</v>
      </c>
      <c r="K9" s="12">
        <f t="shared" si="5"/>
        <v>4500</v>
      </c>
      <c r="L9" s="12">
        <f t="shared" si="5"/>
        <v>9000</v>
      </c>
      <c r="M9" s="12">
        <f t="shared" si="5"/>
        <v>0</v>
      </c>
      <c r="N9" s="12">
        <f>SUM(N6+N7-N8)</f>
        <v>256243</v>
      </c>
      <c r="O9" s="55">
        <f t="shared" si="0"/>
        <v>53600</v>
      </c>
      <c r="P9" s="56">
        <f t="shared" si="1"/>
        <v>202643</v>
      </c>
      <c r="Q9" s="57">
        <f t="shared" si="4"/>
        <v>256243</v>
      </c>
    </row>
    <row r="10" spans="3:17" x14ac:dyDescent="0.25">
      <c r="C10" s="1"/>
      <c r="E10" s="1"/>
      <c r="F10" s="16"/>
    </row>
    <row r="11" spans="3:17" ht="15.75" x14ac:dyDescent="0.25">
      <c r="C11" s="103" t="s">
        <v>367</v>
      </c>
      <c r="D11" s="99"/>
      <c r="E11" s="21" t="s">
        <v>368</v>
      </c>
      <c r="F11" s="45">
        <v>1799</v>
      </c>
      <c r="G11" s="46">
        <v>2699</v>
      </c>
      <c r="H11" s="46">
        <v>588</v>
      </c>
      <c r="I11" s="46">
        <v>2088</v>
      </c>
      <c r="J11" s="46">
        <v>2488</v>
      </c>
      <c r="K11" s="46">
        <v>2688</v>
      </c>
      <c r="L11" s="45">
        <v>1788</v>
      </c>
      <c r="M11" s="62" t="s">
        <v>295</v>
      </c>
      <c r="N11" s="45" t="s">
        <v>3</v>
      </c>
      <c r="O11" s="76" t="s">
        <v>369</v>
      </c>
      <c r="P11" s="76" t="s">
        <v>370</v>
      </c>
    </row>
    <row r="12" spans="3:17" x14ac:dyDescent="0.25">
      <c r="C12" s="9" t="s">
        <v>371</v>
      </c>
      <c r="D12" s="79" t="s">
        <v>372</v>
      </c>
      <c r="E12" s="9" t="s">
        <v>373</v>
      </c>
      <c r="F12" s="22"/>
      <c r="G12" s="7"/>
      <c r="H12" s="7"/>
      <c r="I12" s="7"/>
      <c r="J12" s="7"/>
      <c r="K12" s="7"/>
      <c r="L12" s="7"/>
      <c r="M12" s="7"/>
      <c r="N12" s="7">
        <f>SUM(F12:M12)</f>
        <v>0</v>
      </c>
      <c r="O12" s="10"/>
      <c r="P12" s="10"/>
    </row>
    <row r="13" spans="3:17" x14ac:dyDescent="0.25">
      <c r="C13" s="10">
        <v>1</v>
      </c>
      <c r="D13" s="7" t="s">
        <v>374</v>
      </c>
      <c r="E13" s="78"/>
      <c r="F13" s="10"/>
      <c r="G13" s="7"/>
      <c r="H13" s="7"/>
      <c r="I13" s="7"/>
      <c r="J13" s="7"/>
      <c r="K13" s="7"/>
      <c r="L13" s="7"/>
      <c r="M13" s="7"/>
      <c r="N13" s="7"/>
      <c r="O13" s="10"/>
      <c r="P13" s="10"/>
    </row>
    <row r="14" spans="3:17" x14ac:dyDescent="0.25">
      <c r="C14" s="10">
        <v>2</v>
      </c>
      <c r="D14" s="7" t="s">
        <v>376</v>
      </c>
      <c r="E14" s="78">
        <v>45583</v>
      </c>
      <c r="F14" s="22"/>
      <c r="G14" s="7"/>
      <c r="H14" s="7">
        <v>20000</v>
      </c>
      <c r="I14" s="7">
        <v>29000</v>
      </c>
      <c r="J14" s="7">
        <v>4000</v>
      </c>
      <c r="K14" s="7"/>
      <c r="L14" s="7">
        <v>4000</v>
      </c>
      <c r="M14" s="7"/>
      <c r="N14" s="7">
        <f>SUM(F14:M14)</f>
        <v>57000</v>
      </c>
      <c r="O14" s="10"/>
      <c r="P14" s="10"/>
    </row>
    <row r="15" spans="3:17" x14ac:dyDescent="0.25">
      <c r="C15" s="10">
        <v>3</v>
      </c>
      <c r="D15" s="7" t="s">
        <v>376</v>
      </c>
      <c r="E15" s="78"/>
      <c r="F15" s="22"/>
      <c r="G15" s="7"/>
      <c r="H15" s="7"/>
      <c r="I15" s="7"/>
      <c r="J15" s="7"/>
      <c r="K15" s="7"/>
      <c r="L15" s="7"/>
      <c r="M15" s="7"/>
      <c r="N15" s="7"/>
      <c r="O15" s="10"/>
      <c r="P15" s="10"/>
    </row>
    <row r="16" spans="3:17" x14ac:dyDescent="0.25">
      <c r="C16" s="10">
        <v>4</v>
      </c>
      <c r="D16" s="7" t="s">
        <v>374</v>
      </c>
      <c r="E16" s="78">
        <v>45589</v>
      </c>
      <c r="F16" s="22">
        <v>18000</v>
      </c>
      <c r="G16" s="7"/>
      <c r="H16" s="7"/>
      <c r="I16" s="7"/>
      <c r="J16" s="7"/>
      <c r="K16" s="7">
        <v>5000</v>
      </c>
      <c r="L16" s="7">
        <v>5000</v>
      </c>
      <c r="M16" s="7"/>
      <c r="N16" s="7"/>
      <c r="O16" s="10"/>
      <c r="P16" s="10"/>
    </row>
    <row r="17" spans="3:26" x14ac:dyDescent="0.25">
      <c r="C17" s="10">
        <v>5</v>
      </c>
      <c r="D17" s="7" t="s">
        <v>378</v>
      </c>
      <c r="E17" s="11"/>
      <c r="F17" s="7"/>
      <c r="G17" s="7"/>
      <c r="H17" s="7"/>
      <c r="I17" s="7"/>
      <c r="J17" s="7"/>
      <c r="K17" s="7"/>
      <c r="L17" s="7"/>
      <c r="M17" s="7"/>
      <c r="N17" s="7"/>
      <c r="O17" s="10"/>
      <c r="P17" s="10"/>
    </row>
    <row r="18" spans="3:26" x14ac:dyDescent="0.25">
      <c r="C18" s="104" t="s">
        <v>3</v>
      </c>
      <c r="D18" s="98"/>
      <c r="E18" s="99"/>
      <c r="F18" s="7">
        <f t="shared" ref="F18:M18" si="6">SUM(F12:F17)</f>
        <v>18000</v>
      </c>
      <c r="G18" s="7">
        <f t="shared" si="6"/>
        <v>0</v>
      </c>
      <c r="H18" s="7">
        <f t="shared" si="6"/>
        <v>20000</v>
      </c>
      <c r="I18" s="7">
        <f t="shared" si="6"/>
        <v>29000</v>
      </c>
      <c r="J18" s="7">
        <f t="shared" si="6"/>
        <v>4000</v>
      </c>
      <c r="K18" s="7">
        <f t="shared" si="6"/>
        <v>5000</v>
      </c>
      <c r="L18" s="7">
        <f t="shared" si="6"/>
        <v>9000</v>
      </c>
      <c r="M18" s="7">
        <f t="shared" si="6"/>
        <v>0</v>
      </c>
      <c r="N18" s="7">
        <f>SUM(F18:M18)</f>
        <v>85000</v>
      </c>
      <c r="O18" s="10"/>
      <c r="P18" s="10"/>
    </row>
    <row r="19" spans="3:26" x14ac:dyDescent="0.25">
      <c r="C19" s="1"/>
      <c r="E19" s="1"/>
      <c r="F19" s="16"/>
    </row>
    <row r="20" spans="3:26" ht="15.75" x14ac:dyDescent="0.25">
      <c r="C20" s="9" t="s">
        <v>8</v>
      </c>
      <c r="D20" s="4" t="s">
        <v>9</v>
      </c>
      <c r="E20" s="20" t="s">
        <v>10</v>
      </c>
      <c r="F20" s="20" t="s">
        <v>11</v>
      </c>
      <c r="G20" s="4" t="s">
        <v>4</v>
      </c>
      <c r="H20" s="4" t="s">
        <v>12</v>
      </c>
      <c r="I20" s="4" t="s">
        <v>2</v>
      </c>
      <c r="J20" s="4" t="s">
        <v>13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19</v>
      </c>
      <c r="P20" s="39" t="s">
        <v>204</v>
      </c>
      <c r="Q20" s="63" t="s">
        <v>295</v>
      </c>
      <c r="R20" s="39" t="s">
        <v>598</v>
      </c>
      <c r="T20" s="101" t="s">
        <v>118</v>
      </c>
      <c r="U20" s="102"/>
      <c r="V20" s="102"/>
      <c r="W20" s="102"/>
    </row>
    <row r="21" spans="3:26" ht="15.75" customHeight="1" x14ac:dyDescent="0.25">
      <c r="C21" s="10">
        <v>1</v>
      </c>
      <c r="D21" s="11">
        <v>45567</v>
      </c>
      <c r="E21" s="10">
        <v>215</v>
      </c>
      <c r="F21" s="22" t="s">
        <v>394</v>
      </c>
      <c r="G21" s="7">
        <v>10000</v>
      </c>
      <c r="H21" s="12">
        <v>107</v>
      </c>
      <c r="I21" s="7">
        <v>10000</v>
      </c>
      <c r="J21" s="7"/>
      <c r="K21" s="7"/>
      <c r="L21" s="7"/>
      <c r="M21" s="7"/>
      <c r="N21" s="7"/>
      <c r="O21" s="7"/>
      <c r="P21" s="7"/>
      <c r="Q21" s="40"/>
      <c r="R21" s="40"/>
      <c r="T21" s="97" t="s">
        <v>172</v>
      </c>
      <c r="U21" s="98"/>
      <c r="V21" s="98"/>
      <c r="W21" s="34"/>
    </row>
    <row r="22" spans="3:26" ht="15.75" customHeight="1" x14ac:dyDescent="0.25">
      <c r="C22" s="10">
        <v>2</v>
      </c>
      <c r="D22" s="11">
        <v>45568</v>
      </c>
      <c r="E22" s="10">
        <v>216</v>
      </c>
      <c r="F22" s="22" t="s">
        <v>614</v>
      </c>
      <c r="G22" s="7">
        <v>500</v>
      </c>
      <c r="H22" s="31">
        <v>105</v>
      </c>
      <c r="I22" s="7">
        <v>500</v>
      </c>
      <c r="J22" s="7"/>
      <c r="K22" s="7"/>
      <c r="L22" s="7"/>
      <c r="M22" s="7"/>
      <c r="N22" s="7"/>
      <c r="O22" s="7"/>
      <c r="P22" s="7"/>
      <c r="Q22" s="7"/>
      <c r="R22" s="7"/>
      <c r="T22" s="10" t="s">
        <v>121</v>
      </c>
      <c r="U22" s="7" t="s">
        <v>9</v>
      </c>
      <c r="V22" s="7" t="s">
        <v>122</v>
      </c>
      <c r="W22" s="7" t="s">
        <v>4</v>
      </c>
      <c r="X22" s="7" t="s">
        <v>549</v>
      </c>
      <c r="Y22" s="7" t="s">
        <v>576</v>
      </c>
      <c r="Z22" s="7" t="s">
        <v>577</v>
      </c>
    </row>
    <row r="23" spans="3:26" ht="15.75" customHeight="1" x14ac:dyDescent="0.25">
      <c r="C23" s="10">
        <v>3</v>
      </c>
      <c r="D23" s="11">
        <v>45568</v>
      </c>
      <c r="E23" s="10">
        <v>217</v>
      </c>
      <c r="F23" s="22" t="s">
        <v>644</v>
      </c>
      <c r="G23" s="7">
        <v>1000</v>
      </c>
      <c r="H23" s="12">
        <v>105</v>
      </c>
      <c r="I23" s="7">
        <v>1000</v>
      </c>
      <c r="J23" s="7"/>
      <c r="K23" s="7"/>
      <c r="L23" s="7"/>
      <c r="M23" s="7"/>
      <c r="N23" s="7"/>
      <c r="O23" s="7"/>
      <c r="P23" s="7"/>
      <c r="Q23" s="7"/>
      <c r="R23" s="7"/>
      <c r="T23" s="10">
        <v>1</v>
      </c>
      <c r="U23" s="41">
        <v>45575</v>
      </c>
      <c r="V23" s="7" t="s">
        <v>645</v>
      </c>
      <c r="W23" s="7">
        <v>20360</v>
      </c>
      <c r="X23" s="76">
        <v>76</v>
      </c>
      <c r="Y23" s="10">
        <v>31</v>
      </c>
      <c r="Z23" s="7">
        <f t="shared" ref="Z23:Z30" si="7">W23*X23</f>
        <v>1547360</v>
      </c>
    </row>
    <row r="24" spans="3:26" ht="15.75" customHeight="1" x14ac:dyDescent="0.25">
      <c r="C24" s="10">
        <v>4</v>
      </c>
      <c r="D24" s="11">
        <v>45568</v>
      </c>
      <c r="E24" s="10">
        <v>219</v>
      </c>
      <c r="F24" s="22" t="s">
        <v>80</v>
      </c>
      <c r="G24" s="7">
        <v>260</v>
      </c>
      <c r="H24" s="12">
        <v>110</v>
      </c>
      <c r="I24" s="7">
        <v>260</v>
      </c>
      <c r="J24" s="7"/>
      <c r="K24" s="7"/>
      <c r="L24" s="7"/>
      <c r="M24" s="7"/>
      <c r="N24" s="7"/>
      <c r="O24" s="7"/>
      <c r="P24" s="7"/>
      <c r="Q24" s="7"/>
      <c r="R24" s="7"/>
      <c r="T24" s="10">
        <v>2</v>
      </c>
      <c r="U24" s="41">
        <v>45584</v>
      </c>
      <c r="V24" s="7" t="s">
        <v>634</v>
      </c>
      <c r="W24" s="7">
        <v>18896</v>
      </c>
      <c r="X24" s="76">
        <v>72</v>
      </c>
      <c r="Y24" s="10">
        <v>28</v>
      </c>
      <c r="Z24" s="7">
        <f t="shared" si="7"/>
        <v>1360512</v>
      </c>
    </row>
    <row r="25" spans="3:26" ht="15.75" customHeight="1" x14ac:dyDescent="0.25">
      <c r="C25" s="10">
        <v>5</v>
      </c>
      <c r="D25" s="11">
        <v>45568</v>
      </c>
      <c r="E25" s="10">
        <v>220</v>
      </c>
      <c r="F25" s="22" t="s">
        <v>162</v>
      </c>
      <c r="G25" s="7">
        <v>1000</v>
      </c>
      <c r="H25" s="12">
        <v>113</v>
      </c>
      <c r="I25" s="7">
        <v>1000</v>
      </c>
      <c r="J25" s="7"/>
      <c r="K25" s="7"/>
      <c r="L25" s="7"/>
      <c r="M25" s="7"/>
      <c r="N25" s="7"/>
      <c r="O25" s="7"/>
      <c r="P25" s="7"/>
      <c r="Q25" s="7"/>
      <c r="R25" s="7"/>
      <c r="T25" s="10">
        <v>3</v>
      </c>
      <c r="U25" s="41">
        <v>45595</v>
      </c>
      <c r="V25" s="7" t="s">
        <v>646</v>
      </c>
      <c r="W25" s="7">
        <v>19086</v>
      </c>
      <c r="X25" s="76">
        <v>78</v>
      </c>
      <c r="Y25" s="10">
        <v>27</v>
      </c>
      <c r="Z25" s="7">
        <f t="shared" si="7"/>
        <v>1488708</v>
      </c>
    </row>
    <row r="26" spans="3:26" ht="15.75" customHeight="1" x14ac:dyDescent="0.25">
      <c r="C26" s="10">
        <v>6</v>
      </c>
      <c r="D26" s="11">
        <v>45569</v>
      </c>
      <c r="E26" s="10">
        <v>221</v>
      </c>
      <c r="F26" s="22" t="s">
        <v>647</v>
      </c>
      <c r="G26" s="7">
        <v>1000</v>
      </c>
      <c r="H26" s="12">
        <v>122</v>
      </c>
      <c r="I26" s="7">
        <v>1000</v>
      </c>
      <c r="J26" s="7"/>
      <c r="K26" s="7"/>
      <c r="L26" s="7"/>
      <c r="M26" s="7"/>
      <c r="N26" s="7"/>
      <c r="O26" s="7"/>
      <c r="P26" s="7"/>
      <c r="Q26" s="7"/>
      <c r="R26" s="7"/>
      <c r="T26" s="10">
        <v>4</v>
      </c>
      <c r="U26" s="41"/>
      <c r="V26" s="7" t="s">
        <v>426</v>
      </c>
      <c r="W26" s="7"/>
      <c r="X26" s="76"/>
      <c r="Y26" s="10"/>
      <c r="Z26" s="7">
        <f t="shared" si="7"/>
        <v>0</v>
      </c>
    </row>
    <row r="27" spans="3:26" ht="15.75" customHeight="1" x14ac:dyDescent="0.25">
      <c r="C27" s="10">
        <v>0</v>
      </c>
      <c r="D27" s="11">
        <v>45569</v>
      </c>
      <c r="E27" s="10">
        <v>222</v>
      </c>
      <c r="F27" s="22" t="s">
        <v>162</v>
      </c>
      <c r="G27" s="7">
        <v>3000</v>
      </c>
      <c r="H27" s="12">
        <v>113</v>
      </c>
      <c r="I27" s="7">
        <v>3000</v>
      </c>
      <c r="J27" s="7"/>
      <c r="K27" s="7"/>
      <c r="L27" s="7"/>
      <c r="M27" s="7"/>
      <c r="N27" s="7"/>
      <c r="O27" s="7"/>
      <c r="P27" s="7"/>
      <c r="Q27" s="7"/>
      <c r="R27" s="7"/>
      <c r="T27" s="10">
        <v>5</v>
      </c>
      <c r="U27" s="41"/>
      <c r="V27" s="7" t="s">
        <v>579</v>
      </c>
      <c r="W27" s="7"/>
      <c r="X27" s="76"/>
      <c r="Y27" s="10"/>
      <c r="Z27" s="7">
        <f t="shared" si="7"/>
        <v>0</v>
      </c>
    </row>
    <row r="28" spans="3:26" ht="15.75" customHeight="1" x14ac:dyDescent="0.25">
      <c r="C28" s="10">
        <v>8</v>
      </c>
      <c r="D28" s="11">
        <v>45570</v>
      </c>
      <c r="E28" s="10" t="s">
        <v>496</v>
      </c>
      <c r="F28" s="22" t="s">
        <v>284</v>
      </c>
      <c r="G28" s="7">
        <v>1000</v>
      </c>
      <c r="H28" s="12">
        <v>183</v>
      </c>
      <c r="I28" s="7"/>
      <c r="J28" s="7"/>
      <c r="K28" s="7"/>
      <c r="L28" s="7"/>
      <c r="M28" s="7">
        <v>1000</v>
      </c>
      <c r="N28" s="7"/>
      <c r="O28" s="7"/>
      <c r="P28" s="7"/>
      <c r="Q28" s="7"/>
      <c r="R28" s="7"/>
      <c r="T28" s="10">
        <v>6</v>
      </c>
      <c r="U28" s="41"/>
      <c r="V28" s="7" t="s">
        <v>552</v>
      </c>
      <c r="W28" s="7"/>
      <c r="X28" s="7"/>
      <c r="Y28" s="7"/>
      <c r="Z28" s="7">
        <f t="shared" si="7"/>
        <v>0</v>
      </c>
    </row>
    <row r="29" spans="3:26" ht="15.75" customHeight="1" x14ac:dyDescent="0.25">
      <c r="C29" s="10">
        <v>9</v>
      </c>
      <c r="D29" s="11">
        <v>45572</v>
      </c>
      <c r="E29" s="10">
        <v>223</v>
      </c>
      <c r="F29" s="22" t="s">
        <v>391</v>
      </c>
      <c r="G29" s="7">
        <v>4500</v>
      </c>
      <c r="H29" s="12">
        <v>120</v>
      </c>
      <c r="I29" s="7">
        <v>4500</v>
      </c>
      <c r="J29" s="7"/>
      <c r="K29" s="7"/>
      <c r="L29" s="7"/>
      <c r="M29" s="7"/>
      <c r="N29" s="7"/>
      <c r="O29" s="7"/>
      <c r="P29" s="7"/>
      <c r="Q29" s="7"/>
      <c r="R29" s="7"/>
      <c r="T29" s="10">
        <v>7</v>
      </c>
      <c r="U29" s="41"/>
      <c r="V29" s="7" t="s">
        <v>552</v>
      </c>
      <c r="W29" s="7"/>
      <c r="X29" s="7"/>
      <c r="Y29" s="7"/>
      <c r="Z29" s="7">
        <f t="shared" si="7"/>
        <v>0</v>
      </c>
    </row>
    <row r="30" spans="3:26" ht="15.75" customHeight="1" x14ac:dyDescent="0.25">
      <c r="C30" s="10">
        <v>10</v>
      </c>
      <c r="D30" s="11">
        <v>45566</v>
      </c>
      <c r="E30" s="10" t="s">
        <v>492</v>
      </c>
      <c r="F30" s="22" t="s">
        <v>648</v>
      </c>
      <c r="G30" s="7">
        <v>100</v>
      </c>
      <c r="H30" s="12">
        <v>184</v>
      </c>
      <c r="I30" s="7"/>
      <c r="J30" s="7"/>
      <c r="K30" s="7"/>
      <c r="L30" s="7">
        <v>100</v>
      </c>
      <c r="M30" s="7"/>
      <c r="N30" s="7"/>
      <c r="O30" s="7"/>
      <c r="P30" s="7"/>
      <c r="Q30" s="7"/>
      <c r="R30" s="7"/>
      <c r="T30" s="10">
        <v>8</v>
      </c>
      <c r="U30" s="11"/>
      <c r="V30" s="7"/>
      <c r="W30" s="7"/>
      <c r="X30" s="7"/>
      <c r="Y30" s="7"/>
      <c r="Z30" s="7">
        <f t="shared" si="7"/>
        <v>0</v>
      </c>
    </row>
    <row r="31" spans="3:26" ht="15.75" customHeight="1" x14ac:dyDescent="0.25">
      <c r="C31" s="10">
        <v>11</v>
      </c>
      <c r="D31" s="11">
        <v>45574</v>
      </c>
      <c r="E31" s="10">
        <v>225</v>
      </c>
      <c r="F31" s="22" t="s">
        <v>44</v>
      </c>
      <c r="G31" s="7">
        <v>2000</v>
      </c>
      <c r="H31" s="12">
        <v>117</v>
      </c>
      <c r="I31" s="7">
        <v>2000</v>
      </c>
      <c r="J31" s="7"/>
      <c r="K31" s="7"/>
      <c r="L31" s="7"/>
      <c r="M31" s="7"/>
      <c r="N31" s="7"/>
      <c r="O31" s="7"/>
      <c r="P31" s="7"/>
      <c r="Q31" s="7"/>
      <c r="R31" s="7"/>
      <c r="T31" s="10"/>
      <c r="U31" s="7"/>
      <c r="V31" s="7"/>
      <c r="W31" s="7"/>
      <c r="X31" s="104" t="s">
        <v>581</v>
      </c>
      <c r="Y31" s="99"/>
      <c r="Z31" s="7">
        <f>SUM(Z23:Z30)</f>
        <v>4396580</v>
      </c>
    </row>
    <row r="32" spans="3:26" ht="15.75" customHeight="1" x14ac:dyDescent="0.25">
      <c r="C32" s="10">
        <v>12</v>
      </c>
      <c r="D32" s="11">
        <v>45576</v>
      </c>
      <c r="E32" s="10">
        <v>226</v>
      </c>
      <c r="F32" s="22" t="s">
        <v>80</v>
      </c>
      <c r="G32" s="7">
        <v>500</v>
      </c>
      <c r="H32" s="12">
        <v>110</v>
      </c>
      <c r="I32" s="7">
        <v>500</v>
      </c>
      <c r="J32" s="7"/>
      <c r="K32" s="7"/>
      <c r="L32" s="7"/>
      <c r="M32" s="7"/>
      <c r="N32" s="7"/>
      <c r="O32" s="7"/>
      <c r="P32" s="7"/>
      <c r="Q32" s="7"/>
      <c r="R32" s="7"/>
      <c r="T32" s="97" t="s">
        <v>181</v>
      </c>
      <c r="U32" s="98"/>
      <c r="V32" s="99"/>
      <c r="W32" s="7">
        <f>SUM(W23:W30)</f>
        <v>58342</v>
      </c>
      <c r="X32" s="104" t="s">
        <v>582</v>
      </c>
      <c r="Y32" s="99"/>
      <c r="Z32" s="7">
        <f>Z31/W32</f>
        <v>75.358746700490215</v>
      </c>
    </row>
    <row r="33" spans="3:23" ht="15.75" customHeight="1" x14ac:dyDescent="0.25">
      <c r="C33" s="10">
        <v>13</v>
      </c>
      <c r="D33" s="11">
        <v>45576</v>
      </c>
      <c r="E33" s="10">
        <v>227</v>
      </c>
      <c r="F33" s="22" t="s">
        <v>268</v>
      </c>
      <c r="G33" s="7">
        <v>200</v>
      </c>
      <c r="H33" s="12">
        <v>225</v>
      </c>
      <c r="I33" s="7">
        <v>200</v>
      </c>
      <c r="J33" s="7"/>
      <c r="K33" s="7"/>
      <c r="L33" s="7"/>
      <c r="M33" s="7"/>
      <c r="N33" s="7"/>
      <c r="O33" s="7"/>
      <c r="P33" s="7"/>
      <c r="Q33" s="7"/>
      <c r="R33" s="7"/>
      <c r="T33" s="97" t="s">
        <v>183</v>
      </c>
      <c r="U33" s="98"/>
      <c r="V33" s="99"/>
      <c r="W33" s="7">
        <v>205777</v>
      </c>
    </row>
    <row r="34" spans="3:23" ht="15.75" customHeight="1" x14ac:dyDescent="0.25">
      <c r="C34" s="10">
        <v>14</v>
      </c>
      <c r="D34" s="11">
        <v>45579</v>
      </c>
      <c r="E34" s="10">
        <v>228</v>
      </c>
      <c r="F34" s="22" t="s">
        <v>162</v>
      </c>
      <c r="G34" s="7">
        <v>2000</v>
      </c>
      <c r="H34" s="12">
        <v>113</v>
      </c>
      <c r="I34" s="7">
        <v>2000</v>
      </c>
      <c r="J34" s="7"/>
      <c r="K34" s="7"/>
      <c r="L34" s="7"/>
      <c r="M34" s="7"/>
      <c r="N34" s="7"/>
      <c r="O34" s="7"/>
      <c r="P34" s="7"/>
      <c r="Q34" s="7"/>
      <c r="R34" s="7"/>
      <c r="T34" s="97" t="s">
        <v>184</v>
      </c>
      <c r="U34" s="98"/>
      <c r="V34" s="99"/>
      <c r="W34" s="35">
        <f>SUM(W32,W33)</f>
        <v>264119</v>
      </c>
    </row>
    <row r="35" spans="3:23" ht="15.75" customHeight="1" x14ac:dyDescent="0.25">
      <c r="C35" s="10">
        <v>15</v>
      </c>
      <c r="D35" s="11">
        <v>45579</v>
      </c>
      <c r="E35" s="10">
        <v>229</v>
      </c>
      <c r="F35" s="22" t="s">
        <v>162</v>
      </c>
      <c r="G35" s="7">
        <v>1260</v>
      </c>
      <c r="H35" s="12">
        <v>113</v>
      </c>
      <c r="I35" s="7">
        <v>1260</v>
      </c>
      <c r="J35" s="7"/>
      <c r="K35" s="7"/>
      <c r="L35" s="7"/>
      <c r="M35" s="7"/>
      <c r="N35" s="7"/>
      <c r="O35" s="7"/>
      <c r="P35" s="7"/>
      <c r="Q35" s="7"/>
      <c r="R35" s="7"/>
      <c r="T35" s="97" t="s">
        <v>186</v>
      </c>
      <c r="U35" s="98"/>
      <c r="V35" s="99"/>
      <c r="W35" s="7">
        <f>'Oct 24'!$I$102</f>
        <v>51580</v>
      </c>
    </row>
    <row r="36" spans="3:23" ht="15.75" customHeight="1" x14ac:dyDescent="0.25">
      <c r="C36" s="10">
        <v>16</v>
      </c>
      <c r="D36" s="11">
        <v>45580</v>
      </c>
      <c r="E36" s="10">
        <v>230</v>
      </c>
      <c r="F36" s="22" t="s">
        <v>333</v>
      </c>
      <c r="G36" s="7">
        <v>500</v>
      </c>
      <c r="H36" s="12">
        <v>115</v>
      </c>
      <c r="I36" s="7">
        <v>500</v>
      </c>
      <c r="J36" s="7"/>
      <c r="K36" s="7"/>
      <c r="L36" s="7"/>
      <c r="M36" s="7"/>
      <c r="N36" s="7"/>
      <c r="O36" s="7"/>
      <c r="P36" s="7"/>
      <c r="Q36" s="7"/>
      <c r="R36" s="7"/>
      <c r="T36" s="97"/>
      <c r="U36" s="98"/>
      <c r="V36" s="99"/>
      <c r="W36" s="7"/>
    </row>
    <row r="37" spans="3:23" ht="15.75" customHeight="1" x14ac:dyDescent="0.25">
      <c r="C37" s="10">
        <v>17</v>
      </c>
      <c r="D37" s="11">
        <v>45580</v>
      </c>
      <c r="E37" s="10">
        <v>231</v>
      </c>
      <c r="F37" s="22" t="s">
        <v>80</v>
      </c>
      <c r="G37" s="7">
        <v>1000</v>
      </c>
      <c r="H37" s="12">
        <v>120</v>
      </c>
      <c r="I37" s="7">
        <v>1000</v>
      </c>
      <c r="J37" s="7"/>
      <c r="K37" s="7"/>
      <c r="L37" s="7"/>
      <c r="M37" s="7"/>
      <c r="N37" s="7"/>
      <c r="O37" s="7"/>
      <c r="P37" s="7"/>
      <c r="Q37" s="7"/>
      <c r="R37" s="7"/>
      <c r="T37" s="100" t="s">
        <v>188</v>
      </c>
      <c r="U37" s="98"/>
      <c r="V37" s="99"/>
      <c r="W37" s="36">
        <f>SUM(W34-W35)</f>
        <v>212539</v>
      </c>
    </row>
    <row r="38" spans="3:23" ht="15.75" customHeight="1" x14ac:dyDescent="0.25">
      <c r="C38" s="10">
        <v>18</v>
      </c>
      <c r="D38" s="11">
        <v>45581</v>
      </c>
      <c r="E38" s="10">
        <v>233</v>
      </c>
      <c r="F38" s="22" t="s">
        <v>317</v>
      </c>
      <c r="G38" s="7">
        <v>160</v>
      </c>
      <c r="H38" s="12">
        <v>120</v>
      </c>
      <c r="I38" s="7">
        <v>160</v>
      </c>
      <c r="J38" s="7"/>
      <c r="K38" s="7"/>
      <c r="L38" s="7"/>
      <c r="M38" s="7"/>
      <c r="N38" s="7"/>
      <c r="O38" s="7"/>
      <c r="P38" s="7"/>
      <c r="Q38" s="7"/>
      <c r="R38" s="7"/>
    </row>
    <row r="39" spans="3:23" ht="15.75" customHeight="1" x14ac:dyDescent="0.25">
      <c r="C39" s="10">
        <v>18</v>
      </c>
      <c r="D39" s="11">
        <v>45582</v>
      </c>
      <c r="E39" s="24">
        <v>234</v>
      </c>
      <c r="F39" s="22" t="s">
        <v>649</v>
      </c>
      <c r="G39" s="7">
        <v>500</v>
      </c>
      <c r="H39" s="12">
        <v>165</v>
      </c>
      <c r="I39" s="7"/>
      <c r="J39" s="7"/>
      <c r="K39" s="7"/>
      <c r="L39" s="7"/>
      <c r="M39" s="7">
        <v>500</v>
      </c>
      <c r="N39" s="7"/>
      <c r="O39" s="7"/>
      <c r="P39" s="7"/>
      <c r="Q39" s="7"/>
      <c r="R39" s="7"/>
    </row>
    <row r="40" spans="3:23" ht="15.75" customHeight="1" x14ac:dyDescent="0.25">
      <c r="C40" s="10">
        <v>19</v>
      </c>
      <c r="D40" s="11">
        <v>45582</v>
      </c>
      <c r="E40" s="10">
        <v>235</v>
      </c>
      <c r="F40" s="22" t="s">
        <v>20</v>
      </c>
      <c r="G40" s="7">
        <v>200</v>
      </c>
      <c r="H40" s="12">
        <v>172</v>
      </c>
      <c r="I40" s="7"/>
      <c r="J40" s="7"/>
      <c r="K40" s="7"/>
      <c r="L40" s="7"/>
      <c r="M40" s="7"/>
      <c r="N40" s="7">
        <v>200</v>
      </c>
      <c r="O40" s="7"/>
      <c r="P40" s="7"/>
      <c r="Q40" s="7"/>
      <c r="R40" s="7"/>
    </row>
    <row r="41" spans="3:23" ht="15.75" customHeight="1" x14ac:dyDescent="0.25">
      <c r="C41" s="10">
        <v>20</v>
      </c>
      <c r="D41" s="11">
        <v>45583</v>
      </c>
      <c r="E41" s="10">
        <v>236</v>
      </c>
      <c r="F41" s="22" t="s">
        <v>394</v>
      </c>
      <c r="G41" s="7">
        <v>10000</v>
      </c>
      <c r="H41" s="12">
        <v>107</v>
      </c>
      <c r="I41" s="7">
        <v>10000</v>
      </c>
      <c r="J41" s="7"/>
      <c r="K41" s="7"/>
      <c r="L41" s="7"/>
      <c r="M41" s="7"/>
      <c r="N41" s="7"/>
      <c r="O41" s="7"/>
      <c r="P41" s="7"/>
      <c r="Q41" s="7"/>
      <c r="R41" s="7"/>
    </row>
    <row r="42" spans="3:23" ht="15.75" customHeight="1" x14ac:dyDescent="0.25">
      <c r="C42" s="10">
        <v>21</v>
      </c>
      <c r="D42" s="11">
        <v>45582</v>
      </c>
      <c r="E42" s="10" t="s">
        <v>27</v>
      </c>
      <c r="F42" s="22" t="s">
        <v>650</v>
      </c>
      <c r="G42" s="7">
        <v>200</v>
      </c>
      <c r="H42" s="12">
        <v>181</v>
      </c>
      <c r="I42" s="7"/>
      <c r="J42" s="7"/>
      <c r="K42" s="7"/>
      <c r="L42" s="7"/>
      <c r="M42" s="7">
        <v>200</v>
      </c>
      <c r="N42" s="7"/>
      <c r="O42" s="7"/>
      <c r="P42" s="7"/>
      <c r="Q42" s="7"/>
      <c r="R42" s="7"/>
    </row>
    <row r="43" spans="3:23" ht="15.75" customHeight="1" x14ac:dyDescent="0.25">
      <c r="C43" s="10">
        <v>22</v>
      </c>
      <c r="D43" s="11">
        <v>45583</v>
      </c>
      <c r="E43" s="10">
        <v>237</v>
      </c>
      <c r="F43" s="22" t="s">
        <v>600</v>
      </c>
      <c r="G43" s="7">
        <v>300</v>
      </c>
      <c r="H43" s="12">
        <v>178</v>
      </c>
      <c r="I43" s="7"/>
      <c r="J43" s="7"/>
      <c r="K43" s="7"/>
      <c r="L43" s="7"/>
      <c r="M43" s="7"/>
      <c r="N43" s="7">
        <v>300</v>
      </c>
      <c r="O43" s="7"/>
      <c r="P43" s="7"/>
      <c r="Q43" s="7"/>
      <c r="R43" s="7"/>
    </row>
    <row r="44" spans="3:23" ht="15.75" customHeight="1" x14ac:dyDescent="0.25">
      <c r="C44" s="10">
        <v>23</v>
      </c>
      <c r="D44" s="11">
        <v>45583</v>
      </c>
      <c r="E44" s="10" t="s">
        <v>503</v>
      </c>
      <c r="F44" s="22" t="s">
        <v>269</v>
      </c>
      <c r="G44" s="7">
        <v>1100</v>
      </c>
      <c r="H44" s="12" t="s">
        <v>651</v>
      </c>
      <c r="I44" s="7"/>
      <c r="J44" s="7"/>
      <c r="K44" s="7"/>
      <c r="L44" s="7">
        <v>100</v>
      </c>
      <c r="M44" s="7"/>
      <c r="N44" s="7">
        <v>1000</v>
      </c>
      <c r="O44" s="7"/>
      <c r="P44" s="7"/>
      <c r="Q44" s="7"/>
      <c r="R44" s="7"/>
    </row>
    <row r="45" spans="3:23" ht="15.75" customHeight="1" x14ac:dyDescent="0.25">
      <c r="C45" s="10"/>
      <c r="D45" s="11">
        <v>45583</v>
      </c>
      <c r="E45" s="10" t="s">
        <v>505</v>
      </c>
      <c r="F45" s="22" t="s">
        <v>269</v>
      </c>
      <c r="G45" s="7">
        <v>1000</v>
      </c>
      <c r="H45" s="12">
        <v>184</v>
      </c>
      <c r="I45" s="7"/>
      <c r="J45" s="7"/>
      <c r="K45" s="7"/>
      <c r="L45" s="7">
        <v>1000</v>
      </c>
      <c r="M45" s="7"/>
      <c r="N45" s="7"/>
      <c r="O45" s="7"/>
      <c r="P45" s="7"/>
      <c r="Q45" s="7"/>
      <c r="R45" s="7"/>
    </row>
    <row r="46" spans="3:23" ht="15.75" customHeight="1" x14ac:dyDescent="0.25">
      <c r="C46" s="10">
        <v>24</v>
      </c>
      <c r="D46" s="11">
        <v>45583</v>
      </c>
      <c r="E46" s="10" t="s">
        <v>506</v>
      </c>
      <c r="F46" s="22" t="s">
        <v>49</v>
      </c>
      <c r="G46" s="7">
        <v>1000</v>
      </c>
      <c r="H46" s="12">
        <v>174</v>
      </c>
      <c r="I46" s="7"/>
      <c r="J46" s="7"/>
      <c r="K46" s="7"/>
      <c r="L46" s="7"/>
      <c r="M46" s="7"/>
      <c r="N46" s="7">
        <v>1000</v>
      </c>
      <c r="O46" s="7"/>
      <c r="P46" s="7"/>
      <c r="Q46" s="7"/>
      <c r="R46" s="7"/>
    </row>
    <row r="47" spans="3:23" ht="15.75" customHeight="1" x14ac:dyDescent="0.25">
      <c r="C47" s="10">
        <v>26</v>
      </c>
      <c r="D47" s="11">
        <v>45583</v>
      </c>
      <c r="E47" s="10" t="s">
        <v>507</v>
      </c>
      <c r="F47" s="22" t="s">
        <v>80</v>
      </c>
      <c r="G47" s="7">
        <v>1000</v>
      </c>
      <c r="H47" s="12">
        <v>176</v>
      </c>
      <c r="I47" s="7"/>
      <c r="J47" s="7"/>
      <c r="K47" s="7"/>
      <c r="L47" s="7"/>
      <c r="M47" s="7"/>
      <c r="N47" s="7">
        <v>1000</v>
      </c>
      <c r="O47" s="7"/>
      <c r="P47" s="7"/>
      <c r="Q47" s="7"/>
      <c r="R47" s="7"/>
    </row>
    <row r="48" spans="3:23" ht="15.75" customHeight="1" x14ac:dyDescent="0.25">
      <c r="C48" s="10">
        <v>27</v>
      </c>
      <c r="D48" s="11">
        <v>45583</v>
      </c>
      <c r="E48" s="10" t="s">
        <v>652</v>
      </c>
      <c r="F48" s="22" t="s">
        <v>402</v>
      </c>
      <c r="G48" s="7">
        <v>7500</v>
      </c>
      <c r="H48" s="12"/>
      <c r="I48" s="7"/>
      <c r="J48" s="7"/>
      <c r="K48" s="7"/>
      <c r="L48" s="7">
        <v>7500</v>
      </c>
      <c r="M48" s="7"/>
      <c r="N48" s="7"/>
      <c r="O48" s="7"/>
      <c r="P48" s="7"/>
      <c r="Q48" s="7"/>
      <c r="R48" s="7"/>
      <c r="S48" s="1"/>
    </row>
    <row r="49" spans="3:19" ht="15.75" customHeight="1" x14ac:dyDescent="0.25">
      <c r="C49" s="10">
        <v>28</v>
      </c>
      <c r="D49" s="11">
        <v>45583</v>
      </c>
      <c r="E49" s="10" t="s">
        <v>653</v>
      </c>
      <c r="F49" s="22" t="s">
        <v>654</v>
      </c>
      <c r="G49" s="7">
        <v>2500</v>
      </c>
      <c r="H49" s="12">
        <v>168</v>
      </c>
      <c r="I49" s="7"/>
      <c r="J49" s="7"/>
      <c r="K49" s="7"/>
      <c r="L49" s="7">
        <v>2500</v>
      </c>
      <c r="M49" s="7"/>
      <c r="N49" s="7"/>
      <c r="O49" s="7"/>
      <c r="P49" s="7"/>
      <c r="Q49" s="7"/>
      <c r="R49" s="7"/>
      <c r="S49" s="1"/>
    </row>
    <row r="50" spans="3:19" ht="15.75" customHeight="1" x14ac:dyDescent="0.25">
      <c r="C50" s="10">
        <v>29</v>
      </c>
      <c r="D50" s="11">
        <v>45583</v>
      </c>
      <c r="E50" s="10" t="s">
        <v>655</v>
      </c>
      <c r="F50" s="22" t="s">
        <v>654</v>
      </c>
      <c r="G50" s="7">
        <v>5000</v>
      </c>
      <c r="H50" s="12">
        <v>168</v>
      </c>
      <c r="I50" s="7"/>
      <c r="J50" s="7"/>
      <c r="K50" s="7"/>
      <c r="L50" s="7">
        <v>5000</v>
      </c>
      <c r="M50" s="7"/>
      <c r="N50" s="7"/>
      <c r="O50" s="7"/>
      <c r="P50" s="7"/>
      <c r="Q50" s="7"/>
      <c r="R50" s="7"/>
      <c r="S50" s="1"/>
    </row>
    <row r="51" spans="3:19" ht="15.75" customHeight="1" x14ac:dyDescent="0.25">
      <c r="C51" s="10">
        <v>30</v>
      </c>
      <c r="D51" s="11">
        <v>45584</v>
      </c>
      <c r="E51" s="10">
        <v>238</v>
      </c>
      <c r="F51" s="22" t="s">
        <v>656</v>
      </c>
      <c r="G51" s="7">
        <v>1000</v>
      </c>
      <c r="H51" s="12">
        <v>169</v>
      </c>
      <c r="I51" s="7"/>
      <c r="J51" s="7"/>
      <c r="K51" s="7"/>
      <c r="L51" s="7"/>
      <c r="M51" s="7">
        <v>1000</v>
      </c>
      <c r="N51" s="7"/>
      <c r="O51" s="7"/>
      <c r="P51" s="7"/>
      <c r="Q51" s="7"/>
      <c r="R51" s="7"/>
      <c r="S51" s="1"/>
    </row>
    <row r="52" spans="3:19" ht="15.75" customHeight="1" x14ac:dyDescent="0.25">
      <c r="C52" s="10">
        <v>32</v>
      </c>
      <c r="D52" s="11">
        <v>45586</v>
      </c>
      <c r="E52" s="10">
        <v>239</v>
      </c>
      <c r="F52" s="22" t="s">
        <v>657</v>
      </c>
      <c r="G52" s="7">
        <v>500</v>
      </c>
      <c r="H52" s="12">
        <v>115</v>
      </c>
      <c r="I52" s="7">
        <v>500</v>
      </c>
      <c r="J52" s="7"/>
      <c r="K52" s="7"/>
      <c r="L52" s="7"/>
      <c r="M52" s="7"/>
      <c r="N52" s="7"/>
      <c r="O52" s="7"/>
      <c r="P52" s="7"/>
      <c r="Q52" s="7"/>
      <c r="R52" s="7"/>
      <c r="S52" s="1"/>
    </row>
    <row r="53" spans="3:19" ht="15.75" customHeight="1" x14ac:dyDescent="0.25">
      <c r="C53" s="10">
        <v>33</v>
      </c>
      <c r="D53" s="11">
        <v>45587</v>
      </c>
      <c r="E53" s="10">
        <v>240</v>
      </c>
      <c r="F53" s="22" t="s">
        <v>658</v>
      </c>
      <c r="G53" s="7">
        <v>2000</v>
      </c>
      <c r="H53" s="12">
        <v>162</v>
      </c>
      <c r="I53" s="7"/>
      <c r="J53" s="7">
        <v>2000</v>
      </c>
      <c r="K53" s="7"/>
      <c r="L53" s="7"/>
      <c r="M53" s="7"/>
      <c r="N53" s="7"/>
      <c r="O53" s="7"/>
      <c r="P53" s="7"/>
      <c r="Q53" s="7"/>
      <c r="R53" s="7"/>
      <c r="S53" s="1"/>
    </row>
    <row r="54" spans="3:19" ht="15.75" customHeight="1" x14ac:dyDescent="0.25">
      <c r="C54" s="10">
        <v>34</v>
      </c>
      <c r="D54" s="11">
        <v>45587</v>
      </c>
      <c r="E54" s="10">
        <v>241</v>
      </c>
      <c r="F54" s="22" t="s">
        <v>614</v>
      </c>
      <c r="G54" s="7">
        <v>1000</v>
      </c>
      <c r="H54" s="12">
        <v>167</v>
      </c>
      <c r="I54" s="7"/>
      <c r="J54" s="7"/>
      <c r="K54" s="7"/>
      <c r="L54" s="7"/>
      <c r="M54" s="7">
        <v>1000</v>
      </c>
      <c r="N54" s="7"/>
      <c r="O54" s="7"/>
      <c r="P54" s="7"/>
      <c r="Q54" s="7"/>
      <c r="R54" s="7"/>
      <c r="S54" s="1"/>
    </row>
    <row r="55" spans="3:19" ht="15.75" customHeight="1" x14ac:dyDescent="0.25">
      <c r="C55" s="10">
        <v>35</v>
      </c>
      <c r="D55" s="11">
        <v>45587</v>
      </c>
      <c r="E55" s="10" t="s">
        <v>512</v>
      </c>
      <c r="F55" s="22" t="s">
        <v>202</v>
      </c>
      <c r="G55" s="7">
        <v>1000</v>
      </c>
      <c r="H55" s="12">
        <v>173</v>
      </c>
      <c r="I55" s="7"/>
      <c r="J55" s="7"/>
      <c r="K55" s="7"/>
      <c r="L55" s="7"/>
      <c r="M55" s="7">
        <v>1000</v>
      </c>
      <c r="N55" s="7"/>
      <c r="O55" s="7"/>
      <c r="P55" s="7"/>
      <c r="Q55" s="7"/>
      <c r="R55" s="7"/>
      <c r="S55" s="1"/>
    </row>
    <row r="56" spans="3:19" ht="15.75" customHeight="1" x14ac:dyDescent="0.25">
      <c r="C56" s="10">
        <v>36</v>
      </c>
      <c r="D56" s="11">
        <v>45587</v>
      </c>
      <c r="E56" s="10" t="s">
        <v>513</v>
      </c>
      <c r="F56" s="22" t="s">
        <v>391</v>
      </c>
      <c r="G56" s="7">
        <v>1000</v>
      </c>
      <c r="H56" s="12">
        <v>169</v>
      </c>
      <c r="I56" s="7"/>
      <c r="J56" s="7"/>
      <c r="K56" s="7"/>
      <c r="L56" s="7"/>
      <c r="M56" s="7">
        <v>1000</v>
      </c>
      <c r="N56" s="7"/>
      <c r="O56" s="7"/>
      <c r="P56" s="7"/>
      <c r="Q56" s="7"/>
      <c r="R56" s="7"/>
      <c r="S56" s="1"/>
    </row>
    <row r="57" spans="3:19" ht="15.75" customHeight="1" x14ac:dyDescent="0.25">
      <c r="C57" s="10">
        <v>37</v>
      </c>
      <c r="D57" s="11">
        <v>45587</v>
      </c>
      <c r="E57" s="10" t="s">
        <v>659</v>
      </c>
      <c r="F57" s="22" t="s">
        <v>71</v>
      </c>
      <c r="G57" s="7">
        <v>300</v>
      </c>
      <c r="H57" s="12">
        <v>165</v>
      </c>
      <c r="I57" s="7"/>
      <c r="J57" s="7"/>
      <c r="K57" s="7"/>
      <c r="L57" s="7"/>
      <c r="M57" s="7">
        <v>300</v>
      </c>
      <c r="N57" s="7"/>
      <c r="O57" s="7"/>
      <c r="P57" s="7"/>
      <c r="Q57" s="7"/>
      <c r="R57" s="7"/>
      <c r="S57" s="1"/>
    </row>
    <row r="58" spans="3:19" ht="15.75" customHeight="1" x14ac:dyDescent="0.25">
      <c r="C58" s="10">
        <v>38</v>
      </c>
      <c r="D58" s="11">
        <v>45588</v>
      </c>
      <c r="E58" s="10" t="s">
        <v>660</v>
      </c>
      <c r="F58" s="22" t="s">
        <v>32</v>
      </c>
      <c r="G58" s="7">
        <v>500</v>
      </c>
      <c r="H58" s="12">
        <v>187</v>
      </c>
      <c r="I58" s="7"/>
      <c r="J58" s="7"/>
      <c r="K58" s="7"/>
      <c r="L58" s="7"/>
      <c r="M58" s="7"/>
      <c r="N58" s="7">
        <v>500</v>
      </c>
      <c r="O58" s="7"/>
      <c r="P58" s="7"/>
      <c r="Q58" s="7"/>
      <c r="R58" s="7"/>
      <c r="S58" s="1"/>
    </row>
    <row r="59" spans="3:19" ht="15.75" customHeight="1" x14ac:dyDescent="0.25">
      <c r="C59" s="10">
        <v>41</v>
      </c>
      <c r="D59" s="11">
        <v>45588</v>
      </c>
      <c r="E59" s="10" t="s">
        <v>661</v>
      </c>
      <c r="F59" s="22" t="s">
        <v>49</v>
      </c>
      <c r="G59" s="7">
        <v>4000</v>
      </c>
      <c r="H59" s="31" t="s">
        <v>662</v>
      </c>
      <c r="I59" s="7"/>
      <c r="J59" s="7">
        <v>3000</v>
      </c>
      <c r="K59" s="7"/>
      <c r="L59" s="7"/>
      <c r="M59" s="7">
        <v>1000</v>
      </c>
      <c r="N59" s="7"/>
      <c r="O59" s="7"/>
      <c r="P59" s="7"/>
      <c r="Q59" s="7"/>
      <c r="R59" s="7"/>
      <c r="S59" s="1"/>
    </row>
    <row r="60" spans="3:19" ht="15.75" customHeight="1" x14ac:dyDescent="0.25">
      <c r="C60" s="10">
        <v>39</v>
      </c>
      <c r="D60" s="11">
        <v>45588</v>
      </c>
      <c r="E60" s="10" t="s">
        <v>663</v>
      </c>
      <c r="F60" s="22" t="s">
        <v>49</v>
      </c>
      <c r="G60" s="7">
        <v>2000</v>
      </c>
      <c r="H60" s="12">
        <v>165</v>
      </c>
      <c r="I60" s="7"/>
      <c r="J60" s="7">
        <v>2000</v>
      </c>
      <c r="K60" s="7"/>
      <c r="L60" s="7"/>
      <c r="M60" s="7"/>
      <c r="N60" s="7"/>
      <c r="O60" s="7"/>
      <c r="P60" s="7"/>
      <c r="Q60" s="7"/>
      <c r="R60" s="7"/>
      <c r="S60" s="1"/>
    </row>
    <row r="61" spans="3:19" ht="15.75" customHeight="1" x14ac:dyDescent="0.25">
      <c r="C61" s="10">
        <v>42</v>
      </c>
      <c r="D61" s="11">
        <v>45588</v>
      </c>
      <c r="E61" s="10" t="s">
        <v>664</v>
      </c>
      <c r="F61" s="22" t="s">
        <v>269</v>
      </c>
      <c r="G61" s="7">
        <v>500</v>
      </c>
      <c r="H61" s="12">
        <v>181</v>
      </c>
      <c r="I61" s="7"/>
      <c r="J61" s="7"/>
      <c r="K61" s="7"/>
      <c r="L61" s="7"/>
      <c r="M61" s="7"/>
      <c r="N61" s="7"/>
      <c r="O61" s="7">
        <v>500</v>
      </c>
      <c r="P61" s="7"/>
      <c r="Q61" s="7"/>
      <c r="R61" s="7"/>
      <c r="S61" s="1"/>
    </row>
    <row r="62" spans="3:19" ht="15.75" customHeight="1" x14ac:dyDescent="0.25">
      <c r="C62" s="10">
        <v>40</v>
      </c>
      <c r="D62" s="11">
        <v>45589</v>
      </c>
      <c r="E62" s="10">
        <v>242</v>
      </c>
      <c r="F62" s="22" t="s">
        <v>657</v>
      </c>
      <c r="G62" s="7">
        <v>500</v>
      </c>
      <c r="H62" s="12">
        <v>164</v>
      </c>
      <c r="I62" s="7"/>
      <c r="J62" s="7">
        <v>500</v>
      </c>
      <c r="K62" s="7"/>
      <c r="L62" s="7"/>
      <c r="M62" s="7"/>
      <c r="N62" s="7"/>
      <c r="O62" s="7"/>
      <c r="P62" s="7"/>
      <c r="Q62" s="7"/>
      <c r="R62" s="7"/>
      <c r="S62" s="1"/>
    </row>
    <row r="63" spans="3:19" ht="15.75" customHeight="1" x14ac:dyDescent="0.25">
      <c r="C63" s="10">
        <v>43</v>
      </c>
      <c r="D63" s="11">
        <v>45589</v>
      </c>
      <c r="E63" s="10">
        <v>243</v>
      </c>
      <c r="F63" s="22" t="s">
        <v>656</v>
      </c>
      <c r="G63" s="7">
        <v>1000</v>
      </c>
      <c r="H63" s="12">
        <v>169</v>
      </c>
      <c r="I63" s="7"/>
      <c r="J63" s="7"/>
      <c r="K63" s="7"/>
      <c r="L63" s="7"/>
      <c r="M63" s="7">
        <v>1000</v>
      </c>
      <c r="N63" s="7"/>
      <c r="O63" s="7"/>
      <c r="P63" s="7"/>
      <c r="Q63" s="7"/>
      <c r="R63" s="7"/>
      <c r="S63" s="1"/>
    </row>
    <row r="64" spans="3:19" ht="15.75" customHeight="1" x14ac:dyDescent="0.25">
      <c r="C64" s="10">
        <v>44</v>
      </c>
      <c r="D64" s="11">
        <v>45589</v>
      </c>
      <c r="E64" s="10">
        <v>244</v>
      </c>
      <c r="F64" s="22" t="s">
        <v>665</v>
      </c>
      <c r="G64" s="7">
        <v>1000</v>
      </c>
      <c r="H64" s="12">
        <v>174</v>
      </c>
      <c r="I64" s="7"/>
      <c r="J64" s="7"/>
      <c r="K64" s="7"/>
      <c r="L64" s="7">
        <v>1000</v>
      </c>
      <c r="M64" s="7"/>
      <c r="N64" s="7"/>
      <c r="O64" s="7"/>
      <c r="P64" s="7"/>
      <c r="Q64" s="7"/>
      <c r="R64" s="7"/>
      <c r="S64" s="1"/>
    </row>
    <row r="65" spans="3:19" ht="15.75" customHeight="1" x14ac:dyDescent="0.25">
      <c r="C65" s="10">
        <v>45</v>
      </c>
      <c r="D65" s="11">
        <v>45589</v>
      </c>
      <c r="E65" s="10">
        <v>245</v>
      </c>
      <c r="F65" s="22" t="s">
        <v>666</v>
      </c>
      <c r="G65" s="7">
        <v>200</v>
      </c>
      <c r="H65" s="12">
        <v>120</v>
      </c>
      <c r="I65" s="7">
        <v>200</v>
      </c>
      <c r="J65" s="7"/>
      <c r="K65" s="7"/>
      <c r="L65" s="7"/>
      <c r="M65" s="7"/>
      <c r="N65" s="7"/>
      <c r="O65" s="7"/>
      <c r="P65" s="7"/>
      <c r="Q65" s="7"/>
      <c r="R65" s="7"/>
      <c r="S65" s="1"/>
    </row>
    <row r="66" spans="3:19" ht="15.75" customHeight="1" x14ac:dyDescent="0.25">
      <c r="C66" s="10">
        <v>46</v>
      </c>
      <c r="D66" s="11">
        <v>45589</v>
      </c>
      <c r="E66" s="10">
        <v>247</v>
      </c>
      <c r="F66" s="22" t="s">
        <v>667</v>
      </c>
      <c r="G66" s="7">
        <v>1250</v>
      </c>
      <c r="H66" s="12">
        <v>163</v>
      </c>
      <c r="I66" s="7"/>
      <c r="J66" s="7">
        <v>1250</v>
      </c>
      <c r="K66" s="7"/>
      <c r="L66" s="7"/>
      <c r="M66" s="7"/>
      <c r="N66" s="7"/>
      <c r="O66" s="7"/>
      <c r="P66" s="7"/>
      <c r="Q66" s="7"/>
      <c r="R66" s="7"/>
      <c r="S66" s="1"/>
    </row>
    <row r="67" spans="3:19" ht="15.75" customHeight="1" x14ac:dyDescent="0.25">
      <c r="C67" s="10">
        <v>47</v>
      </c>
      <c r="D67" s="11">
        <v>45590</v>
      </c>
      <c r="E67" s="10">
        <v>248</v>
      </c>
      <c r="F67" s="22" t="s">
        <v>668</v>
      </c>
      <c r="G67" s="7">
        <v>250</v>
      </c>
      <c r="H67" s="12">
        <v>167</v>
      </c>
      <c r="I67" s="7"/>
      <c r="J67" s="7">
        <v>250</v>
      </c>
      <c r="K67" s="7"/>
      <c r="L67" s="7"/>
      <c r="M67" s="7"/>
      <c r="N67" s="7"/>
      <c r="O67" s="7"/>
      <c r="P67" s="7"/>
      <c r="Q67" s="7"/>
      <c r="R67" s="7"/>
      <c r="S67" s="1"/>
    </row>
    <row r="68" spans="3:19" ht="15.75" customHeight="1" x14ac:dyDescent="0.25">
      <c r="C68" s="10">
        <v>48</v>
      </c>
      <c r="D68" s="11">
        <v>45590</v>
      </c>
      <c r="E68" s="10">
        <v>249</v>
      </c>
      <c r="F68" s="22" t="s">
        <v>333</v>
      </c>
      <c r="G68" s="7">
        <v>500</v>
      </c>
      <c r="H68" s="12">
        <v>115</v>
      </c>
      <c r="I68" s="7">
        <v>500</v>
      </c>
      <c r="J68" s="7"/>
      <c r="K68" s="7"/>
      <c r="L68" s="7"/>
      <c r="M68" s="7"/>
      <c r="N68" s="7"/>
      <c r="O68" s="7"/>
      <c r="P68" s="7"/>
      <c r="Q68" s="7"/>
      <c r="R68" s="7"/>
      <c r="S68" s="1"/>
    </row>
    <row r="69" spans="3:19" ht="15.75" customHeight="1" x14ac:dyDescent="0.25">
      <c r="C69" s="10">
        <v>49</v>
      </c>
      <c r="D69" s="11">
        <v>45590</v>
      </c>
      <c r="E69" s="10">
        <v>250</v>
      </c>
      <c r="F69" s="22" t="s">
        <v>669</v>
      </c>
      <c r="G69" s="7">
        <v>10000</v>
      </c>
      <c r="H69" s="12">
        <v>107</v>
      </c>
      <c r="I69" s="7">
        <v>10000</v>
      </c>
      <c r="J69" s="7"/>
      <c r="K69" s="7"/>
      <c r="L69" s="7"/>
      <c r="M69" s="7"/>
      <c r="N69" s="7"/>
      <c r="O69" s="7"/>
      <c r="P69" s="7"/>
      <c r="Q69" s="7"/>
      <c r="R69" s="7"/>
      <c r="S69" s="1"/>
    </row>
    <row r="70" spans="3:19" ht="15.75" customHeight="1" x14ac:dyDescent="0.25">
      <c r="C70" s="10">
        <v>50</v>
      </c>
      <c r="D70" s="11">
        <v>45590</v>
      </c>
      <c r="E70" s="10" t="s">
        <v>670</v>
      </c>
      <c r="F70" s="22" t="s">
        <v>80</v>
      </c>
      <c r="G70" s="7">
        <v>3000</v>
      </c>
      <c r="H70" s="12">
        <v>164</v>
      </c>
      <c r="I70" s="7"/>
      <c r="J70" s="7">
        <v>3000</v>
      </c>
      <c r="K70" s="7"/>
      <c r="L70" s="7"/>
      <c r="M70" s="7"/>
      <c r="N70" s="7"/>
      <c r="O70" s="7"/>
      <c r="P70" s="7"/>
      <c r="Q70" s="7"/>
      <c r="R70" s="7"/>
      <c r="S70" s="1"/>
    </row>
    <row r="71" spans="3:19" ht="15.75" customHeight="1" x14ac:dyDescent="0.25">
      <c r="C71" s="10">
        <v>51</v>
      </c>
      <c r="D71" s="11">
        <v>45591</v>
      </c>
      <c r="E71" s="10">
        <v>251</v>
      </c>
      <c r="F71" s="22" t="s">
        <v>614</v>
      </c>
      <c r="G71" s="7">
        <v>4500</v>
      </c>
      <c r="H71" s="12">
        <v>165</v>
      </c>
      <c r="I71" s="7"/>
      <c r="J71" s="7"/>
      <c r="K71" s="7"/>
      <c r="L71" s="7"/>
      <c r="M71" s="7">
        <v>4500</v>
      </c>
      <c r="N71" s="7"/>
      <c r="O71" s="7"/>
      <c r="P71" s="7"/>
      <c r="Q71" s="7"/>
      <c r="R71" s="7"/>
      <c r="S71" s="1"/>
    </row>
    <row r="72" spans="3:19" ht="15.75" customHeight="1" x14ac:dyDescent="0.25">
      <c r="C72" s="10">
        <v>52</v>
      </c>
      <c r="D72" s="11">
        <v>45591</v>
      </c>
      <c r="E72" s="10">
        <v>252</v>
      </c>
      <c r="F72" s="22" t="s">
        <v>614</v>
      </c>
      <c r="G72" s="7">
        <v>1500</v>
      </c>
      <c r="H72" s="31">
        <v>167</v>
      </c>
      <c r="I72" s="7"/>
      <c r="J72" s="7"/>
      <c r="K72" s="7"/>
      <c r="L72" s="7"/>
      <c r="M72" s="7">
        <v>1500</v>
      </c>
      <c r="N72" s="7"/>
      <c r="O72" s="7"/>
      <c r="P72" s="7"/>
      <c r="Q72" s="7"/>
      <c r="R72" s="7"/>
      <c r="S72" s="1"/>
    </row>
    <row r="73" spans="3:19" ht="15.75" customHeight="1" x14ac:dyDescent="0.25">
      <c r="C73" s="10">
        <v>53</v>
      </c>
      <c r="D73" s="11">
        <v>45591</v>
      </c>
      <c r="E73" s="10">
        <v>253</v>
      </c>
      <c r="F73" s="22" t="s">
        <v>333</v>
      </c>
      <c r="G73" s="7">
        <v>300</v>
      </c>
      <c r="H73" s="12">
        <v>166</v>
      </c>
      <c r="I73" s="7"/>
      <c r="J73" s="7"/>
      <c r="K73" s="7"/>
      <c r="L73" s="7"/>
      <c r="M73" s="7">
        <v>300</v>
      </c>
      <c r="N73" s="7"/>
      <c r="O73" s="7"/>
      <c r="P73" s="7"/>
      <c r="Q73" s="7"/>
      <c r="R73" s="7"/>
      <c r="S73" s="1"/>
    </row>
    <row r="74" spans="3:19" ht="15.75" customHeight="1" x14ac:dyDescent="0.25">
      <c r="C74" s="10">
        <v>54</v>
      </c>
      <c r="D74" s="11">
        <v>45593</v>
      </c>
      <c r="E74" s="10">
        <v>254</v>
      </c>
      <c r="F74" s="22" t="s">
        <v>657</v>
      </c>
      <c r="G74" s="7">
        <v>1000</v>
      </c>
      <c r="H74" s="12">
        <v>115</v>
      </c>
      <c r="I74" s="7">
        <v>1000</v>
      </c>
      <c r="J74" s="7"/>
      <c r="K74" s="7"/>
      <c r="L74" s="7"/>
      <c r="M74" s="7"/>
      <c r="N74" s="7"/>
      <c r="O74" s="7"/>
      <c r="P74" s="7"/>
      <c r="Q74" s="7"/>
      <c r="R74" s="7"/>
      <c r="S74" s="1"/>
    </row>
    <row r="75" spans="3:19" ht="15.75" customHeight="1" x14ac:dyDescent="0.25">
      <c r="C75" s="10">
        <v>55</v>
      </c>
      <c r="D75" s="11">
        <v>45593</v>
      </c>
      <c r="E75" s="10">
        <v>255</v>
      </c>
      <c r="F75" s="22" t="s">
        <v>656</v>
      </c>
      <c r="G75" s="7">
        <v>700</v>
      </c>
      <c r="H75" s="12">
        <v>168</v>
      </c>
      <c r="I75" s="7"/>
      <c r="J75" s="7"/>
      <c r="K75" s="7"/>
      <c r="L75" s="7"/>
      <c r="M75" s="7">
        <v>700</v>
      </c>
      <c r="N75" s="7"/>
      <c r="O75" s="7"/>
      <c r="P75" s="7"/>
      <c r="Q75" s="7"/>
      <c r="R75" s="7"/>
      <c r="S75" s="1"/>
    </row>
    <row r="76" spans="3:19" ht="15.75" customHeight="1" x14ac:dyDescent="0.25">
      <c r="C76" s="10">
        <v>56</v>
      </c>
      <c r="D76" s="11">
        <v>45594</v>
      </c>
      <c r="E76" s="10" t="s">
        <v>671</v>
      </c>
      <c r="F76" s="22" t="s">
        <v>666</v>
      </c>
      <c r="G76" s="7">
        <v>500</v>
      </c>
      <c r="H76" s="12">
        <v>169</v>
      </c>
      <c r="I76" s="7"/>
      <c r="J76" s="7"/>
      <c r="K76" s="7"/>
      <c r="L76" s="7"/>
      <c r="M76" s="7">
        <v>500</v>
      </c>
      <c r="N76" s="7"/>
      <c r="O76" s="7"/>
      <c r="P76" s="7"/>
      <c r="Q76" s="7"/>
      <c r="R76" s="7"/>
      <c r="S76" s="1"/>
    </row>
    <row r="77" spans="3:19" ht="15.75" customHeight="1" x14ac:dyDescent="0.25">
      <c r="C77" s="10">
        <v>57</v>
      </c>
      <c r="D77" s="11">
        <v>45594</v>
      </c>
      <c r="E77" s="10" t="s">
        <v>672</v>
      </c>
      <c r="F77" s="22" t="s">
        <v>673</v>
      </c>
      <c r="G77" s="7">
        <v>400</v>
      </c>
      <c r="H77" s="12">
        <v>168</v>
      </c>
      <c r="I77" s="7"/>
      <c r="J77" s="7"/>
      <c r="K77" s="7"/>
      <c r="L77" s="7"/>
      <c r="M77" s="7">
        <v>400</v>
      </c>
      <c r="N77" s="7"/>
      <c r="O77" s="7"/>
      <c r="P77" s="7"/>
      <c r="Q77" s="7"/>
      <c r="R77" s="7"/>
      <c r="S77" s="1"/>
    </row>
    <row r="78" spans="3:19" ht="15.75" customHeight="1" x14ac:dyDescent="0.25">
      <c r="C78" s="10">
        <v>58</v>
      </c>
      <c r="D78" s="11">
        <v>45594</v>
      </c>
      <c r="E78" s="10" t="s">
        <v>674</v>
      </c>
      <c r="F78" s="22" t="s">
        <v>269</v>
      </c>
      <c r="G78" s="7">
        <v>1000</v>
      </c>
      <c r="H78" s="12">
        <v>169</v>
      </c>
      <c r="I78" s="7"/>
      <c r="J78" s="7"/>
      <c r="K78" s="7"/>
      <c r="L78" s="7"/>
      <c r="M78" s="7">
        <v>1000</v>
      </c>
      <c r="N78" s="7"/>
      <c r="O78" s="7"/>
      <c r="P78" s="7"/>
      <c r="Q78" s="7"/>
      <c r="R78" s="7"/>
      <c r="S78" s="1"/>
    </row>
    <row r="79" spans="3:19" ht="15.75" customHeight="1" x14ac:dyDescent="0.25">
      <c r="C79" s="10">
        <v>59</v>
      </c>
      <c r="D79" s="11">
        <v>45594</v>
      </c>
      <c r="E79" s="10">
        <v>256</v>
      </c>
      <c r="F79" s="22" t="s">
        <v>80</v>
      </c>
      <c r="G79" s="7">
        <v>500</v>
      </c>
      <c r="H79" s="12">
        <v>120</v>
      </c>
      <c r="I79" s="7">
        <v>500</v>
      </c>
      <c r="J79" s="7"/>
      <c r="K79" s="7"/>
      <c r="L79" s="7"/>
      <c r="M79" s="7"/>
      <c r="N79" s="7"/>
      <c r="O79" s="7"/>
      <c r="P79" s="7"/>
      <c r="Q79" s="7"/>
      <c r="R79" s="7"/>
      <c r="S79" s="1"/>
    </row>
    <row r="80" spans="3:19" ht="15.75" customHeight="1" x14ac:dyDescent="0.25">
      <c r="C80" s="10">
        <v>60</v>
      </c>
      <c r="D80" s="11">
        <v>45595</v>
      </c>
      <c r="E80" s="10" t="s">
        <v>675</v>
      </c>
      <c r="F80" s="22" t="s">
        <v>269</v>
      </c>
      <c r="G80" s="7">
        <v>800</v>
      </c>
      <c r="H80" s="12" t="s">
        <v>676</v>
      </c>
      <c r="I80" s="7"/>
      <c r="J80" s="7"/>
      <c r="K80" s="7"/>
      <c r="L80" s="7">
        <v>400</v>
      </c>
      <c r="M80" s="7">
        <v>400</v>
      </c>
      <c r="N80" s="7"/>
      <c r="O80" s="7"/>
      <c r="P80" s="7"/>
      <c r="Q80" s="7"/>
      <c r="R80" s="7"/>
      <c r="S80" s="1"/>
    </row>
    <row r="81" spans="3:19" ht="15.75" customHeight="1" x14ac:dyDescent="0.25">
      <c r="C81" s="10">
        <v>61</v>
      </c>
      <c r="D81" s="11"/>
      <c r="E81" s="10"/>
      <c r="F81" s="22" t="s">
        <v>90</v>
      </c>
      <c r="G81" s="7"/>
      <c r="H81" s="12"/>
      <c r="I81" s="7"/>
      <c r="J81" s="7"/>
      <c r="K81" s="7"/>
      <c r="L81" s="7"/>
      <c r="M81" s="7"/>
      <c r="N81" s="7"/>
      <c r="O81" s="7"/>
      <c r="P81" s="7"/>
      <c r="Q81" s="7"/>
      <c r="R81" s="7"/>
      <c r="S81" s="1"/>
    </row>
    <row r="82" spans="3:19" ht="15.75" customHeight="1" x14ac:dyDescent="0.25">
      <c r="C82" s="10">
        <v>62</v>
      </c>
      <c r="D82" s="11"/>
      <c r="E82" s="10"/>
      <c r="F82" s="22" t="s">
        <v>394</v>
      </c>
      <c r="G82" s="7"/>
      <c r="H82" s="12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3:19" ht="15.75" customHeight="1" x14ac:dyDescent="0.25">
      <c r="C83" s="10">
        <v>63</v>
      </c>
      <c r="D83" s="11"/>
      <c r="E83" s="10"/>
      <c r="F83" s="22" t="s">
        <v>30</v>
      </c>
      <c r="G83" s="7"/>
      <c r="H83" s="12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3:19" ht="15.75" customHeight="1" x14ac:dyDescent="0.25">
      <c r="C84" s="10">
        <v>64</v>
      </c>
      <c r="D84" s="11"/>
      <c r="E84" s="10"/>
      <c r="F84" s="22" t="s">
        <v>80</v>
      </c>
      <c r="G84" s="7"/>
      <c r="H84" s="12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3:19" ht="15.75" customHeight="1" x14ac:dyDescent="0.25">
      <c r="C85" s="10">
        <v>65</v>
      </c>
      <c r="D85" s="11"/>
      <c r="E85" s="10"/>
      <c r="F85" s="22" t="s">
        <v>139</v>
      </c>
      <c r="G85" s="7"/>
      <c r="H85" s="12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3:19" ht="15.75" customHeight="1" x14ac:dyDescent="0.25">
      <c r="C86" s="10">
        <v>66</v>
      </c>
      <c r="D86" s="11"/>
      <c r="E86" s="10"/>
      <c r="F86" s="22" t="s">
        <v>255</v>
      </c>
      <c r="G86" s="7"/>
      <c r="H86" s="12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3:19" ht="15.75" customHeight="1" x14ac:dyDescent="0.25">
      <c r="C87" s="10">
        <v>67</v>
      </c>
      <c r="D87" s="11"/>
      <c r="E87" s="10"/>
      <c r="F87" s="22" t="s">
        <v>269</v>
      </c>
      <c r="G87" s="7"/>
      <c r="H87" s="12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3:19" ht="15.75" customHeight="1" x14ac:dyDescent="0.25">
      <c r="C88" s="10">
        <v>68</v>
      </c>
      <c r="D88" s="11"/>
      <c r="E88" s="10"/>
      <c r="F88" s="22" t="s">
        <v>37</v>
      </c>
      <c r="G88" s="7"/>
      <c r="H88" s="12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3:19" ht="15.75" customHeight="1" x14ac:dyDescent="0.25">
      <c r="C89" s="10">
        <v>69</v>
      </c>
      <c r="D89" s="11"/>
      <c r="E89" s="10"/>
      <c r="F89" s="22" t="s">
        <v>112</v>
      </c>
      <c r="G89" s="7"/>
      <c r="H89" s="12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3:19" ht="15.75" customHeight="1" x14ac:dyDescent="0.25">
      <c r="C90" s="10">
        <v>70</v>
      </c>
      <c r="D90" s="11"/>
      <c r="E90" s="10"/>
      <c r="F90" s="22" t="s">
        <v>325</v>
      </c>
      <c r="G90" s="7"/>
      <c r="H90" s="12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3:19" ht="15.75" customHeight="1" x14ac:dyDescent="0.25">
      <c r="C91" s="10">
        <v>71</v>
      </c>
      <c r="D91" s="11"/>
      <c r="E91" s="10"/>
      <c r="F91" s="22" t="s">
        <v>284</v>
      </c>
      <c r="G91" s="7"/>
      <c r="H91" s="12"/>
      <c r="I91" s="7"/>
      <c r="J91" s="7"/>
      <c r="K91" s="7"/>
      <c r="L91" s="7"/>
      <c r="M91" s="7"/>
      <c r="N91" s="7"/>
      <c r="O91" s="7"/>
      <c r="P91" s="7"/>
      <c r="Q91" s="14"/>
      <c r="R91" s="7"/>
    </row>
    <row r="92" spans="3:19" ht="15.75" customHeight="1" x14ac:dyDescent="0.25">
      <c r="C92" s="10">
        <v>72</v>
      </c>
      <c r="D92" s="11"/>
      <c r="E92" s="10"/>
      <c r="F92" s="22" t="s">
        <v>43</v>
      </c>
      <c r="G92" s="7"/>
      <c r="H92" s="12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3:19" ht="15.75" customHeight="1" x14ac:dyDescent="0.25">
      <c r="C93" s="10">
        <v>73</v>
      </c>
      <c r="D93" s="11"/>
      <c r="E93" s="10"/>
      <c r="F93" s="22" t="s">
        <v>268</v>
      </c>
      <c r="G93" s="7"/>
      <c r="H93" s="12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3:19" ht="15.75" customHeight="1" x14ac:dyDescent="0.25">
      <c r="C94" s="10">
        <v>74</v>
      </c>
      <c r="D94" s="11"/>
      <c r="E94" s="10"/>
      <c r="F94" s="22" t="s">
        <v>30</v>
      </c>
      <c r="G94" s="7"/>
      <c r="H94" s="12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3:19" ht="15.75" customHeight="1" x14ac:dyDescent="0.25">
      <c r="C95" s="10">
        <v>75</v>
      </c>
      <c r="D95" s="11"/>
      <c r="E95" s="10"/>
      <c r="F95" s="22" t="s">
        <v>190</v>
      </c>
      <c r="G95" s="7"/>
      <c r="H95" s="12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3:19" ht="15.75" customHeight="1" x14ac:dyDescent="0.25">
      <c r="C96" s="10">
        <v>76</v>
      </c>
      <c r="D96" s="11"/>
      <c r="E96" s="10"/>
      <c r="F96" s="22" t="s">
        <v>331</v>
      </c>
      <c r="G96" s="7"/>
      <c r="H96" s="12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3:18" ht="15.75" customHeight="1" x14ac:dyDescent="0.25">
      <c r="C97" s="10">
        <v>77</v>
      </c>
      <c r="D97" s="11"/>
      <c r="E97" s="10"/>
      <c r="F97" s="22" t="s">
        <v>69</v>
      </c>
      <c r="G97" s="7"/>
      <c r="H97" s="12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3:18" ht="15.75" customHeight="1" x14ac:dyDescent="0.25">
      <c r="C98" s="10">
        <v>78</v>
      </c>
      <c r="D98" s="11"/>
      <c r="E98" s="10"/>
      <c r="F98" s="22" t="s">
        <v>52</v>
      </c>
      <c r="G98" s="7"/>
      <c r="H98" s="12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3:18" ht="15.75" customHeight="1" x14ac:dyDescent="0.25">
      <c r="C99" s="10">
        <v>79</v>
      </c>
      <c r="D99" s="11"/>
      <c r="E99" s="10"/>
      <c r="F99" s="22" t="s">
        <v>37</v>
      </c>
      <c r="G99" s="7"/>
      <c r="H99" s="12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3:18" ht="15.75" customHeight="1" x14ac:dyDescent="0.25">
      <c r="C100" s="10">
        <v>80</v>
      </c>
      <c r="D100" s="11"/>
      <c r="E100" s="10"/>
      <c r="F100" s="22" t="s">
        <v>220</v>
      </c>
      <c r="G100" s="7"/>
      <c r="H100" s="12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3:18" ht="15.75" customHeight="1" x14ac:dyDescent="0.25">
      <c r="C101" s="10">
        <v>81</v>
      </c>
      <c r="D101" s="11"/>
      <c r="E101" s="10"/>
      <c r="F101" s="22" t="s">
        <v>333</v>
      </c>
      <c r="G101" s="7"/>
      <c r="H101" s="12"/>
      <c r="I101" s="7"/>
      <c r="J101" s="7"/>
      <c r="K101" s="7"/>
      <c r="L101" s="7"/>
      <c r="M101" s="7"/>
      <c r="N101" s="7"/>
      <c r="O101" s="7"/>
      <c r="P101" s="7"/>
      <c r="Q101" s="7"/>
      <c r="R101" s="14"/>
    </row>
    <row r="102" spans="3:18" ht="15.75" customHeight="1" x14ac:dyDescent="0.25">
      <c r="C102" s="13" t="s">
        <v>3</v>
      </c>
      <c r="D102" s="14"/>
      <c r="E102" s="13"/>
      <c r="F102" s="25"/>
      <c r="G102" s="14">
        <f>SUM(G21:G101)</f>
        <v>102980</v>
      </c>
      <c r="H102" s="14"/>
      <c r="I102" s="14">
        <f t="shared" ref="I102:Q102" si="8">SUM(I21:I101)</f>
        <v>51580</v>
      </c>
      <c r="J102" s="14">
        <f t="shared" si="8"/>
        <v>12000</v>
      </c>
      <c r="K102" s="14">
        <f t="shared" si="8"/>
        <v>0</v>
      </c>
      <c r="L102" s="14">
        <f t="shared" si="8"/>
        <v>17600</v>
      </c>
      <c r="M102" s="14">
        <f t="shared" si="8"/>
        <v>17300</v>
      </c>
      <c r="N102" s="14">
        <f t="shared" si="8"/>
        <v>4000</v>
      </c>
      <c r="O102" s="14">
        <f t="shared" si="8"/>
        <v>500</v>
      </c>
      <c r="P102" s="14">
        <f t="shared" si="8"/>
        <v>0</v>
      </c>
      <c r="Q102" s="14">
        <f t="shared" si="8"/>
        <v>0</v>
      </c>
      <c r="R102" s="14"/>
    </row>
    <row r="103" spans="3:18" ht="15.75" customHeight="1" x14ac:dyDescent="0.25">
      <c r="C103" s="1"/>
      <c r="E103" s="1"/>
      <c r="F103" s="16"/>
    </row>
    <row r="104" spans="3:18" ht="15.75" customHeight="1" x14ac:dyDescent="0.25">
      <c r="C104" s="1"/>
      <c r="D104" s="1"/>
      <c r="E104" s="1"/>
      <c r="F104" s="16"/>
      <c r="I104" s="33">
        <f>SUM('Oct 24'!$I$102:'Oct 24'!$Q$102)</f>
        <v>102980</v>
      </c>
    </row>
    <row r="105" spans="3:18" ht="15.75" customHeight="1" x14ac:dyDescent="0.25">
      <c r="E105" s="1"/>
      <c r="F105" s="16"/>
    </row>
    <row r="106" spans="3:18" ht="15.75" customHeight="1" x14ac:dyDescent="0.25"/>
    <row r="107" spans="3:18" ht="15.75" customHeight="1" x14ac:dyDescent="0.25"/>
    <row r="108" spans="3:18" ht="15.75" customHeight="1" x14ac:dyDescent="0.25"/>
    <row r="109" spans="3:18" ht="15.75" customHeight="1" x14ac:dyDescent="0.25"/>
    <row r="110" spans="3:18" ht="15.75" customHeight="1" x14ac:dyDescent="0.25"/>
    <row r="111" spans="3:18" ht="15.75" customHeight="1" x14ac:dyDescent="0.25"/>
    <row r="112" spans="3:1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T33:V33"/>
    <mergeCell ref="T34:V34"/>
    <mergeCell ref="T35:V35"/>
    <mergeCell ref="T36:V36"/>
    <mergeCell ref="T37:V37"/>
    <mergeCell ref="T32:V32"/>
    <mergeCell ref="X32:Y32"/>
    <mergeCell ref="C11:D11"/>
    <mergeCell ref="C18:E18"/>
    <mergeCell ref="T20:W20"/>
    <mergeCell ref="T21:V21"/>
    <mergeCell ref="X31:Y31"/>
  </mergeCells>
  <pageMargins left="0.7" right="0.7" top="0.75" bottom="0.75" header="0" footer="0"/>
  <pageSetup orientation="portrait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C3:Z1000"/>
  <sheetViews>
    <sheetView workbookViewId="0">
      <selection activeCell="Q8" sqref="Q8"/>
    </sheetView>
  </sheetViews>
  <sheetFormatPr defaultColWidth="14.42578125" defaultRowHeight="15" customHeight="1" x14ac:dyDescent="0.25"/>
  <cols>
    <col min="1" max="1" width="8.7109375" customWidth="1"/>
    <col min="2" max="2" width="8" customWidth="1"/>
    <col min="3" max="3" width="9.85546875" customWidth="1"/>
    <col min="4" max="4" width="12.7109375" customWidth="1"/>
    <col min="5" max="5" width="13.28515625" customWidth="1"/>
    <col min="6" max="6" width="9.42578125" customWidth="1"/>
    <col min="7" max="7" width="8.7109375" customWidth="1"/>
    <col min="8" max="8" width="12.28515625" customWidth="1"/>
    <col min="9" max="14" width="8.7109375" customWidth="1"/>
    <col min="15" max="15" width="11.7109375" customWidth="1"/>
    <col min="16" max="16" width="11.42578125" customWidth="1"/>
    <col min="17" max="17" width="11.85546875" customWidth="1"/>
    <col min="18" max="20" width="8.7109375" customWidth="1"/>
    <col min="21" max="21" width="10.7109375" customWidth="1"/>
    <col min="22" max="26" width="8.7109375" customWidth="1"/>
  </cols>
  <sheetData>
    <row r="3" spans="3:17" x14ac:dyDescent="0.25"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3:17" ht="15.75" x14ac:dyDescent="0.25">
      <c r="C4" s="1"/>
      <c r="D4" s="2" t="s">
        <v>677</v>
      </c>
      <c r="E4" s="17"/>
      <c r="F4" s="18"/>
      <c r="G4" s="2"/>
      <c r="H4" s="2"/>
      <c r="I4" s="2"/>
      <c r="J4" s="2"/>
      <c r="K4" s="8"/>
      <c r="L4" s="2"/>
      <c r="M4" s="3"/>
      <c r="N4" s="3"/>
      <c r="O4" s="65" t="s">
        <v>88</v>
      </c>
      <c r="P4" s="60" t="s">
        <v>2</v>
      </c>
      <c r="Q4" s="66" t="s">
        <v>117</v>
      </c>
    </row>
    <row r="5" spans="3:17" ht="15.75" x14ac:dyDescent="0.25">
      <c r="C5" s="1"/>
      <c r="D5" s="67" t="s">
        <v>1</v>
      </c>
      <c r="E5" s="44" t="s">
        <v>2</v>
      </c>
      <c r="F5" s="45">
        <v>1799</v>
      </c>
      <c r="G5" s="46">
        <v>2699</v>
      </c>
      <c r="H5" s="46">
        <v>588</v>
      </c>
      <c r="I5" s="46">
        <v>2088</v>
      </c>
      <c r="J5" s="46">
        <v>2488</v>
      </c>
      <c r="K5" s="46">
        <v>2688</v>
      </c>
      <c r="L5" s="45" t="s">
        <v>678</v>
      </c>
      <c r="M5" s="62" t="s">
        <v>295</v>
      </c>
      <c r="N5" s="45" t="s">
        <v>3</v>
      </c>
      <c r="O5" s="47"/>
      <c r="P5" s="42"/>
      <c r="Q5" s="42"/>
    </row>
    <row r="6" spans="3:17" ht="17.25" x14ac:dyDescent="0.3">
      <c r="C6" s="1"/>
      <c r="D6" s="6" t="s">
        <v>259</v>
      </c>
      <c r="E6" s="12">
        <v>202643</v>
      </c>
      <c r="F6" s="12">
        <v>6000</v>
      </c>
      <c r="G6" s="12">
        <v>0</v>
      </c>
      <c r="H6" s="12">
        <v>8400</v>
      </c>
      <c r="I6" s="12">
        <v>25700</v>
      </c>
      <c r="J6" s="12">
        <v>0</v>
      </c>
      <c r="K6" s="12">
        <v>4500</v>
      </c>
      <c r="L6" s="12">
        <v>9000</v>
      </c>
      <c r="M6" s="12">
        <v>0</v>
      </c>
      <c r="N6" s="12">
        <v>256293</v>
      </c>
      <c r="O6" s="55">
        <v>53650</v>
      </c>
      <c r="P6" s="56">
        <v>202643</v>
      </c>
      <c r="Q6" s="57">
        <v>256293</v>
      </c>
    </row>
    <row r="7" spans="3:17" ht="18.75" x14ac:dyDescent="0.3">
      <c r="C7" s="1"/>
      <c r="D7" s="6" t="s">
        <v>365</v>
      </c>
      <c r="E7" s="7">
        <f>W32</f>
        <v>46581</v>
      </c>
      <c r="F7" s="7">
        <f t="shared" ref="F7:M7" si="0">F18</f>
        <v>6000</v>
      </c>
      <c r="G7" s="7">
        <f t="shared" si="0"/>
        <v>5000</v>
      </c>
      <c r="H7" s="7">
        <f t="shared" si="0"/>
        <v>18000</v>
      </c>
      <c r="I7" s="7">
        <f t="shared" si="0"/>
        <v>28000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>
        <f t="shared" si="0"/>
        <v>0</v>
      </c>
      <c r="N7" s="7">
        <f t="shared" ref="N7:N8" si="1">SUM(E7:M7)</f>
        <v>103581</v>
      </c>
      <c r="O7" s="68">
        <f t="shared" ref="O7:O9" si="2">SUM(F7:M7)</f>
        <v>57000</v>
      </c>
      <c r="P7" s="69">
        <f t="shared" ref="P7:P9" si="3">E7</f>
        <v>46581</v>
      </c>
      <c r="Q7" s="70">
        <f>O7+P7</f>
        <v>103581</v>
      </c>
    </row>
    <row r="8" spans="3:17" ht="21" x14ac:dyDescent="0.35">
      <c r="C8" s="1"/>
      <c r="D8" s="71" t="s">
        <v>335</v>
      </c>
      <c r="E8" s="48">
        <f>'Nov 24'!$I$102</f>
        <v>72220</v>
      </c>
      <c r="F8" s="48">
        <f>'Nov 24'!$J$102</f>
        <v>12000</v>
      </c>
      <c r="G8" s="49">
        <f>'Nov 24'!$K$102</f>
        <v>9000</v>
      </c>
      <c r="H8" s="49">
        <f>'Nov 24'!$L$102</f>
        <v>13940</v>
      </c>
      <c r="I8" s="49">
        <f>'Nov 24'!$M$102</f>
        <v>19280</v>
      </c>
      <c r="J8" s="49">
        <f>'Nov 24'!$N$102</f>
        <v>0</v>
      </c>
      <c r="K8" s="49">
        <f>'Nov 24'!$O$102</f>
        <v>4500</v>
      </c>
      <c r="L8" s="49">
        <f>'Nov 24'!$P$102</f>
        <v>5955</v>
      </c>
      <c r="M8" s="49">
        <f>'Nov 24'!$Q$102</f>
        <v>0</v>
      </c>
      <c r="N8" s="72">
        <f t="shared" si="1"/>
        <v>136895</v>
      </c>
      <c r="O8" s="73">
        <f t="shared" si="2"/>
        <v>64675</v>
      </c>
      <c r="P8" s="74">
        <f t="shared" si="3"/>
        <v>72220</v>
      </c>
      <c r="Q8" s="75">
        <f t="shared" ref="Q8:Q9" si="4">SUM(O8,P8)</f>
        <v>136895</v>
      </c>
    </row>
    <row r="9" spans="3:17" ht="17.25" x14ac:dyDescent="0.3">
      <c r="C9" s="1"/>
      <c r="D9" s="6" t="s">
        <v>261</v>
      </c>
      <c r="E9" s="12">
        <f t="shared" ref="E9:M9" si="5">SUM(E6,E7-E8)</f>
        <v>177004</v>
      </c>
      <c r="F9" s="12">
        <f t="shared" si="5"/>
        <v>0</v>
      </c>
      <c r="G9" s="12">
        <f t="shared" si="5"/>
        <v>-4000</v>
      </c>
      <c r="H9" s="12">
        <f t="shared" si="5"/>
        <v>12460</v>
      </c>
      <c r="I9" s="12">
        <f t="shared" si="5"/>
        <v>34420</v>
      </c>
      <c r="J9" s="12">
        <f t="shared" si="5"/>
        <v>0</v>
      </c>
      <c r="K9" s="12">
        <f t="shared" si="5"/>
        <v>0</v>
      </c>
      <c r="L9" s="12">
        <f t="shared" si="5"/>
        <v>3045</v>
      </c>
      <c r="M9" s="12">
        <f t="shared" si="5"/>
        <v>0</v>
      </c>
      <c r="N9" s="12">
        <f>SUM(N6+N7-N8)</f>
        <v>222979</v>
      </c>
      <c r="O9" s="55">
        <f t="shared" si="2"/>
        <v>45925</v>
      </c>
      <c r="P9" s="56">
        <f t="shared" si="3"/>
        <v>177004</v>
      </c>
      <c r="Q9" s="57">
        <f t="shared" si="4"/>
        <v>222929</v>
      </c>
    </row>
    <row r="10" spans="3:17" x14ac:dyDescent="0.25">
      <c r="C10" s="1"/>
      <c r="E10" s="1"/>
      <c r="F10" s="16"/>
    </row>
    <row r="11" spans="3:17" ht="15.75" x14ac:dyDescent="0.25">
      <c r="C11" s="103" t="s">
        <v>367</v>
      </c>
      <c r="D11" s="99"/>
      <c r="E11" s="21" t="s">
        <v>368</v>
      </c>
      <c r="F11" s="45">
        <v>1799</v>
      </c>
      <c r="G11" s="46">
        <v>2699</v>
      </c>
      <c r="H11" s="46">
        <v>588</v>
      </c>
      <c r="I11" s="46">
        <v>2088</v>
      </c>
      <c r="J11" s="46">
        <v>2488</v>
      </c>
      <c r="K11" s="46">
        <v>2688</v>
      </c>
      <c r="L11" s="45">
        <v>1788</v>
      </c>
      <c r="M11" s="62" t="s">
        <v>295</v>
      </c>
      <c r="N11" s="45" t="s">
        <v>3</v>
      </c>
      <c r="O11" s="76" t="s">
        <v>369</v>
      </c>
      <c r="P11" s="76" t="s">
        <v>370</v>
      </c>
    </row>
    <row r="12" spans="3:17" x14ac:dyDescent="0.25">
      <c r="C12" s="9" t="s">
        <v>371</v>
      </c>
      <c r="D12" s="79" t="s">
        <v>372</v>
      </c>
      <c r="E12" s="9" t="s">
        <v>373</v>
      </c>
      <c r="F12" s="22"/>
      <c r="G12" s="7"/>
      <c r="H12" s="7"/>
      <c r="I12" s="7"/>
      <c r="J12" s="7"/>
      <c r="K12" s="7"/>
      <c r="L12" s="7"/>
      <c r="M12" s="7"/>
      <c r="N12" s="7">
        <f t="shared" ref="N12:N18" si="6">SUM(F12:M12)</f>
        <v>0</v>
      </c>
      <c r="O12" s="10"/>
      <c r="P12" s="10"/>
    </row>
    <row r="13" spans="3:17" x14ac:dyDescent="0.25">
      <c r="C13" s="10">
        <v>1</v>
      </c>
      <c r="D13" s="7" t="s">
        <v>374</v>
      </c>
      <c r="E13" s="78"/>
      <c r="F13" s="10"/>
      <c r="G13" s="7"/>
      <c r="H13" s="7"/>
      <c r="I13" s="7"/>
      <c r="J13" s="7"/>
      <c r="K13" s="7"/>
      <c r="L13" s="7"/>
      <c r="M13" s="7"/>
      <c r="N13" s="7">
        <f t="shared" si="6"/>
        <v>0</v>
      </c>
      <c r="O13" s="10"/>
      <c r="P13" s="10"/>
    </row>
    <row r="14" spans="3:17" x14ac:dyDescent="0.25">
      <c r="C14" s="10">
        <v>2</v>
      </c>
      <c r="D14" s="7" t="s">
        <v>376</v>
      </c>
      <c r="E14" s="78">
        <v>45610</v>
      </c>
      <c r="F14" s="22">
        <v>6000</v>
      </c>
      <c r="G14" s="7">
        <v>5000</v>
      </c>
      <c r="H14" s="7">
        <v>18000</v>
      </c>
      <c r="I14" s="7">
        <v>28000</v>
      </c>
      <c r="J14" s="7"/>
      <c r="K14" s="7"/>
      <c r="L14" s="7"/>
      <c r="M14" s="7"/>
      <c r="N14" s="7">
        <f t="shared" si="6"/>
        <v>57000</v>
      </c>
      <c r="O14" s="10"/>
      <c r="P14" s="10"/>
    </row>
    <row r="15" spans="3:17" x14ac:dyDescent="0.25">
      <c r="C15" s="10">
        <v>3</v>
      </c>
      <c r="D15" s="7" t="s">
        <v>376</v>
      </c>
      <c r="E15" s="78"/>
      <c r="F15" s="22"/>
      <c r="G15" s="7"/>
      <c r="H15" s="7"/>
      <c r="I15" s="7"/>
      <c r="J15" s="7"/>
      <c r="K15" s="7"/>
      <c r="L15" s="7"/>
      <c r="M15" s="7"/>
      <c r="N15" s="7">
        <f t="shared" si="6"/>
        <v>0</v>
      </c>
      <c r="O15" s="10"/>
      <c r="P15" s="10"/>
    </row>
    <row r="16" spans="3:17" x14ac:dyDescent="0.25">
      <c r="C16" s="10">
        <v>4</v>
      </c>
      <c r="D16" s="7" t="s">
        <v>374</v>
      </c>
      <c r="E16" s="78"/>
      <c r="F16" s="22"/>
      <c r="G16" s="7"/>
      <c r="H16" s="7"/>
      <c r="I16" s="7"/>
      <c r="J16" s="7"/>
      <c r="K16" s="7"/>
      <c r="L16" s="7"/>
      <c r="M16" s="7"/>
      <c r="N16" s="7">
        <f t="shared" si="6"/>
        <v>0</v>
      </c>
      <c r="O16" s="10"/>
      <c r="P16" s="10"/>
    </row>
    <row r="17" spans="3:26" x14ac:dyDescent="0.25">
      <c r="C17" s="10">
        <v>5</v>
      </c>
      <c r="D17" s="7" t="s">
        <v>378</v>
      </c>
      <c r="E17" s="11"/>
      <c r="F17" s="7"/>
      <c r="G17" s="7"/>
      <c r="H17" s="7"/>
      <c r="I17" s="7"/>
      <c r="J17" s="7"/>
      <c r="K17" s="7"/>
      <c r="L17" s="7"/>
      <c r="M17" s="7"/>
      <c r="N17" s="7">
        <f t="shared" si="6"/>
        <v>0</v>
      </c>
      <c r="O17" s="10"/>
      <c r="P17" s="10"/>
    </row>
    <row r="18" spans="3:26" x14ac:dyDescent="0.25">
      <c r="C18" s="104" t="s">
        <v>3</v>
      </c>
      <c r="D18" s="98"/>
      <c r="E18" s="99"/>
      <c r="F18" s="7">
        <f t="shared" ref="F18:M18" si="7">SUM(F12:F17)</f>
        <v>6000</v>
      </c>
      <c r="G18" s="7">
        <f t="shared" si="7"/>
        <v>5000</v>
      </c>
      <c r="H18" s="7">
        <f t="shared" si="7"/>
        <v>18000</v>
      </c>
      <c r="I18" s="7">
        <f t="shared" si="7"/>
        <v>28000</v>
      </c>
      <c r="J18" s="7">
        <f t="shared" si="7"/>
        <v>0</v>
      </c>
      <c r="K18" s="7">
        <f t="shared" si="7"/>
        <v>0</v>
      </c>
      <c r="L18" s="7">
        <f t="shared" si="7"/>
        <v>0</v>
      </c>
      <c r="M18" s="7">
        <f t="shared" si="7"/>
        <v>0</v>
      </c>
      <c r="N18" s="7">
        <f t="shared" si="6"/>
        <v>57000</v>
      </c>
      <c r="O18" s="10"/>
      <c r="P18" s="10"/>
    </row>
    <row r="19" spans="3:26" x14ac:dyDescent="0.25">
      <c r="C19" s="1"/>
      <c r="E19" s="1"/>
      <c r="F19" s="16"/>
    </row>
    <row r="20" spans="3:26" ht="15.75" x14ac:dyDescent="0.25">
      <c r="C20" s="9" t="s">
        <v>8</v>
      </c>
      <c r="D20" s="4" t="s">
        <v>9</v>
      </c>
      <c r="E20" s="20" t="s">
        <v>10</v>
      </c>
      <c r="F20" s="20" t="s">
        <v>11</v>
      </c>
      <c r="G20" s="4" t="s">
        <v>4</v>
      </c>
      <c r="H20" s="4" t="s">
        <v>12</v>
      </c>
      <c r="I20" s="4" t="s">
        <v>2</v>
      </c>
      <c r="J20" s="4" t="s">
        <v>13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19</v>
      </c>
      <c r="P20" s="39" t="s">
        <v>679</v>
      </c>
      <c r="Q20" s="63" t="s">
        <v>295</v>
      </c>
      <c r="R20" s="39" t="s">
        <v>598</v>
      </c>
      <c r="T20" s="101" t="s">
        <v>118</v>
      </c>
      <c r="U20" s="102"/>
      <c r="V20" s="102"/>
      <c r="W20" s="102"/>
    </row>
    <row r="21" spans="3:26" ht="15.75" customHeight="1" x14ac:dyDescent="0.25">
      <c r="C21" s="10">
        <v>1</v>
      </c>
      <c r="D21" s="11">
        <v>45598</v>
      </c>
      <c r="E21" s="10">
        <v>257</v>
      </c>
      <c r="F21" s="22" t="s">
        <v>614</v>
      </c>
      <c r="G21" s="7">
        <v>1000</v>
      </c>
      <c r="H21" s="12">
        <v>168</v>
      </c>
      <c r="I21" s="7"/>
      <c r="J21" s="7">
        <v>1000</v>
      </c>
      <c r="K21" s="7"/>
      <c r="L21" s="7"/>
      <c r="M21" s="7"/>
      <c r="N21" s="7"/>
      <c r="O21" s="7"/>
      <c r="P21" s="7"/>
      <c r="Q21" s="40"/>
      <c r="R21" s="40"/>
      <c r="T21" s="97" t="s">
        <v>172</v>
      </c>
      <c r="U21" s="98"/>
      <c r="V21" s="98"/>
      <c r="W21" s="34"/>
    </row>
    <row r="22" spans="3:26" ht="15.75" customHeight="1" x14ac:dyDescent="0.25">
      <c r="C22" s="10">
        <v>2</v>
      </c>
      <c r="D22" s="11">
        <v>45600</v>
      </c>
      <c r="E22" s="10">
        <v>258</v>
      </c>
      <c r="F22" s="22" t="s">
        <v>647</v>
      </c>
      <c r="G22" s="7">
        <v>2000</v>
      </c>
      <c r="H22" s="31">
        <v>122</v>
      </c>
      <c r="I22" s="7">
        <v>2000</v>
      </c>
      <c r="J22" s="7"/>
      <c r="K22" s="7"/>
      <c r="L22" s="7"/>
      <c r="M22" s="7"/>
      <c r="N22" s="7"/>
      <c r="O22" s="7"/>
      <c r="P22" s="7"/>
      <c r="Q22" s="7"/>
      <c r="R22" s="7"/>
      <c r="T22" s="10" t="s">
        <v>121</v>
      </c>
      <c r="U22" s="7" t="s">
        <v>9</v>
      </c>
      <c r="V22" s="7" t="s">
        <v>122</v>
      </c>
      <c r="W22" s="7" t="s">
        <v>4</v>
      </c>
      <c r="X22" s="7" t="s">
        <v>549</v>
      </c>
      <c r="Y22" s="7" t="s">
        <v>576</v>
      </c>
      <c r="Z22" s="7" t="s">
        <v>577</v>
      </c>
    </row>
    <row r="23" spans="3:26" ht="15.75" customHeight="1" x14ac:dyDescent="0.25">
      <c r="C23" s="10">
        <v>3</v>
      </c>
      <c r="D23" s="11">
        <v>45600</v>
      </c>
      <c r="E23" s="10">
        <v>259</v>
      </c>
      <c r="F23" s="22" t="s">
        <v>391</v>
      </c>
      <c r="G23" s="7">
        <v>1500</v>
      </c>
      <c r="H23" s="12">
        <v>169</v>
      </c>
      <c r="I23" s="7"/>
      <c r="J23" s="7"/>
      <c r="K23" s="7"/>
      <c r="L23" s="7">
        <v>1500</v>
      </c>
      <c r="M23" s="7"/>
      <c r="N23" s="7"/>
      <c r="O23" s="7"/>
      <c r="P23" s="7"/>
      <c r="Q23" s="7"/>
      <c r="R23" s="7"/>
      <c r="T23" s="10">
        <v>1</v>
      </c>
      <c r="U23" s="41">
        <v>45609</v>
      </c>
      <c r="V23" s="7" t="s">
        <v>645</v>
      </c>
      <c r="W23" s="7">
        <v>9400</v>
      </c>
      <c r="X23" s="76">
        <v>88</v>
      </c>
      <c r="Y23" s="10">
        <v>39</v>
      </c>
      <c r="Z23" s="7">
        <f t="shared" ref="Z23:Z30" si="8">W23*X23</f>
        <v>827200</v>
      </c>
    </row>
    <row r="24" spans="3:26" ht="15.75" customHeight="1" x14ac:dyDescent="0.25">
      <c r="C24" s="10">
        <v>4</v>
      </c>
      <c r="D24" s="11">
        <v>45600</v>
      </c>
      <c r="E24" s="10">
        <v>260</v>
      </c>
      <c r="F24" s="22" t="s">
        <v>391</v>
      </c>
      <c r="G24" s="7">
        <v>3050</v>
      </c>
      <c r="H24" s="12">
        <v>167</v>
      </c>
      <c r="I24" s="7"/>
      <c r="J24" s="7">
        <v>3050</v>
      </c>
      <c r="K24" s="7"/>
      <c r="L24" s="7"/>
      <c r="M24" s="7"/>
      <c r="N24" s="7"/>
      <c r="O24" s="7"/>
      <c r="P24" s="7"/>
      <c r="Q24" s="7"/>
      <c r="R24" s="7"/>
      <c r="T24" s="10">
        <v>2</v>
      </c>
      <c r="U24" s="41">
        <v>45612</v>
      </c>
      <c r="V24" s="7" t="s">
        <v>646</v>
      </c>
      <c r="W24" s="7">
        <v>20925</v>
      </c>
      <c r="X24" s="76">
        <v>88</v>
      </c>
      <c r="Y24" s="10">
        <v>32</v>
      </c>
      <c r="Z24" s="7">
        <f t="shared" si="8"/>
        <v>1841400</v>
      </c>
    </row>
    <row r="25" spans="3:26" ht="15.75" customHeight="1" x14ac:dyDescent="0.25">
      <c r="C25" s="10">
        <v>5</v>
      </c>
      <c r="D25" s="11">
        <v>45600</v>
      </c>
      <c r="E25" s="10">
        <v>261</v>
      </c>
      <c r="F25" s="22" t="s">
        <v>268</v>
      </c>
      <c r="G25" s="7">
        <v>600</v>
      </c>
      <c r="H25" s="12">
        <v>325</v>
      </c>
      <c r="I25" s="7">
        <v>600</v>
      </c>
      <c r="J25" s="7"/>
      <c r="K25" s="7"/>
      <c r="L25" s="7"/>
      <c r="M25" s="7"/>
      <c r="N25" s="7"/>
      <c r="O25" s="7"/>
      <c r="P25" s="7"/>
      <c r="Q25" s="7"/>
      <c r="R25" s="7"/>
      <c r="T25" s="10">
        <v>3</v>
      </c>
      <c r="U25" s="41">
        <v>45616</v>
      </c>
      <c r="V25" s="7" t="s">
        <v>680</v>
      </c>
      <c r="W25" s="7">
        <v>16256</v>
      </c>
      <c r="X25" s="76">
        <v>80</v>
      </c>
      <c r="Y25" s="10">
        <v>29</v>
      </c>
      <c r="Z25" s="7">
        <f t="shared" si="8"/>
        <v>1300480</v>
      </c>
    </row>
    <row r="26" spans="3:26" ht="15.75" customHeight="1" x14ac:dyDescent="0.25">
      <c r="C26" s="10">
        <v>6</v>
      </c>
      <c r="D26" s="11">
        <v>45600</v>
      </c>
      <c r="E26" s="10">
        <v>262</v>
      </c>
      <c r="F26" s="22" t="s">
        <v>268</v>
      </c>
      <c r="G26" s="7">
        <v>1000</v>
      </c>
      <c r="H26" s="12" t="s">
        <v>681</v>
      </c>
      <c r="I26" s="7"/>
      <c r="J26" s="7">
        <v>500</v>
      </c>
      <c r="K26" s="7"/>
      <c r="L26" s="7">
        <v>500</v>
      </c>
      <c r="M26" s="7"/>
      <c r="N26" s="7"/>
      <c r="O26" s="7"/>
      <c r="P26" s="7"/>
      <c r="Q26" s="7"/>
      <c r="R26" s="7"/>
      <c r="T26" s="10">
        <v>4</v>
      </c>
      <c r="U26" s="41"/>
      <c r="V26" s="7" t="s">
        <v>426</v>
      </c>
      <c r="W26" s="7"/>
      <c r="X26" s="76"/>
      <c r="Y26" s="10"/>
      <c r="Z26" s="7">
        <f t="shared" si="8"/>
        <v>0</v>
      </c>
    </row>
    <row r="27" spans="3:26" ht="15.75" customHeight="1" x14ac:dyDescent="0.25">
      <c r="C27" s="10">
        <v>0</v>
      </c>
      <c r="D27" s="11">
        <v>45600</v>
      </c>
      <c r="E27" s="10" t="s">
        <v>682</v>
      </c>
      <c r="F27" s="22" t="s">
        <v>120</v>
      </c>
      <c r="G27" s="7">
        <v>500</v>
      </c>
      <c r="H27" s="12">
        <v>167</v>
      </c>
      <c r="I27" s="7"/>
      <c r="J27" s="7"/>
      <c r="K27" s="7"/>
      <c r="L27" s="7"/>
      <c r="M27" s="7">
        <v>500</v>
      </c>
      <c r="N27" s="7"/>
      <c r="O27" s="7"/>
      <c r="P27" s="7"/>
      <c r="Q27" s="7"/>
      <c r="R27" s="7"/>
      <c r="T27" s="10">
        <v>5</v>
      </c>
      <c r="U27" s="41"/>
      <c r="V27" s="7" t="s">
        <v>579</v>
      </c>
      <c r="W27" s="7"/>
      <c r="X27" s="76"/>
      <c r="Y27" s="10"/>
      <c r="Z27" s="7">
        <f t="shared" si="8"/>
        <v>0</v>
      </c>
    </row>
    <row r="28" spans="3:26" ht="15.75" customHeight="1" x14ac:dyDescent="0.25">
      <c r="C28" s="10">
        <v>8</v>
      </c>
      <c r="D28" s="11">
        <v>45600</v>
      </c>
      <c r="E28" s="10" t="s">
        <v>683</v>
      </c>
      <c r="F28" s="22" t="s">
        <v>43</v>
      </c>
      <c r="G28" s="7">
        <v>6000</v>
      </c>
      <c r="H28" s="12" t="s">
        <v>684</v>
      </c>
      <c r="I28" s="7"/>
      <c r="J28" s="7"/>
      <c r="K28" s="7"/>
      <c r="L28" s="7">
        <v>2000</v>
      </c>
      <c r="M28" s="7">
        <v>4000</v>
      </c>
      <c r="N28" s="7"/>
      <c r="O28" s="7"/>
      <c r="P28" s="7"/>
      <c r="Q28" s="7"/>
      <c r="R28" s="7"/>
      <c r="T28" s="10">
        <v>6</v>
      </c>
      <c r="U28" s="41"/>
      <c r="V28" s="7" t="s">
        <v>552</v>
      </c>
      <c r="W28" s="7"/>
      <c r="X28" s="7"/>
      <c r="Y28" s="7"/>
      <c r="Z28" s="7">
        <f t="shared" si="8"/>
        <v>0</v>
      </c>
    </row>
    <row r="29" spans="3:26" ht="15.75" customHeight="1" x14ac:dyDescent="0.25">
      <c r="C29" s="10">
        <v>9</v>
      </c>
      <c r="D29" s="11">
        <v>45600</v>
      </c>
      <c r="E29" s="10" t="s">
        <v>27</v>
      </c>
      <c r="F29" s="22" t="s">
        <v>255</v>
      </c>
      <c r="G29" s="7">
        <v>1000</v>
      </c>
      <c r="H29" s="12" t="s">
        <v>685</v>
      </c>
      <c r="I29" s="7">
        <v>500</v>
      </c>
      <c r="J29" s="7">
        <v>500</v>
      </c>
      <c r="K29" s="7"/>
      <c r="L29" s="7"/>
      <c r="M29" s="7"/>
      <c r="N29" s="7"/>
      <c r="O29" s="7"/>
      <c r="P29" s="7"/>
      <c r="Q29" s="7"/>
      <c r="R29" s="7"/>
      <c r="T29" s="10">
        <v>7</v>
      </c>
      <c r="U29" s="41"/>
      <c r="V29" s="7" t="s">
        <v>552</v>
      </c>
      <c r="W29" s="7"/>
      <c r="X29" s="7"/>
      <c r="Y29" s="7"/>
      <c r="Z29" s="7">
        <f t="shared" si="8"/>
        <v>0</v>
      </c>
    </row>
    <row r="30" spans="3:26" ht="15.75" customHeight="1" x14ac:dyDescent="0.25">
      <c r="C30" s="10">
        <v>10</v>
      </c>
      <c r="D30" s="11">
        <v>45602</v>
      </c>
      <c r="E30" s="10">
        <v>265</v>
      </c>
      <c r="F30" s="22" t="s">
        <v>333</v>
      </c>
      <c r="G30" s="7">
        <v>1880</v>
      </c>
      <c r="H30" s="12">
        <v>168</v>
      </c>
      <c r="I30" s="7"/>
      <c r="J30" s="7"/>
      <c r="K30" s="7"/>
      <c r="L30" s="7"/>
      <c r="M30" s="7"/>
      <c r="N30" s="7"/>
      <c r="O30" s="7"/>
      <c r="P30" s="7">
        <v>1880</v>
      </c>
      <c r="Q30" s="7"/>
      <c r="R30" s="7"/>
      <c r="T30" s="10">
        <v>8</v>
      </c>
      <c r="U30" s="11"/>
      <c r="V30" s="7"/>
      <c r="W30" s="7"/>
      <c r="X30" s="7"/>
      <c r="Y30" s="7"/>
      <c r="Z30" s="7">
        <f t="shared" si="8"/>
        <v>0</v>
      </c>
    </row>
    <row r="31" spans="3:26" ht="15.75" customHeight="1" x14ac:dyDescent="0.25">
      <c r="C31" s="10">
        <v>11</v>
      </c>
      <c r="D31" s="11">
        <v>45602</v>
      </c>
      <c r="E31" s="10">
        <v>266</v>
      </c>
      <c r="F31" s="22" t="s">
        <v>669</v>
      </c>
      <c r="G31" s="7">
        <v>10000</v>
      </c>
      <c r="H31" s="12">
        <v>107</v>
      </c>
      <c r="I31" s="7">
        <v>10000</v>
      </c>
      <c r="J31" s="7"/>
      <c r="K31" s="7"/>
      <c r="L31" s="7"/>
      <c r="M31" s="7"/>
      <c r="N31" s="7"/>
      <c r="O31" s="7"/>
      <c r="P31" s="7"/>
      <c r="Q31" s="7"/>
      <c r="R31" s="7"/>
      <c r="T31" s="10"/>
      <c r="U31" s="7"/>
      <c r="V31" s="7"/>
      <c r="W31" s="7"/>
      <c r="X31" s="104" t="s">
        <v>581</v>
      </c>
      <c r="Y31" s="99"/>
      <c r="Z31" s="7">
        <f>SUM(Z23:Z30)</f>
        <v>3969080</v>
      </c>
    </row>
    <row r="32" spans="3:26" ht="15.75" customHeight="1" x14ac:dyDescent="0.25">
      <c r="C32" s="10">
        <v>12</v>
      </c>
      <c r="D32" s="11">
        <v>45602</v>
      </c>
      <c r="E32" s="10" t="s">
        <v>686</v>
      </c>
      <c r="F32" s="22" t="s">
        <v>687</v>
      </c>
      <c r="G32" s="7">
        <v>1500</v>
      </c>
      <c r="H32" s="12">
        <v>180</v>
      </c>
      <c r="I32" s="7"/>
      <c r="J32" s="7"/>
      <c r="K32" s="7"/>
      <c r="L32" s="7">
        <v>1500</v>
      </c>
      <c r="M32" s="7"/>
      <c r="N32" s="7"/>
      <c r="O32" s="7"/>
      <c r="P32" s="7"/>
      <c r="Q32" s="7"/>
      <c r="R32" s="7"/>
      <c r="T32" s="97" t="s">
        <v>181</v>
      </c>
      <c r="U32" s="98"/>
      <c r="V32" s="99"/>
      <c r="W32" s="7">
        <f>SUM(W23:W30)</f>
        <v>46581</v>
      </c>
      <c r="X32" s="104" t="s">
        <v>582</v>
      </c>
      <c r="Y32" s="99"/>
      <c r="Z32" s="7">
        <f>Z31/W32</f>
        <v>85.208132071016081</v>
      </c>
    </row>
    <row r="33" spans="3:23" ht="15.75" customHeight="1" x14ac:dyDescent="0.25">
      <c r="C33" s="10">
        <v>13</v>
      </c>
      <c r="D33" s="11">
        <v>45603</v>
      </c>
      <c r="E33" s="10">
        <v>267</v>
      </c>
      <c r="F33" s="22" t="s">
        <v>688</v>
      </c>
      <c r="G33" s="7">
        <v>500</v>
      </c>
      <c r="H33" s="12">
        <v>114</v>
      </c>
      <c r="I33" s="7">
        <v>500</v>
      </c>
      <c r="J33" s="7"/>
      <c r="K33" s="7"/>
      <c r="L33" s="7"/>
      <c r="M33" s="7"/>
      <c r="N33" s="7"/>
      <c r="O33" s="7"/>
      <c r="P33" s="7"/>
      <c r="Q33" s="7"/>
      <c r="R33" s="7"/>
      <c r="T33" s="97" t="s">
        <v>183</v>
      </c>
      <c r="U33" s="98"/>
      <c r="V33" s="99"/>
      <c r="W33" s="7">
        <v>205777</v>
      </c>
    </row>
    <row r="34" spans="3:23" ht="15.75" customHeight="1" x14ac:dyDescent="0.25">
      <c r="C34" s="10">
        <v>14</v>
      </c>
      <c r="D34" s="11">
        <v>45603</v>
      </c>
      <c r="E34" s="10">
        <v>268</v>
      </c>
      <c r="F34" s="22" t="s">
        <v>657</v>
      </c>
      <c r="G34" s="7">
        <v>1950</v>
      </c>
      <c r="H34" s="12" t="s">
        <v>689</v>
      </c>
      <c r="I34" s="7">
        <v>1000</v>
      </c>
      <c r="J34" s="7">
        <v>950</v>
      </c>
      <c r="K34" s="7"/>
      <c r="L34" s="7"/>
      <c r="M34" s="7"/>
      <c r="N34" s="7"/>
      <c r="O34" s="7"/>
      <c r="P34" s="7"/>
      <c r="Q34" s="7"/>
      <c r="R34" s="7"/>
      <c r="T34" s="97" t="s">
        <v>184</v>
      </c>
      <c r="U34" s="98"/>
      <c r="V34" s="99"/>
      <c r="W34" s="35">
        <f>SUM(W32,W33)</f>
        <v>252358</v>
      </c>
    </row>
    <row r="35" spans="3:23" ht="15.75" customHeight="1" x14ac:dyDescent="0.25">
      <c r="C35" s="10">
        <v>15</v>
      </c>
      <c r="D35" s="11">
        <v>45603</v>
      </c>
      <c r="E35" s="10" t="s">
        <v>690</v>
      </c>
      <c r="F35" s="22" t="s">
        <v>120</v>
      </c>
      <c r="G35" s="7">
        <v>60</v>
      </c>
      <c r="H35" s="12">
        <v>167</v>
      </c>
      <c r="I35" s="7"/>
      <c r="J35" s="7"/>
      <c r="K35" s="7"/>
      <c r="L35" s="7"/>
      <c r="M35" s="7">
        <v>60</v>
      </c>
      <c r="N35" s="7"/>
      <c r="O35" s="7"/>
      <c r="P35" s="7"/>
      <c r="Q35" s="7"/>
      <c r="R35" s="7"/>
      <c r="T35" s="97" t="s">
        <v>186</v>
      </c>
      <c r="U35" s="98"/>
      <c r="V35" s="99"/>
      <c r="W35" s="7">
        <f>'Nov 24'!$I$102</f>
        <v>72220</v>
      </c>
    </row>
    <row r="36" spans="3:23" ht="15.75" customHeight="1" x14ac:dyDescent="0.25">
      <c r="C36" s="10">
        <v>16</v>
      </c>
      <c r="D36" s="11">
        <v>45604</v>
      </c>
      <c r="E36" s="10" t="s">
        <v>691</v>
      </c>
      <c r="F36" s="22" t="s">
        <v>269</v>
      </c>
      <c r="G36" s="7">
        <v>500</v>
      </c>
      <c r="H36" s="12">
        <v>181</v>
      </c>
      <c r="I36" s="7"/>
      <c r="J36" s="7"/>
      <c r="K36" s="7"/>
      <c r="L36" s="7"/>
      <c r="M36" s="7"/>
      <c r="N36" s="7"/>
      <c r="O36" s="7">
        <v>500</v>
      </c>
      <c r="P36" s="7"/>
      <c r="Q36" s="7"/>
      <c r="R36" s="7"/>
      <c r="T36" s="97"/>
      <c r="U36" s="98"/>
      <c r="V36" s="99"/>
      <c r="W36" s="7"/>
    </row>
    <row r="37" spans="3:23" ht="15.75" customHeight="1" x14ac:dyDescent="0.25">
      <c r="C37" s="10">
        <v>17</v>
      </c>
      <c r="D37" s="11">
        <v>45604</v>
      </c>
      <c r="E37" s="10" t="s">
        <v>692</v>
      </c>
      <c r="F37" s="22" t="s">
        <v>269</v>
      </c>
      <c r="G37" s="7">
        <v>2000</v>
      </c>
      <c r="H37" s="12">
        <v>181</v>
      </c>
      <c r="I37" s="7"/>
      <c r="J37" s="7"/>
      <c r="K37" s="7"/>
      <c r="L37" s="7"/>
      <c r="M37" s="7"/>
      <c r="N37" s="7"/>
      <c r="O37" s="7">
        <v>2000</v>
      </c>
      <c r="P37" s="7"/>
      <c r="Q37" s="7"/>
      <c r="R37" s="7"/>
      <c r="T37" s="100" t="s">
        <v>188</v>
      </c>
      <c r="U37" s="98"/>
      <c r="V37" s="99"/>
      <c r="W37" s="36">
        <f>SUM(W34-W35)</f>
        <v>180138</v>
      </c>
    </row>
    <row r="38" spans="3:23" ht="15.75" customHeight="1" x14ac:dyDescent="0.25">
      <c r="C38" s="10">
        <v>18</v>
      </c>
      <c r="D38" s="11">
        <v>45604</v>
      </c>
      <c r="E38" s="10">
        <v>269</v>
      </c>
      <c r="F38" s="22" t="s">
        <v>162</v>
      </c>
      <c r="G38" s="7">
        <v>600</v>
      </c>
      <c r="H38" s="12">
        <v>113</v>
      </c>
      <c r="I38" s="7">
        <v>600</v>
      </c>
      <c r="J38" s="7"/>
      <c r="K38" s="7"/>
      <c r="L38" s="7"/>
      <c r="M38" s="7"/>
      <c r="N38" s="7"/>
      <c r="O38" s="7"/>
      <c r="P38" s="7"/>
      <c r="Q38" s="7"/>
      <c r="R38" s="7"/>
    </row>
    <row r="39" spans="3:23" ht="15.75" customHeight="1" x14ac:dyDescent="0.25">
      <c r="C39" s="10">
        <v>18</v>
      </c>
      <c r="D39" s="11">
        <v>45604</v>
      </c>
      <c r="E39" s="24">
        <v>270</v>
      </c>
      <c r="F39" s="22" t="s">
        <v>333</v>
      </c>
      <c r="G39" s="7">
        <v>2000</v>
      </c>
      <c r="H39" s="12">
        <v>115</v>
      </c>
      <c r="I39" s="7">
        <v>2000</v>
      </c>
      <c r="J39" s="7"/>
      <c r="K39" s="7"/>
      <c r="L39" s="7"/>
      <c r="M39" s="7"/>
      <c r="N39" s="7"/>
      <c r="O39" s="7"/>
      <c r="P39" s="7"/>
      <c r="Q39" s="7"/>
      <c r="R39" s="7"/>
    </row>
    <row r="40" spans="3:23" ht="15.75" customHeight="1" x14ac:dyDescent="0.25">
      <c r="C40" s="10">
        <v>19</v>
      </c>
      <c r="D40" s="11">
        <v>45604</v>
      </c>
      <c r="E40" s="10">
        <v>272</v>
      </c>
      <c r="F40" s="22" t="s">
        <v>80</v>
      </c>
      <c r="G40" s="7">
        <v>1000</v>
      </c>
      <c r="H40" s="12">
        <v>120</v>
      </c>
      <c r="I40" s="7">
        <v>1000</v>
      </c>
      <c r="J40" s="7"/>
      <c r="K40" s="7"/>
      <c r="L40" s="7"/>
      <c r="M40" s="7"/>
      <c r="N40" s="7"/>
      <c r="O40" s="7"/>
      <c r="P40" s="7"/>
      <c r="Q40" s="7"/>
      <c r="R40" s="7"/>
    </row>
    <row r="41" spans="3:23" ht="15.75" customHeight="1" x14ac:dyDescent="0.25">
      <c r="C41" s="10">
        <v>20</v>
      </c>
      <c r="D41" s="11">
        <v>45605</v>
      </c>
      <c r="E41" s="10" t="s">
        <v>693</v>
      </c>
      <c r="F41" s="22" t="s">
        <v>620</v>
      </c>
      <c r="G41" s="7">
        <v>1440</v>
      </c>
      <c r="H41" s="12">
        <v>171</v>
      </c>
      <c r="I41" s="7"/>
      <c r="J41" s="7"/>
      <c r="K41" s="7"/>
      <c r="L41" s="7">
        <v>1440</v>
      </c>
      <c r="M41" s="7"/>
      <c r="N41" s="7"/>
      <c r="O41" s="7"/>
      <c r="P41" s="7"/>
      <c r="Q41" s="7"/>
      <c r="R41" s="7"/>
    </row>
    <row r="42" spans="3:23" ht="15.75" customHeight="1" x14ac:dyDescent="0.25">
      <c r="C42" s="10">
        <v>21</v>
      </c>
      <c r="D42" s="11">
        <v>45605</v>
      </c>
      <c r="E42" s="10">
        <v>273</v>
      </c>
      <c r="F42" s="22" t="s">
        <v>157</v>
      </c>
      <c r="G42" s="7">
        <v>200</v>
      </c>
      <c r="H42" s="12">
        <v>119</v>
      </c>
      <c r="I42" s="7">
        <v>200</v>
      </c>
      <c r="J42" s="7"/>
      <c r="K42" s="7"/>
      <c r="L42" s="7"/>
      <c r="M42" s="7"/>
      <c r="N42" s="7"/>
      <c r="O42" s="7"/>
      <c r="P42" s="7"/>
      <c r="Q42" s="7"/>
      <c r="R42" s="7"/>
    </row>
    <row r="43" spans="3:23" ht="15.75" customHeight="1" x14ac:dyDescent="0.25">
      <c r="C43" s="10">
        <v>22</v>
      </c>
      <c r="D43" s="11">
        <v>45597</v>
      </c>
      <c r="E43" s="10" t="s">
        <v>27</v>
      </c>
      <c r="F43" s="22" t="s">
        <v>37</v>
      </c>
      <c r="G43" s="7">
        <v>800</v>
      </c>
      <c r="H43" s="12">
        <v>125</v>
      </c>
      <c r="I43" s="7">
        <v>800</v>
      </c>
      <c r="J43" s="7"/>
      <c r="K43" s="7"/>
      <c r="L43" s="7"/>
      <c r="M43" s="7"/>
      <c r="N43" s="7"/>
      <c r="O43" s="7"/>
      <c r="P43" s="7"/>
      <c r="Q43" s="7"/>
      <c r="R43" s="7"/>
    </row>
    <row r="44" spans="3:23" ht="15.75" customHeight="1" x14ac:dyDescent="0.25">
      <c r="C44" s="10">
        <v>23</v>
      </c>
      <c r="D44" s="11">
        <v>45607</v>
      </c>
      <c r="E44" s="10">
        <v>274</v>
      </c>
      <c r="F44" s="22" t="s">
        <v>694</v>
      </c>
      <c r="G44" s="7">
        <v>140</v>
      </c>
      <c r="H44" s="12">
        <v>168</v>
      </c>
      <c r="I44" s="7"/>
      <c r="J44" s="7"/>
      <c r="K44" s="7"/>
      <c r="L44" s="7"/>
      <c r="M44" s="7">
        <v>140</v>
      </c>
      <c r="N44" s="7"/>
      <c r="O44" s="7"/>
      <c r="P44" s="7"/>
      <c r="Q44" s="7"/>
      <c r="R44" s="7"/>
    </row>
    <row r="45" spans="3:23" ht="15.75" customHeight="1" x14ac:dyDescent="0.25">
      <c r="C45" s="10"/>
      <c r="D45" s="11">
        <v>45607</v>
      </c>
      <c r="E45" s="10" t="s">
        <v>695</v>
      </c>
      <c r="F45" s="22" t="s">
        <v>49</v>
      </c>
      <c r="G45" s="7">
        <v>2000</v>
      </c>
      <c r="H45" s="12">
        <v>169</v>
      </c>
      <c r="I45" s="7"/>
      <c r="J45" s="7"/>
      <c r="K45" s="7"/>
      <c r="L45" s="7"/>
      <c r="M45" s="7">
        <v>2000</v>
      </c>
      <c r="N45" s="7"/>
      <c r="O45" s="7"/>
      <c r="P45" s="7"/>
      <c r="Q45" s="7"/>
      <c r="R45" s="7"/>
    </row>
    <row r="46" spans="3:23" ht="15.75" customHeight="1" x14ac:dyDescent="0.25">
      <c r="C46" s="10">
        <v>24</v>
      </c>
      <c r="D46" s="11">
        <v>45607</v>
      </c>
      <c r="E46" s="10" t="s">
        <v>696</v>
      </c>
      <c r="F46" s="22" t="s">
        <v>697</v>
      </c>
      <c r="G46" s="7">
        <v>500</v>
      </c>
      <c r="H46" s="12">
        <v>165</v>
      </c>
      <c r="I46" s="7"/>
      <c r="J46" s="7"/>
      <c r="K46" s="7"/>
      <c r="L46" s="7"/>
      <c r="M46" s="7">
        <v>500</v>
      </c>
      <c r="N46" s="7"/>
      <c r="O46" s="7"/>
      <c r="P46" s="7"/>
      <c r="Q46" s="7"/>
      <c r="R46" s="7"/>
    </row>
    <row r="47" spans="3:23" ht="15.75" customHeight="1" x14ac:dyDescent="0.25">
      <c r="C47" s="10">
        <v>26</v>
      </c>
      <c r="D47" s="11">
        <v>45608</v>
      </c>
      <c r="E47" s="10">
        <v>275</v>
      </c>
      <c r="F47" s="22" t="s">
        <v>669</v>
      </c>
      <c r="G47" s="7">
        <v>10000</v>
      </c>
      <c r="H47" s="12">
        <v>107</v>
      </c>
      <c r="I47" s="7">
        <v>10000</v>
      </c>
      <c r="J47" s="7"/>
      <c r="K47" s="7"/>
      <c r="L47" s="7"/>
      <c r="M47" s="7"/>
      <c r="N47" s="7"/>
      <c r="O47" s="7"/>
      <c r="P47" s="7"/>
      <c r="Q47" s="7"/>
      <c r="R47" s="7"/>
    </row>
    <row r="48" spans="3:23" ht="15.75" customHeight="1" x14ac:dyDescent="0.25">
      <c r="C48" s="10">
        <v>27</v>
      </c>
      <c r="D48" s="11">
        <v>45608</v>
      </c>
      <c r="E48" s="10" t="s">
        <v>698</v>
      </c>
      <c r="F48" s="22" t="s">
        <v>269</v>
      </c>
      <c r="G48" s="7">
        <v>500</v>
      </c>
      <c r="H48" s="12">
        <v>181</v>
      </c>
      <c r="I48" s="7"/>
      <c r="J48" s="7"/>
      <c r="K48" s="7"/>
      <c r="L48" s="7"/>
      <c r="M48" s="7"/>
      <c r="N48" s="7"/>
      <c r="O48" s="7">
        <v>500</v>
      </c>
      <c r="P48" s="7"/>
      <c r="Q48" s="7"/>
      <c r="R48" s="7"/>
      <c r="S48" s="1"/>
    </row>
    <row r="49" spans="3:19" ht="15.75" customHeight="1" x14ac:dyDescent="0.25">
      <c r="C49" s="10">
        <v>28</v>
      </c>
      <c r="D49" s="11">
        <v>45609</v>
      </c>
      <c r="E49" s="10" t="s">
        <v>699</v>
      </c>
      <c r="F49" s="22" t="s">
        <v>269</v>
      </c>
      <c r="G49" s="7">
        <v>1000</v>
      </c>
      <c r="H49" s="12">
        <v>171</v>
      </c>
      <c r="I49" s="7"/>
      <c r="J49" s="7"/>
      <c r="K49" s="7"/>
      <c r="L49" s="7"/>
      <c r="M49" s="7"/>
      <c r="N49" s="7"/>
      <c r="O49" s="7"/>
      <c r="P49" s="7">
        <v>1000</v>
      </c>
      <c r="Q49" s="7"/>
      <c r="R49" s="7"/>
      <c r="S49" s="1"/>
    </row>
    <row r="50" spans="3:19" ht="15.75" customHeight="1" x14ac:dyDescent="0.25">
      <c r="C50" s="10">
        <v>29</v>
      </c>
      <c r="D50" s="11">
        <v>45609</v>
      </c>
      <c r="E50" s="10">
        <v>277</v>
      </c>
      <c r="F50" s="22" t="s">
        <v>44</v>
      </c>
      <c r="G50" s="7">
        <v>3500</v>
      </c>
      <c r="H50" s="12" t="s">
        <v>700</v>
      </c>
      <c r="I50" s="7"/>
      <c r="J50" s="7"/>
      <c r="K50" s="7"/>
      <c r="L50" s="7"/>
      <c r="M50" s="7"/>
      <c r="N50" s="7"/>
      <c r="O50" s="7">
        <v>1500</v>
      </c>
      <c r="P50" s="7">
        <v>2000</v>
      </c>
      <c r="Q50" s="7"/>
      <c r="R50" s="7"/>
      <c r="S50" s="1"/>
    </row>
    <row r="51" spans="3:19" ht="15.75" customHeight="1" x14ac:dyDescent="0.25">
      <c r="C51" s="10">
        <v>30</v>
      </c>
      <c r="D51" s="11">
        <v>45609</v>
      </c>
      <c r="E51" s="10">
        <v>278</v>
      </c>
      <c r="F51" s="22" t="s">
        <v>614</v>
      </c>
      <c r="G51" s="7">
        <v>580</v>
      </c>
      <c r="H51" s="12">
        <v>169</v>
      </c>
      <c r="I51" s="7"/>
      <c r="J51" s="7"/>
      <c r="K51" s="7"/>
      <c r="L51" s="7"/>
      <c r="M51" s="7">
        <v>580</v>
      </c>
      <c r="N51" s="7"/>
      <c r="O51" s="7"/>
      <c r="P51" s="7"/>
      <c r="Q51" s="7"/>
      <c r="R51" s="7"/>
      <c r="S51" s="1"/>
    </row>
    <row r="52" spans="3:19" ht="15.75" customHeight="1" x14ac:dyDescent="0.25">
      <c r="C52" s="10">
        <v>32</v>
      </c>
      <c r="D52" s="11">
        <v>45610</v>
      </c>
      <c r="E52" s="10" t="s">
        <v>701</v>
      </c>
      <c r="F52" s="22" t="s">
        <v>48</v>
      </c>
      <c r="G52" s="7">
        <v>2000</v>
      </c>
      <c r="H52" s="12">
        <v>168</v>
      </c>
      <c r="I52" s="7"/>
      <c r="J52" s="7">
        <v>2000</v>
      </c>
      <c r="K52" s="7"/>
      <c r="L52" s="7"/>
      <c r="M52" s="7"/>
      <c r="N52" s="7"/>
      <c r="O52" s="7"/>
      <c r="P52" s="7"/>
      <c r="Q52" s="7"/>
      <c r="R52" s="7"/>
      <c r="S52" s="1"/>
    </row>
    <row r="53" spans="3:19" ht="15.75" customHeight="1" x14ac:dyDescent="0.25">
      <c r="C53" s="10">
        <v>33</v>
      </c>
      <c r="D53" s="11">
        <v>45611</v>
      </c>
      <c r="E53" s="10">
        <v>279</v>
      </c>
      <c r="F53" s="22" t="s">
        <v>162</v>
      </c>
      <c r="G53" s="7">
        <v>2000</v>
      </c>
      <c r="H53" s="12">
        <v>113</v>
      </c>
      <c r="I53" s="7">
        <v>2000</v>
      </c>
      <c r="J53" s="7"/>
      <c r="K53" s="7"/>
      <c r="L53" s="7"/>
      <c r="M53" s="7"/>
      <c r="N53" s="7"/>
      <c r="O53" s="7"/>
      <c r="P53" s="7"/>
      <c r="Q53" s="7"/>
      <c r="R53" s="7"/>
      <c r="S53" s="1"/>
    </row>
    <row r="54" spans="3:19" ht="15.75" customHeight="1" x14ac:dyDescent="0.25">
      <c r="C54" s="10">
        <v>34</v>
      </c>
      <c r="D54" s="11">
        <v>45611</v>
      </c>
      <c r="E54" s="10">
        <v>280</v>
      </c>
      <c r="F54" s="22" t="s">
        <v>702</v>
      </c>
      <c r="G54" s="7">
        <v>120</v>
      </c>
      <c r="H54" s="12">
        <v>114</v>
      </c>
      <c r="I54" s="7">
        <v>120</v>
      </c>
      <c r="J54" s="7"/>
      <c r="K54" s="7"/>
      <c r="L54" s="7"/>
      <c r="M54" s="7"/>
      <c r="N54" s="7"/>
      <c r="O54" s="7"/>
      <c r="P54" s="7"/>
      <c r="Q54" s="7"/>
      <c r="R54" s="7"/>
      <c r="S54" s="1"/>
    </row>
    <row r="55" spans="3:19" ht="15.75" customHeight="1" x14ac:dyDescent="0.25">
      <c r="C55" s="10">
        <v>35</v>
      </c>
      <c r="D55" s="11">
        <v>45612</v>
      </c>
      <c r="E55" s="10" t="s">
        <v>703</v>
      </c>
      <c r="F55" s="22" t="s">
        <v>614</v>
      </c>
      <c r="G55" s="7">
        <v>4000</v>
      </c>
      <c r="H55" s="12">
        <v>168</v>
      </c>
      <c r="I55" s="7"/>
      <c r="J55" s="7"/>
      <c r="K55" s="7"/>
      <c r="L55" s="7"/>
      <c r="M55" s="7">
        <v>4000</v>
      </c>
      <c r="N55" s="7"/>
      <c r="O55" s="7"/>
      <c r="P55" s="7"/>
      <c r="Q55" s="7"/>
      <c r="R55" s="7"/>
      <c r="S55" s="1"/>
    </row>
    <row r="56" spans="3:19" ht="15.75" customHeight="1" x14ac:dyDescent="0.25">
      <c r="C56" s="10">
        <v>36</v>
      </c>
      <c r="D56" s="11">
        <v>45612</v>
      </c>
      <c r="E56" s="10" t="s">
        <v>704</v>
      </c>
      <c r="F56" s="22" t="s">
        <v>620</v>
      </c>
      <c r="G56" s="7">
        <v>3000</v>
      </c>
      <c r="H56" s="12" t="s">
        <v>705</v>
      </c>
      <c r="I56" s="7"/>
      <c r="J56" s="7">
        <v>1000</v>
      </c>
      <c r="K56" s="7"/>
      <c r="L56" s="7">
        <v>2000</v>
      </c>
      <c r="M56" s="7"/>
      <c r="N56" s="7"/>
      <c r="O56" s="7"/>
      <c r="P56" s="7"/>
      <c r="Q56" s="7"/>
      <c r="R56" s="7"/>
      <c r="S56" s="1"/>
    </row>
    <row r="57" spans="3:19" ht="15.75" customHeight="1" x14ac:dyDescent="0.25">
      <c r="C57" s="10">
        <v>37</v>
      </c>
      <c r="D57" s="11">
        <v>45612</v>
      </c>
      <c r="E57" s="10">
        <v>282</v>
      </c>
      <c r="F57" s="22" t="s">
        <v>391</v>
      </c>
      <c r="G57" s="7">
        <v>10000</v>
      </c>
      <c r="H57" s="12" t="s">
        <v>706</v>
      </c>
      <c r="I57" s="7">
        <v>6000</v>
      </c>
      <c r="J57" s="7"/>
      <c r="K57" s="7">
        <v>4000</v>
      </c>
      <c r="L57" s="7"/>
      <c r="M57" s="7"/>
      <c r="N57" s="7"/>
      <c r="O57" s="7"/>
      <c r="P57" s="7"/>
      <c r="Q57" s="7"/>
      <c r="R57" s="7"/>
      <c r="S57" s="1"/>
    </row>
    <row r="58" spans="3:19" ht="15.75" customHeight="1" x14ac:dyDescent="0.25">
      <c r="C58" s="10">
        <v>38</v>
      </c>
      <c r="D58" s="11">
        <v>45612</v>
      </c>
      <c r="E58" s="10">
        <v>283</v>
      </c>
      <c r="F58" s="22" t="s">
        <v>52</v>
      </c>
      <c r="G58" s="7">
        <v>10000</v>
      </c>
      <c r="H58" s="12" t="s">
        <v>707</v>
      </c>
      <c r="I58" s="7">
        <v>10000</v>
      </c>
      <c r="J58" s="7"/>
      <c r="K58" s="7"/>
      <c r="L58" s="7"/>
      <c r="M58" s="7"/>
      <c r="N58" s="7"/>
      <c r="O58" s="7"/>
      <c r="P58" s="7"/>
      <c r="Q58" s="7"/>
      <c r="R58" s="7"/>
      <c r="S58" s="1"/>
    </row>
    <row r="59" spans="3:19" ht="15.75" customHeight="1" x14ac:dyDescent="0.25">
      <c r="C59" s="10">
        <v>41</v>
      </c>
      <c r="D59" s="11">
        <v>45612</v>
      </c>
      <c r="E59" s="10" t="s">
        <v>708</v>
      </c>
      <c r="F59" s="22" t="s">
        <v>709</v>
      </c>
      <c r="G59" s="7">
        <v>1200</v>
      </c>
      <c r="H59" s="31">
        <v>181</v>
      </c>
      <c r="I59" s="7"/>
      <c r="J59" s="7"/>
      <c r="K59" s="7"/>
      <c r="L59" s="7">
        <v>1200</v>
      </c>
      <c r="M59" s="7"/>
      <c r="N59" s="7"/>
      <c r="O59" s="7"/>
      <c r="P59" s="7"/>
      <c r="Q59" s="7"/>
      <c r="R59" s="7"/>
      <c r="S59" s="1"/>
    </row>
    <row r="60" spans="3:19" ht="15.75" customHeight="1" x14ac:dyDescent="0.25">
      <c r="C60" s="10">
        <v>39</v>
      </c>
      <c r="D60" s="11">
        <v>45614</v>
      </c>
      <c r="E60" s="10">
        <v>284</v>
      </c>
      <c r="F60" s="22" t="s">
        <v>669</v>
      </c>
      <c r="G60" s="7">
        <v>10000</v>
      </c>
      <c r="H60" s="12">
        <v>107</v>
      </c>
      <c r="I60" s="7">
        <v>10000</v>
      </c>
      <c r="J60" s="7"/>
      <c r="K60" s="7"/>
      <c r="L60" s="7"/>
      <c r="M60" s="7"/>
      <c r="N60" s="7"/>
      <c r="O60" s="7"/>
      <c r="P60" s="7"/>
      <c r="Q60" s="7"/>
      <c r="R60" s="7"/>
      <c r="S60" s="1"/>
    </row>
    <row r="61" spans="3:19" ht="15.75" customHeight="1" x14ac:dyDescent="0.25">
      <c r="C61" s="10">
        <v>42</v>
      </c>
      <c r="D61" s="11">
        <v>45614</v>
      </c>
      <c r="E61" s="10">
        <v>285</v>
      </c>
      <c r="F61" s="22" t="s">
        <v>504</v>
      </c>
      <c r="G61" s="7">
        <v>120</v>
      </c>
      <c r="H61" s="12">
        <v>115</v>
      </c>
      <c r="I61" s="7">
        <v>120</v>
      </c>
      <c r="J61" s="7"/>
      <c r="K61" s="7"/>
      <c r="L61" s="7"/>
      <c r="M61" s="7"/>
      <c r="N61" s="7"/>
      <c r="O61" s="7"/>
      <c r="P61" s="7"/>
      <c r="Q61" s="7"/>
      <c r="R61" s="7"/>
      <c r="S61" s="1"/>
    </row>
    <row r="62" spans="3:19" ht="15.75" customHeight="1" x14ac:dyDescent="0.25">
      <c r="C62" s="10">
        <v>40</v>
      </c>
      <c r="D62" s="11">
        <v>45614</v>
      </c>
      <c r="E62" s="10" t="s">
        <v>710</v>
      </c>
      <c r="F62" s="22" t="s">
        <v>248</v>
      </c>
      <c r="G62" s="7">
        <v>1000</v>
      </c>
      <c r="H62" s="12">
        <v>176</v>
      </c>
      <c r="I62" s="7"/>
      <c r="J62" s="7"/>
      <c r="K62" s="7">
        <v>1000</v>
      </c>
      <c r="L62" s="7"/>
      <c r="M62" s="7"/>
      <c r="N62" s="7"/>
      <c r="O62" s="7"/>
      <c r="P62" s="7"/>
      <c r="Q62" s="7"/>
      <c r="R62" s="7"/>
      <c r="S62" s="1"/>
    </row>
    <row r="63" spans="3:19" ht="15.75" customHeight="1" x14ac:dyDescent="0.25">
      <c r="C63" s="10">
        <v>43</v>
      </c>
      <c r="D63" s="11">
        <v>45614</v>
      </c>
      <c r="E63" s="10" t="s">
        <v>711</v>
      </c>
      <c r="F63" s="22" t="s">
        <v>120</v>
      </c>
      <c r="G63" s="7">
        <v>2000</v>
      </c>
      <c r="H63" s="12">
        <v>171</v>
      </c>
      <c r="I63" s="7"/>
      <c r="J63" s="7"/>
      <c r="K63" s="7"/>
      <c r="L63" s="7"/>
      <c r="M63" s="7">
        <v>2000</v>
      </c>
      <c r="N63" s="7"/>
      <c r="O63" s="7"/>
      <c r="P63" s="7"/>
      <c r="Q63" s="7"/>
      <c r="R63" s="7"/>
      <c r="S63" s="1"/>
    </row>
    <row r="64" spans="3:19" ht="15.75" customHeight="1" x14ac:dyDescent="0.25">
      <c r="C64" s="10">
        <v>44</v>
      </c>
      <c r="D64" s="11">
        <v>45617</v>
      </c>
      <c r="E64" s="10">
        <v>286</v>
      </c>
      <c r="F64" s="22" t="s">
        <v>669</v>
      </c>
      <c r="G64" s="7">
        <v>20</v>
      </c>
      <c r="H64" s="12">
        <v>300</v>
      </c>
      <c r="I64" s="7">
        <v>20</v>
      </c>
      <c r="J64" s="7"/>
      <c r="K64" s="7"/>
      <c r="L64" s="7"/>
      <c r="M64" s="7"/>
      <c r="N64" s="7"/>
      <c r="O64" s="7"/>
      <c r="P64" s="7"/>
      <c r="Q64" s="7"/>
      <c r="R64" s="7"/>
      <c r="S64" s="1"/>
    </row>
    <row r="65" spans="3:19" ht="15.75" customHeight="1" x14ac:dyDescent="0.25">
      <c r="C65" s="10">
        <v>45</v>
      </c>
      <c r="D65" s="11">
        <v>45617</v>
      </c>
      <c r="E65" s="10">
        <v>287</v>
      </c>
      <c r="F65" s="22" t="s">
        <v>317</v>
      </c>
      <c r="G65" s="7">
        <v>235</v>
      </c>
      <c r="H65" s="12" t="s">
        <v>712</v>
      </c>
      <c r="I65" s="7">
        <v>160</v>
      </c>
      <c r="J65" s="7"/>
      <c r="K65" s="7"/>
      <c r="L65" s="7"/>
      <c r="M65" s="7"/>
      <c r="N65" s="7"/>
      <c r="O65" s="7"/>
      <c r="P65" s="7">
        <v>75</v>
      </c>
      <c r="Q65" s="7"/>
      <c r="R65" s="7"/>
      <c r="S65" s="1"/>
    </row>
    <row r="66" spans="3:19" ht="15.75" customHeight="1" x14ac:dyDescent="0.25">
      <c r="C66" s="10">
        <v>46</v>
      </c>
      <c r="D66" s="11">
        <v>45617</v>
      </c>
      <c r="E66" s="10" t="s">
        <v>713</v>
      </c>
      <c r="F66" s="22" t="s">
        <v>80</v>
      </c>
      <c r="G66" s="7">
        <v>3000</v>
      </c>
      <c r="H66" s="12">
        <v>171</v>
      </c>
      <c r="I66" s="7"/>
      <c r="J66" s="7">
        <v>3000</v>
      </c>
      <c r="K66" s="7"/>
      <c r="L66" s="7"/>
      <c r="M66" s="7"/>
      <c r="N66" s="7"/>
      <c r="O66" s="7"/>
      <c r="P66" s="7"/>
      <c r="Q66" s="7"/>
      <c r="R66" s="7"/>
      <c r="S66" s="1"/>
    </row>
    <row r="67" spans="3:19" ht="15.75" customHeight="1" x14ac:dyDescent="0.25">
      <c r="C67" s="10">
        <v>47</v>
      </c>
      <c r="D67" s="11">
        <v>45619</v>
      </c>
      <c r="E67" s="10">
        <v>288</v>
      </c>
      <c r="F67" s="22" t="s">
        <v>614</v>
      </c>
      <c r="G67" s="7">
        <v>4000</v>
      </c>
      <c r="H67" s="12">
        <v>169</v>
      </c>
      <c r="I67" s="7"/>
      <c r="J67" s="7"/>
      <c r="K67" s="7">
        <v>4000</v>
      </c>
      <c r="L67" s="7"/>
      <c r="M67" s="7"/>
      <c r="N67" s="7"/>
      <c r="O67" s="7"/>
      <c r="P67" s="7"/>
      <c r="Q67" s="7"/>
      <c r="R67" s="7"/>
      <c r="S67" s="1"/>
    </row>
    <row r="68" spans="3:19" ht="15.75" customHeight="1" x14ac:dyDescent="0.25">
      <c r="C68" s="10">
        <v>48</v>
      </c>
      <c r="D68" s="11">
        <v>45619</v>
      </c>
      <c r="E68" s="10">
        <v>289</v>
      </c>
      <c r="F68" s="22" t="s">
        <v>669</v>
      </c>
      <c r="G68" s="7">
        <v>10000</v>
      </c>
      <c r="H68" s="12">
        <v>107</v>
      </c>
      <c r="I68" s="7">
        <v>10000</v>
      </c>
      <c r="J68" s="7"/>
      <c r="K68" s="7"/>
      <c r="L68" s="7"/>
      <c r="M68" s="7"/>
      <c r="N68" s="7"/>
      <c r="O68" s="7"/>
      <c r="P68" s="7"/>
      <c r="Q68" s="7"/>
      <c r="R68" s="7"/>
      <c r="S68" s="1"/>
    </row>
    <row r="69" spans="3:19" ht="15.75" customHeight="1" x14ac:dyDescent="0.25">
      <c r="C69" s="10">
        <v>49</v>
      </c>
      <c r="D69" s="11">
        <v>45621</v>
      </c>
      <c r="E69" s="10" t="s">
        <v>714</v>
      </c>
      <c r="F69" s="22" t="s">
        <v>656</v>
      </c>
      <c r="G69" s="7">
        <v>1500</v>
      </c>
      <c r="H69" s="12">
        <v>169</v>
      </c>
      <c r="I69" s="7"/>
      <c r="J69" s="7"/>
      <c r="K69" s="7"/>
      <c r="L69" s="7"/>
      <c r="M69" s="7">
        <v>1500</v>
      </c>
      <c r="N69" s="7"/>
      <c r="O69" s="7"/>
      <c r="P69" s="7"/>
      <c r="Q69" s="7"/>
      <c r="R69" s="7"/>
      <c r="S69" s="1"/>
    </row>
    <row r="70" spans="3:19" ht="15.75" customHeight="1" x14ac:dyDescent="0.25">
      <c r="C70" s="10">
        <v>50</v>
      </c>
      <c r="D70" s="11">
        <v>45621</v>
      </c>
      <c r="E70" s="10" t="s">
        <v>27</v>
      </c>
      <c r="F70" s="22" t="s">
        <v>542</v>
      </c>
      <c r="G70" s="7">
        <v>1000</v>
      </c>
      <c r="H70" s="12">
        <v>180</v>
      </c>
      <c r="I70" s="7"/>
      <c r="J70" s="7"/>
      <c r="K70" s="7"/>
      <c r="L70" s="7"/>
      <c r="M70" s="7"/>
      <c r="N70" s="7"/>
      <c r="O70" s="7"/>
      <c r="P70" s="7">
        <v>1000</v>
      </c>
      <c r="Q70" s="7"/>
      <c r="R70" s="7"/>
      <c r="S70" s="1"/>
    </row>
    <row r="71" spans="3:19" ht="15.75" customHeight="1" x14ac:dyDescent="0.25">
      <c r="C71" s="10">
        <v>51</v>
      </c>
      <c r="D71" s="11">
        <v>45622</v>
      </c>
      <c r="E71" s="10">
        <v>292</v>
      </c>
      <c r="F71" s="22" t="s">
        <v>614</v>
      </c>
      <c r="G71" s="7">
        <v>4000</v>
      </c>
      <c r="H71" s="12">
        <v>170</v>
      </c>
      <c r="I71" s="7"/>
      <c r="J71" s="7"/>
      <c r="K71" s="7"/>
      <c r="L71" s="7"/>
      <c r="M71" s="7">
        <v>4000</v>
      </c>
      <c r="N71" s="7"/>
      <c r="O71" s="7"/>
      <c r="P71" s="7"/>
      <c r="Q71" s="7"/>
      <c r="R71" s="7"/>
      <c r="S71" s="1"/>
    </row>
    <row r="72" spans="3:19" ht="15.75" customHeight="1" x14ac:dyDescent="0.25">
      <c r="C72" s="10">
        <v>52</v>
      </c>
      <c r="D72" s="11">
        <v>45623</v>
      </c>
      <c r="E72" s="10">
        <v>293</v>
      </c>
      <c r="F72" s="22" t="s">
        <v>157</v>
      </c>
      <c r="G72" s="7">
        <v>200</v>
      </c>
      <c r="H72" s="31">
        <v>118</v>
      </c>
      <c r="I72" s="7">
        <v>200</v>
      </c>
      <c r="J72" s="7"/>
      <c r="K72" s="7"/>
      <c r="L72" s="7"/>
      <c r="M72" s="7"/>
      <c r="N72" s="7"/>
      <c r="O72" s="7"/>
      <c r="P72" s="7"/>
      <c r="Q72" s="7"/>
      <c r="R72" s="7"/>
      <c r="S72" s="1"/>
    </row>
    <row r="73" spans="3:19" ht="15.75" customHeight="1" x14ac:dyDescent="0.25">
      <c r="C73" s="10">
        <v>53</v>
      </c>
      <c r="D73" s="11">
        <v>45623</v>
      </c>
      <c r="E73" s="10">
        <v>294</v>
      </c>
      <c r="F73" s="22" t="s">
        <v>333</v>
      </c>
      <c r="G73" s="7">
        <v>2000</v>
      </c>
      <c r="H73" s="12">
        <v>173.5</v>
      </c>
      <c r="I73" s="7"/>
      <c r="J73" s="7"/>
      <c r="K73" s="7"/>
      <c r="L73" s="7">
        <v>2000</v>
      </c>
      <c r="M73" s="7"/>
      <c r="N73" s="7"/>
      <c r="O73" s="7"/>
      <c r="P73" s="7"/>
      <c r="Q73" s="7"/>
      <c r="R73" s="7"/>
      <c r="S73" s="1"/>
    </row>
    <row r="74" spans="3:19" ht="15.75" customHeight="1" x14ac:dyDescent="0.25">
      <c r="C74" s="10">
        <v>54</v>
      </c>
      <c r="D74" s="11">
        <v>45623</v>
      </c>
      <c r="E74" s="10">
        <v>295</v>
      </c>
      <c r="F74" s="22" t="s">
        <v>657</v>
      </c>
      <c r="G74" s="7">
        <v>1000</v>
      </c>
      <c r="H74" s="12">
        <v>113</v>
      </c>
      <c r="I74" s="7">
        <v>1000</v>
      </c>
      <c r="J74" s="7"/>
      <c r="K74" s="7"/>
      <c r="L74" s="7"/>
      <c r="M74" s="7"/>
      <c r="N74" s="7"/>
      <c r="O74" s="7"/>
      <c r="P74" s="7"/>
      <c r="Q74" s="7"/>
      <c r="R74" s="7"/>
      <c r="S74" s="1"/>
    </row>
    <row r="75" spans="3:19" ht="15.75" customHeight="1" x14ac:dyDescent="0.25">
      <c r="C75" s="10">
        <v>55</v>
      </c>
      <c r="D75" s="11">
        <v>45624</v>
      </c>
      <c r="E75" s="10">
        <v>296</v>
      </c>
      <c r="F75" s="22" t="s">
        <v>614</v>
      </c>
      <c r="G75" s="7">
        <v>300</v>
      </c>
      <c r="H75" s="12">
        <v>173</v>
      </c>
      <c r="I75" s="7"/>
      <c r="J75" s="7"/>
      <c r="K75" s="7"/>
      <c r="L75" s="7">
        <v>300</v>
      </c>
      <c r="M75" s="7"/>
      <c r="N75" s="7"/>
      <c r="O75" s="7"/>
      <c r="P75" s="7"/>
      <c r="Q75" s="7"/>
      <c r="R75" s="7"/>
      <c r="S75" s="1"/>
    </row>
    <row r="76" spans="3:19" ht="15.75" customHeight="1" x14ac:dyDescent="0.25">
      <c r="C76" s="10">
        <v>56</v>
      </c>
      <c r="D76" s="11">
        <v>45624</v>
      </c>
      <c r="E76" s="10">
        <v>297</v>
      </c>
      <c r="F76" s="22" t="s">
        <v>631</v>
      </c>
      <c r="G76" s="7">
        <v>400</v>
      </c>
      <c r="H76" s="12">
        <v>114</v>
      </c>
      <c r="I76" s="7">
        <v>400</v>
      </c>
      <c r="J76" s="7"/>
      <c r="K76" s="7"/>
      <c r="L76" s="7"/>
      <c r="M76" s="7"/>
      <c r="N76" s="7"/>
      <c r="O76" s="7"/>
      <c r="P76" s="7"/>
      <c r="Q76" s="7"/>
      <c r="R76" s="7"/>
      <c r="S76" s="1"/>
    </row>
    <row r="77" spans="3:19" ht="15.75" customHeight="1" x14ac:dyDescent="0.25">
      <c r="C77" s="10">
        <v>57</v>
      </c>
      <c r="D77" s="11">
        <v>45624</v>
      </c>
      <c r="E77" s="10">
        <v>298</v>
      </c>
      <c r="F77" s="22" t="s">
        <v>504</v>
      </c>
      <c r="G77" s="7">
        <v>3000</v>
      </c>
      <c r="H77" s="12">
        <v>117</v>
      </c>
      <c r="I77" s="7">
        <v>3000</v>
      </c>
      <c r="J77" s="7"/>
      <c r="K77" s="7"/>
      <c r="L77" s="7"/>
      <c r="M77" s="7"/>
      <c r="N77" s="7"/>
      <c r="O77" s="7"/>
      <c r="P77" s="7"/>
      <c r="Q77" s="7"/>
      <c r="R77" s="7"/>
      <c r="S77" s="1"/>
    </row>
    <row r="78" spans="3:19" ht="15.75" customHeight="1" x14ac:dyDescent="0.25">
      <c r="C78" s="10">
        <v>58</v>
      </c>
      <c r="D78" s="11">
        <v>45626</v>
      </c>
      <c r="E78" s="10">
        <v>299</v>
      </c>
      <c r="F78" s="22" t="s">
        <v>333</v>
      </c>
      <c r="G78" s="7">
        <v>1500</v>
      </c>
      <c r="H78" s="12">
        <v>171</v>
      </c>
      <c r="I78" s="7"/>
      <c r="J78" s="7"/>
      <c r="K78" s="7"/>
      <c r="L78" s="7">
        <v>1500</v>
      </c>
      <c r="M78" s="7"/>
      <c r="N78" s="7"/>
      <c r="O78" s="7"/>
      <c r="P78" s="7"/>
      <c r="Q78" s="7"/>
      <c r="R78" s="7"/>
      <c r="S78" s="1"/>
    </row>
    <row r="79" spans="3:19" ht="15.75" customHeight="1" x14ac:dyDescent="0.25">
      <c r="C79" s="10">
        <v>59</v>
      </c>
      <c r="D79" s="11"/>
      <c r="E79" s="10"/>
      <c r="F79" s="22" t="s">
        <v>80</v>
      </c>
      <c r="G79" s="7"/>
      <c r="H79" s="12"/>
      <c r="I79" s="7"/>
      <c r="J79" s="7"/>
      <c r="K79" s="7"/>
      <c r="L79" s="7"/>
      <c r="M79" s="7"/>
      <c r="N79" s="7"/>
      <c r="O79" s="7"/>
      <c r="P79" s="7"/>
      <c r="Q79" s="7"/>
      <c r="R79" s="7"/>
      <c r="S79" s="1"/>
    </row>
    <row r="80" spans="3:19" ht="15.75" customHeight="1" x14ac:dyDescent="0.25">
      <c r="C80" s="10">
        <v>60</v>
      </c>
      <c r="D80" s="11"/>
      <c r="E80" s="10"/>
      <c r="F80" s="22" t="s">
        <v>269</v>
      </c>
      <c r="G80" s="7"/>
      <c r="H80" s="12"/>
      <c r="I80" s="7"/>
      <c r="J80" s="7"/>
      <c r="K80" s="7"/>
      <c r="L80" s="7"/>
      <c r="M80" s="7"/>
      <c r="N80" s="7"/>
      <c r="O80" s="7"/>
      <c r="P80" s="7"/>
      <c r="Q80" s="7"/>
      <c r="R80" s="7"/>
      <c r="S80" s="1"/>
    </row>
    <row r="81" spans="3:19" ht="15.75" customHeight="1" x14ac:dyDescent="0.25">
      <c r="C81" s="10">
        <v>61</v>
      </c>
      <c r="D81" s="11"/>
      <c r="E81" s="10"/>
      <c r="F81" s="22" t="s">
        <v>90</v>
      </c>
      <c r="G81" s="7"/>
      <c r="H81" s="12"/>
      <c r="I81" s="7"/>
      <c r="J81" s="7"/>
      <c r="K81" s="7"/>
      <c r="L81" s="7"/>
      <c r="M81" s="7"/>
      <c r="N81" s="7"/>
      <c r="O81" s="7"/>
      <c r="P81" s="7"/>
      <c r="Q81" s="7"/>
      <c r="R81" s="7"/>
      <c r="S81" s="1"/>
    </row>
    <row r="82" spans="3:19" ht="15.75" customHeight="1" x14ac:dyDescent="0.25">
      <c r="C82" s="10">
        <v>62</v>
      </c>
      <c r="D82" s="11"/>
      <c r="E82" s="10"/>
      <c r="F82" s="22" t="s">
        <v>394</v>
      </c>
      <c r="G82" s="7"/>
      <c r="H82" s="12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3:19" ht="15.75" customHeight="1" x14ac:dyDescent="0.25">
      <c r="C83" s="10">
        <v>63</v>
      </c>
      <c r="D83" s="11"/>
      <c r="E83" s="10"/>
      <c r="F83" s="22" t="s">
        <v>30</v>
      </c>
      <c r="G83" s="7"/>
      <c r="H83" s="12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3:19" ht="15.75" customHeight="1" x14ac:dyDescent="0.25">
      <c r="C84" s="10">
        <v>64</v>
      </c>
      <c r="D84" s="11"/>
      <c r="E84" s="10"/>
      <c r="F84" s="22" t="s">
        <v>80</v>
      </c>
      <c r="G84" s="7"/>
      <c r="H84" s="12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3:19" ht="15.75" customHeight="1" x14ac:dyDescent="0.25">
      <c r="C85" s="10">
        <v>65</v>
      </c>
      <c r="D85" s="11"/>
      <c r="E85" s="10"/>
      <c r="F85" s="22" t="s">
        <v>139</v>
      </c>
      <c r="G85" s="7"/>
      <c r="H85" s="12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3:19" ht="15.75" customHeight="1" x14ac:dyDescent="0.25">
      <c r="C86" s="10">
        <v>66</v>
      </c>
      <c r="D86" s="11"/>
      <c r="E86" s="10"/>
      <c r="F86" s="22" t="s">
        <v>255</v>
      </c>
      <c r="G86" s="7"/>
      <c r="H86" s="12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3:19" ht="15.75" customHeight="1" x14ac:dyDescent="0.25">
      <c r="C87" s="10">
        <v>67</v>
      </c>
      <c r="D87" s="11"/>
      <c r="E87" s="10"/>
      <c r="F87" s="22" t="s">
        <v>269</v>
      </c>
      <c r="G87" s="7"/>
      <c r="H87" s="12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3:19" ht="15.75" customHeight="1" x14ac:dyDescent="0.25">
      <c r="C88" s="10">
        <v>68</v>
      </c>
      <c r="D88" s="11"/>
      <c r="E88" s="10"/>
      <c r="F88" s="22" t="s">
        <v>37</v>
      </c>
      <c r="G88" s="7"/>
      <c r="H88" s="12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3:19" ht="15.75" customHeight="1" x14ac:dyDescent="0.25">
      <c r="C89" s="10">
        <v>69</v>
      </c>
      <c r="D89" s="11"/>
      <c r="E89" s="10"/>
      <c r="F89" s="22" t="s">
        <v>112</v>
      </c>
      <c r="G89" s="7"/>
      <c r="H89" s="12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3:19" ht="15.75" customHeight="1" x14ac:dyDescent="0.25">
      <c r="C90" s="10">
        <v>70</v>
      </c>
      <c r="D90" s="11"/>
      <c r="E90" s="10"/>
      <c r="F90" s="22" t="s">
        <v>325</v>
      </c>
      <c r="G90" s="7"/>
      <c r="H90" s="12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3:19" ht="15.75" customHeight="1" x14ac:dyDescent="0.25">
      <c r="C91" s="10">
        <v>71</v>
      </c>
      <c r="D91" s="11"/>
      <c r="E91" s="10"/>
      <c r="F91" s="22" t="s">
        <v>284</v>
      </c>
      <c r="G91" s="7"/>
      <c r="H91" s="12"/>
      <c r="I91" s="7"/>
      <c r="J91" s="7"/>
      <c r="K91" s="7"/>
      <c r="L91" s="7"/>
      <c r="M91" s="7"/>
      <c r="N91" s="7"/>
      <c r="O91" s="7"/>
      <c r="P91" s="7"/>
      <c r="Q91" s="14"/>
      <c r="R91" s="7"/>
    </row>
    <row r="92" spans="3:19" ht="15.75" customHeight="1" x14ac:dyDescent="0.25">
      <c r="C92" s="10">
        <v>72</v>
      </c>
      <c r="D92" s="11"/>
      <c r="E92" s="10"/>
      <c r="F92" s="22" t="s">
        <v>43</v>
      </c>
      <c r="G92" s="7"/>
      <c r="H92" s="12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3:19" ht="15.75" customHeight="1" x14ac:dyDescent="0.25">
      <c r="C93" s="10">
        <v>73</v>
      </c>
      <c r="D93" s="11"/>
      <c r="E93" s="10"/>
      <c r="F93" s="22" t="s">
        <v>268</v>
      </c>
      <c r="G93" s="7"/>
      <c r="H93" s="12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3:19" ht="15.75" customHeight="1" x14ac:dyDescent="0.25">
      <c r="C94" s="10">
        <v>74</v>
      </c>
      <c r="D94" s="11"/>
      <c r="E94" s="10"/>
      <c r="F94" s="22" t="s">
        <v>30</v>
      </c>
      <c r="G94" s="7"/>
      <c r="H94" s="12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3:19" ht="15.75" customHeight="1" x14ac:dyDescent="0.25">
      <c r="C95" s="10">
        <v>75</v>
      </c>
      <c r="D95" s="11"/>
      <c r="E95" s="10"/>
      <c r="F95" s="22" t="s">
        <v>190</v>
      </c>
      <c r="G95" s="7"/>
      <c r="H95" s="12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3:19" ht="15.75" customHeight="1" x14ac:dyDescent="0.25">
      <c r="C96" s="10">
        <v>76</v>
      </c>
      <c r="D96" s="11"/>
      <c r="E96" s="10"/>
      <c r="F96" s="22" t="s">
        <v>331</v>
      </c>
      <c r="G96" s="7"/>
      <c r="H96" s="12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3:18" ht="15.75" customHeight="1" x14ac:dyDescent="0.25">
      <c r="C97" s="10">
        <v>77</v>
      </c>
      <c r="D97" s="11"/>
      <c r="E97" s="10"/>
      <c r="F97" s="22" t="s">
        <v>69</v>
      </c>
      <c r="G97" s="7"/>
      <c r="H97" s="12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3:18" ht="15.75" customHeight="1" x14ac:dyDescent="0.25">
      <c r="C98" s="10">
        <v>78</v>
      </c>
      <c r="D98" s="11"/>
      <c r="E98" s="10"/>
      <c r="F98" s="22" t="s">
        <v>52</v>
      </c>
      <c r="G98" s="7"/>
      <c r="H98" s="12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3:18" ht="15.75" customHeight="1" x14ac:dyDescent="0.25">
      <c r="C99" s="10">
        <v>79</v>
      </c>
      <c r="D99" s="11"/>
      <c r="E99" s="10"/>
      <c r="F99" s="22" t="s">
        <v>37</v>
      </c>
      <c r="G99" s="7"/>
      <c r="H99" s="12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3:18" ht="15.75" customHeight="1" x14ac:dyDescent="0.25">
      <c r="C100" s="10">
        <v>80</v>
      </c>
      <c r="D100" s="11"/>
      <c r="E100" s="10"/>
      <c r="F100" s="22" t="s">
        <v>220</v>
      </c>
      <c r="G100" s="7"/>
      <c r="H100" s="12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3:18" ht="15.75" customHeight="1" x14ac:dyDescent="0.25">
      <c r="C101" s="10">
        <v>81</v>
      </c>
      <c r="D101" s="11"/>
      <c r="E101" s="10"/>
      <c r="F101" s="22" t="s">
        <v>333</v>
      </c>
      <c r="G101" s="7"/>
      <c r="H101" s="12"/>
      <c r="I101" s="7"/>
      <c r="J101" s="7"/>
      <c r="K101" s="7"/>
      <c r="L101" s="7"/>
      <c r="M101" s="7"/>
      <c r="N101" s="7"/>
      <c r="O101" s="7"/>
      <c r="P101" s="7"/>
      <c r="Q101" s="7"/>
      <c r="R101" s="14"/>
    </row>
    <row r="102" spans="3:18" ht="15.75" customHeight="1" x14ac:dyDescent="0.25">
      <c r="C102" s="13" t="s">
        <v>3</v>
      </c>
      <c r="D102" s="14"/>
      <c r="E102" s="13"/>
      <c r="F102" s="25"/>
      <c r="G102" s="14">
        <f>SUM(G21:G101)</f>
        <v>136895</v>
      </c>
      <c r="H102" s="14"/>
      <c r="I102" s="14">
        <f t="shared" ref="I102:Q102" si="9">SUM(I21:I101)</f>
        <v>72220</v>
      </c>
      <c r="J102" s="14">
        <f t="shared" si="9"/>
        <v>12000</v>
      </c>
      <c r="K102" s="14">
        <f t="shared" si="9"/>
        <v>9000</v>
      </c>
      <c r="L102" s="14">
        <f t="shared" si="9"/>
        <v>13940</v>
      </c>
      <c r="M102" s="14">
        <f t="shared" si="9"/>
        <v>19280</v>
      </c>
      <c r="N102" s="14">
        <f t="shared" si="9"/>
        <v>0</v>
      </c>
      <c r="O102" s="14">
        <f t="shared" si="9"/>
        <v>4500</v>
      </c>
      <c r="P102" s="14">
        <f t="shared" si="9"/>
        <v>5955</v>
      </c>
      <c r="Q102" s="14">
        <f t="shared" si="9"/>
        <v>0</v>
      </c>
      <c r="R102" s="14"/>
    </row>
    <row r="103" spans="3:18" ht="15.75" customHeight="1" x14ac:dyDescent="0.25">
      <c r="C103" s="1"/>
      <c r="E103" s="1"/>
      <c r="F103" s="16"/>
    </row>
    <row r="104" spans="3:18" ht="15.75" customHeight="1" x14ac:dyDescent="0.25">
      <c r="C104" s="1"/>
      <c r="D104" s="1"/>
      <c r="E104" s="1"/>
      <c r="F104" s="16"/>
      <c r="I104" s="33">
        <f>SUM('Nov 24'!$I$102:'Nov 24'!$Q$102)</f>
        <v>136895</v>
      </c>
    </row>
    <row r="105" spans="3:18" ht="15.75" customHeight="1" x14ac:dyDescent="0.25">
      <c r="E105" s="1"/>
      <c r="F105" s="16"/>
    </row>
    <row r="106" spans="3:18" ht="15.75" customHeight="1" x14ac:dyDescent="0.25"/>
    <row r="107" spans="3:18" ht="15.75" customHeight="1" x14ac:dyDescent="0.25"/>
    <row r="108" spans="3:18" ht="15.75" customHeight="1" x14ac:dyDescent="0.25"/>
    <row r="109" spans="3:18" ht="15.75" customHeight="1" x14ac:dyDescent="0.25"/>
    <row r="110" spans="3:18" ht="15.75" customHeight="1" x14ac:dyDescent="0.25"/>
    <row r="111" spans="3:18" ht="15.75" customHeight="1" x14ac:dyDescent="0.25"/>
    <row r="112" spans="3:1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T33:V33"/>
    <mergeCell ref="T34:V34"/>
    <mergeCell ref="T35:V35"/>
    <mergeCell ref="T36:V36"/>
    <mergeCell ref="T37:V37"/>
    <mergeCell ref="T32:V32"/>
    <mergeCell ref="X32:Y32"/>
    <mergeCell ref="C11:D11"/>
    <mergeCell ref="C18:E18"/>
    <mergeCell ref="T20:W20"/>
    <mergeCell ref="T21:V21"/>
    <mergeCell ref="X31:Y31"/>
  </mergeCells>
  <pageMargins left="0.7" right="0.7" top="0.75" bottom="0.75" header="0" footer="0"/>
  <pageSetup orientation="portrait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C3:Z1000"/>
  <sheetViews>
    <sheetView topLeftCell="I27" workbookViewId="0">
      <selection activeCell="D67" sqref="D67"/>
    </sheetView>
  </sheetViews>
  <sheetFormatPr defaultColWidth="14.42578125" defaultRowHeight="15" customHeight="1" x14ac:dyDescent="0.25"/>
  <cols>
    <col min="1" max="1" width="8.7109375" customWidth="1"/>
    <col min="2" max="2" width="8" customWidth="1"/>
    <col min="3" max="3" width="9.85546875" customWidth="1"/>
    <col min="4" max="4" width="12.7109375" style="81" customWidth="1"/>
    <col min="5" max="5" width="13.28515625" customWidth="1"/>
    <col min="6" max="6" width="9.42578125" customWidth="1"/>
    <col min="7" max="7" width="8.7109375" customWidth="1"/>
    <col min="8" max="8" width="12.28515625" customWidth="1"/>
    <col min="9" max="12" width="8.7109375" customWidth="1"/>
    <col min="13" max="13" width="13.28515625" customWidth="1"/>
    <col min="14" max="14" width="10.85546875" customWidth="1"/>
    <col min="15" max="15" width="11.7109375" customWidth="1"/>
    <col min="16" max="16" width="11.42578125" customWidth="1"/>
    <col min="17" max="17" width="14" customWidth="1"/>
    <col min="18" max="20" width="8.7109375" customWidth="1"/>
    <col min="21" max="21" width="10.7109375" customWidth="1"/>
    <col min="22" max="26" width="8.7109375" customWidth="1"/>
  </cols>
  <sheetData>
    <row r="3" spans="3:17" x14ac:dyDescent="0.25"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3:17" ht="15.75" x14ac:dyDescent="0.25">
      <c r="C4" s="1"/>
      <c r="D4" s="82" t="s">
        <v>715</v>
      </c>
      <c r="E4" s="17"/>
      <c r="F4" s="18"/>
      <c r="G4" s="2"/>
      <c r="H4" s="2"/>
      <c r="I4" s="2"/>
      <c r="J4" s="2"/>
      <c r="K4" s="8"/>
      <c r="L4" s="2"/>
      <c r="M4" s="3"/>
      <c r="N4" s="3"/>
      <c r="O4" s="65" t="s">
        <v>88</v>
      </c>
      <c r="P4" s="60" t="s">
        <v>2</v>
      </c>
      <c r="Q4" s="66" t="s">
        <v>117</v>
      </c>
    </row>
    <row r="5" spans="3:17" ht="15.75" x14ac:dyDescent="0.25">
      <c r="C5" s="1"/>
      <c r="D5" s="83" t="s">
        <v>1</v>
      </c>
      <c r="E5" s="44" t="s">
        <v>2</v>
      </c>
      <c r="F5" s="45">
        <v>1799</v>
      </c>
      <c r="G5" s="46">
        <v>2699</v>
      </c>
      <c r="H5" s="46">
        <v>588</v>
      </c>
      <c r="I5" s="46">
        <v>2088</v>
      </c>
      <c r="J5" s="46">
        <v>2488</v>
      </c>
      <c r="K5" s="46">
        <v>2688</v>
      </c>
      <c r="L5" s="45" t="s">
        <v>678</v>
      </c>
      <c r="M5" s="62" t="s">
        <v>295</v>
      </c>
      <c r="N5" s="45" t="s">
        <v>3</v>
      </c>
      <c r="O5" s="47"/>
      <c r="P5" s="42"/>
      <c r="Q5" s="42"/>
    </row>
    <row r="6" spans="3:17" ht="17.25" x14ac:dyDescent="0.3">
      <c r="C6" s="1"/>
      <c r="D6" s="84" t="s">
        <v>259</v>
      </c>
      <c r="E6" s="12">
        <v>177004</v>
      </c>
      <c r="F6" s="12">
        <v>0</v>
      </c>
      <c r="G6" s="12"/>
      <c r="H6" s="12">
        <v>12460</v>
      </c>
      <c r="I6" s="12">
        <v>34420</v>
      </c>
      <c r="J6" s="12">
        <v>0</v>
      </c>
      <c r="K6" s="12">
        <v>0</v>
      </c>
      <c r="L6" s="12">
        <v>3045</v>
      </c>
      <c r="M6" s="12">
        <v>0</v>
      </c>
      <c r="N6" s="12">
        <v>222979</v>
      </c>
      <c r="O6" s="55">
        <v>45925</v>
      </c>
      <c r="P6" s="56">
        <v>177004</v>
      </c>
      <c r="Q6" s="57">
        <v>222929</v>
      </c>
    </row>
    <row r="7" spans="3:17" ht="18.75" x14ac:dyDescent="0.3">
      <c r="C7" s="1"/>
      <c r="D7" s="84" t="s">
        <v>365</v>
      </c>
      <c r="E7" s="7">
        <f>W32</f>
        <v>10000</v>
      </c>
      <c r="F7" s="7">
        <f t="shared" ref="F7:M7" si="0">F18</f>
        <v>0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>
        <f t="shared" si="0"/>
        <v>25000</v>
      </c>
      <c r="N7" s="7">
        <f t="shared" ref="N7:N8" si="1">SUM(E7:M7)</f>
        <v>35000</v>
      </c>
      <c r="O7" s="68">
        <f t="shared" ref="O7:O9" si="2">SUM(F7:M7)</f>
        <v>25000</v>
      </c>
      <c r="P7" s="69">
        <f t="shared" ref="P7:P9" si="3">E7</f>
        <v>10000</v>
      </c>
      <c r="Q7" s="70">
        <f>O7+P7</f>
        <v>35000</v>
      </c>
    </row>
    <row r="8" spans="3:17" ht="21" x14ac:dyDescent="0.35">
      <c r="C8" s="1"/>
      <c r="D8" s="85" t="s">
        <v>366</v>
      </c>
      <c r="E8" s="48">
        <f>'Dec 24'!$I$104</f>
        <v>52620</v>
      </c>
      <c r="F8" s="48">
        <f>'Dec 24'!$J$104</f>
        <v>0</v>
      </c>
      <c r="G8" s="49">
        <f>'Dec 24'!$K$104</f>
        <v>0</v>
      </c>
      <c r="H8" s="49">
        <f>'Dec 24'!$L$104</f>
        <v>11000</v>
      </c>
      <c r="I8" s="49">
        <f>'Dec 24'!$M$104</f>
        <v>18300</v>
      </c>
      <c r="J8" s="49">
        <f>'Dec 24'!$N$104</f>
        <v>0</v>
      </c>
      <c r="K8" s="49">
        <f>'Dec 24'!$O$104</f>
        <v>0</v>
      </c>
      <c r="L8" s="49">
        <f>'Dec 24'!$P$104</f>
        <v>2225</v>
      </c>
      <c r="M8" s="49">
        <f>'Dec 24'!$Q$104</f>
        <v>10550</v>
      </c>
      <c r="N8" s="72">
        <f t="shared" si="1"/>
        <v>94695</v>
      </c>
      <c r="O8" s="73">
        <f t="shared" si="2"/>
        <v>42075</v>
      </c>
      <c r="P8" s="74">
        <f t="shared" si="3"/>
        <v>52620</v>
      </c>
      <c r="Q8" s="75">
        <f t="shared" ref="Q8:Q9" si="4">SUM(O8,P8)</f>
        <v>94695</v>
      </c>
    </row>
    <row r="9" spans="3:17" ht="17.25" x14ac:dyDescent="0.3">
      <c r="C9" s="1"/>
      <c r="D9" s="84" t="s">
        <v>261</v>
      </c>
      <c r="E9" s="12">
        <f t="shared" ref="E9:M9" si="5">SUM(E6,E7-E8)</f>
        <v>134384</v>
      </c>
      <c r="F9" s="12">
        <f t="shared" si="5"/>
        <v>0</v>
      </c>
      <c r="G9" s="12">
        <f t="shared" si="5"/>
        <v>0</v>
      </c>
      <c r="H9" s="12">
        <f t="shared" si="5"/>
        <v>1460</v>
      </c>
      <c r="I9" s="12">
        <f t="shared" si="5"/>
        <v>16120</v>
      </c>
      <c r="J9" s="12">
        <f t="shared" si="5"/>
        <v>0</v>
      </c>
      <c r="K9" s="12">
        <f t="shared" si="5"/>
        <v>0</v>
      </c>
      <c r="L9" s="12">
        <f t="shared" si="5"/>
        <v>820</v>
      </c>
      <c r="M9" s="12">
        <f t="shared" si="5"/>
        <v>14450</v>
      </c>
      <c r="N9" s="12">
        <f>SUM(N6+N7-N8)</f>
        <v>163284</v>
      </c>
      <c r="O9" s="55">
        <f t="shared" si="2"/>
        <v>32850</v>
      </c>
      <c r="P9" s="56">
        <f t="shared" si="3"/>
        <v>134384</v>
      </c>
      <c r="Q9" s="57">
        <f t="shared" si="4"/>
        <v>167234</v>
      </c>
    </row>
    <row r="10" spans="3:17" x14ac:dyDescent="0.25">
      <c r="C10" s="1"/>
      <c r="E10" s="1"/>
      <c r="F10" s="16"/>
    </row>
    <row r="11" spans="3:17" ht="15.75" x14ac:dyDescent="0.25">
      <c r="C11" s="103" t="s">
        <v>367</v>
      </c>
      <c r="D11" s="99"/>
      <c r="E11" s="21" t="s">
        <v>368</v>
      </c>
      <c r="F11" s="45">
        <v>1799</v>
      </c>
      <c r="G11" s="46">
        <v>2699</v>
      </c>
      <c r="H11" s="46">
        <v>588</v>
      </c>
      <c r="I11" s="46">
        <v>2088</v>
      </c>
      <c r="J11" s="46">
        <v>2488</v>
      </c>
      <c r="K11" s="46">
        <v>2688</v>
      </c>
      <c r="L11" s="45">
        <v>1788</v>
      </c>
      <c r="M11" s="62" t="s">
        <v>716</v>
      </c>
      <c r="N11" s="45" t="s">
        <v>3</v>
      </c>
      <c r="O11" s="76" t="s">
        <v>369</v>
      </c>
      <c r="P11" s="76" t="s">
        <v>370</v>
      </c>
    </row>
    <row r="12" spans="3:17" x14ac:dyDescent="0.25">
      <c r="C12" s="9" t="s">
        <v>371</v>
      </c>
      <c r="D12" s="86" t="s">
        <v>372</v>
      </c>
      <c r="E12" s="9" t="s">
        <v>373</v>
      </c>
      <c r="F12" s="22"/>
      <c r="G12" s="7"/>
      <c r="H12" s="7"/>
      <c r="I12" s="7"/>
      <c r="J12" s="7"/>
      <c r="K12" s="7"/>
      <c r="L12" s="7"/>
      <c r="M12" s="7"/>
      <c r="N12" s="7">
        <f t="shared" ref="N12:N18" si="6">SUM(F12:M12)</f>
        <v>0</v>
      </c>
      <c r="O12" s="10"/>
      <c r="P12" s="10"/>
    </row>
    <row r="13" spans="3:17" x14ac:dyDescent="0.25">
      <c r="C13" s="10">
        <v>1</v>
      </c>
      <c r="D13" s="11" t="s">
        <v>374</v>
      </c>
      <c r="E13" s="78"/>
      <c r="F13" s="10"/>
      <c r="G13" s="7"/>
      <c r="H13" s="7"/>
      <c r="I13" s="7"/>
      <c r="J13" s="7"/>
      <c r="K13" s="7"/>
      <c r="L13" s="7"/>
      <c r="M13" s="7"/>
      <c r="N13" s="7">
        <f t="shared" si="6"/>
        <v>0</v>
      </c>
      <c r="O13" s="10"/>
      <c r="P13" s="10"/>
    </row>
    <row r="14" spans="3:17" x14ac:dyDescent="0.25">
      <c r="C14" s="10">
        <v>2</v>
      </c>
      <c r="D14" s="11" t="s">
        <v>376</v>
      </c>
      <c r="E14" s="78"/>
      <c r="F14" s="22"/>
      <c r="G14" s="7"/>
      <c r="H14" s="7"/>
      <c r="I14" s="7"/>
      <c r="J14" s="7"/>
      <c r="K14" s="7"/>
      <c r="L14" s="7"/>
      <c r="M14" s="7"/>
      <c r="N14" s="7">
        <f t="shared" si="6"/>
        <v>0</v>
      </c>
      <c r="O14" s="10"/>
      <c r="P14" s="10"/>
    </row>
    <row r="15" spans="3:17" x14ac:dyDescent="0.25">
      <c r="C15" s="10">
        <v>3</v>
      </c>
      <c r="D15" s="11" t="s">
        <v>717</v>
      </c>
      <c r="E15" s="78">
        <v>45631</v>
      </c>
      <c r="F15" s="22"/>
      <c r="G15" s="7"/>
      <c r="H15" s="7"/>
      <c r="I15" s="7"/>
      <c r="J15" s="7"/>
      <c r="K15" s="7"/>
      <c r="L15" s="7"/>
      <c r="M15" s="7">
        <v>25000</v>
      </c>
      <c r="N15" s="7">
        <f t="shared" si="6"/>
        <v>25000</v>
      </c>
      <c r="O15" s="10"/>
      <c r="P15" s="10"/>
    </row>
    <row r="16" spans="3:17" x14ac:dyDescent="0.25">
      <c r="C16" s="10">
        <v>4</v>
      </c>
      <c r="D16" s="11" t="s">
        <v>374</v>
      </c>
      <c r="E16" s="78"/>
      <c r="F16" s="22"/>
      <c r="G16" s="7"/>
      <c r="H16" s="7"/>
      <c r="I16" s="7"/>
      <c r="J16" s="7"/>
      <c r="K16" s="7"/>
      <c r="L16" s="7"/>
      <c r="M16" s="7"/>
      <c r="N16" s="7">
        <f t="shared" si="6"/>
        <v>0</v>
      </c>
      <c r="O16" s="10"/>
      <c r="P16" s="10"/>
    </row>
    <row r="17" spans="3:26" x14ac:dyDescent="0.25">
      <c r="C17" s="10">
        <v>5</v>
      </c>
      <c r="D17" s="11" t="s">
        <v>378</v>
      </c>
      <c r="E17" s="11"/>
      <c r="F17" s="7"/>
      <c r="G17" s="7"/>
      <c r="H17" s="7"/>
      <c r="I17" s="7"/>
      <c r="J17" s="7"/>
      <c r="K17" s="7"/>
      <c r="L17" s="7"/>
      <c r="M17" s="7"/>
      <c r="N17" s="7">
        <f t="shared" si="6"/>
        <v>0</v>
      </c>
      <c r="O17" s="10"/>
      <c r="P17" s="10"/>
    </row>
    <row r="18" spans="3:26" x14ac:dyDescent="0.25">
      <c r="C18" s="104" t="s">
        <v>3</v>
      </c>
      <c r="D18" s="98"/>
      <c r="E18" s="99"/>
      <c r="F18" s="7">
        <f t="shared" ref="F18:M18" si="7">SUM(F12:F17)</f>
        <v>0</v>
      </c>
      <c r="G18" s="7">
        <f t="shared" si="7"/>
        <v>0</v>
      </c>
      <c r="H18" s="7">
        <f t="shared" si="7"/>
        <v>0</v>
      </c>
      <c r="I18" s="7">
        <f t="shared" si="7"/>
        <v>0</v>
      </c>
      <c r="J18" s="7">
        <f t="shared" si="7"/>
        <v>0</v>
      </c>
      <c r="K18" s="7">
        <f t="shared" si="7"/>
        <v>0</v>
      </c>
      <c r="L18" s="7">
        <f t="shared" si="7"/>
        <v>0</v>
      </c>
      <c r="M18" s="7">
        <f t="shared" si="7"/>
        <v>25000</v>
      </c>
      <c r="N18" s="7">
        <f t="shared" si="6"/>
        <v>25000</v>
      </c>
      <c r="O18" s="10"/>
      <c r="P18" s="10"/>
    </row>
    <row r="19" spans="3:26" x14ac:dyDescent="0.25">
      <c r="C19" s="1"/>
      <c r="E19" s="1"/>
      <c r="F19" s="16"/>
    </row>
    <row r="20" spans="3:26" ht="15.75" x14ac:dyDescent="0.25">
      <c r="C20" s="9" t="s">
        <v>8</v>
      </c>
      <c r="D20" s="87" t="s">
        <v>9</v>
      </c>
      <c r="E20" s="20" t="s">
        <v>10</v>
      </c>
      <c r="F20" s="20" t="s">
        <v>11</v>
      </c>
      <c r="G20" s="4" t="s">
        <v>4</v>
      </c>
      <c r="H20" s="4" t="s">
        <v>12</v>
      </c>
      <c r="I20" s="4" t="s">
        <v>2</v>
      </c>
      <c r="J20" s="4" t="s">
        <v>13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19</v>
      </c>
      <c r="P20" s="39" t="s">
        <v>679</v>
      </c>
      <c r="Q20" s="63" t="s">
        <v>716</v>
      </c>
      <c r="R20" s="39" t="s">
        <v>717</v>
      </c>
      <c r="T20" s="101" t="s">
        <v>118</v>
      </c>
      <c r="U20" s="102"/>
      <c r="V20" s="102"/>
      <c r="W20" s="102"/>
    </row>
    <row r="21" spans="3:26" ht="15.75" customHeight="1" x14ac:dyDescent="0.25">
      <c r="C21" s="10">
        <v>1</v>
      </c>
      <c r="D21" s="11">
        <v>45628</v>
      </c>
      <c r="E21" s="10">
        <v>301</v>
      </c>
      <c r="F21" s="22" t="s">
        <v>669</v>
      </c>
      <c r="G21" s="7">
        <v>10000</v>
      </c>
      <c r="H21" s="12">
        <v>107</v>
      </c>
      <c r="I21" s="7">
        <v>10000</v>
      </c>
      <c r="J21" s="7"/>
      <c r="K21" s="7"/>
      <c r="L21" s="7"/>
      <c r="M21" s="7"/>
      <c r="N21" s="7"/>
      <c r="O21" s="7"/>
      <c r="P21" s="7"/>
      <c r="Q21" s="40"/>
      <c r="R21" s="40"/>
      <c r="T21" s="97" t="s">
        <v>172</v>
      </c>
      <c r="U21" s="98"/>
      <c r="V21" s="98"/>
      <c r="W21" s="34"/>
    </row>
    <row r="22" spans="3:26" ht="15.75" customHeight="1" x14ac:dyDescent="0.25">
      <c r="C22" s="10">
        <v>2</v>
      </c>
      <c r="D22" s="11">
        <v>45628</v>
      </c>
      <c r="E22" s="10">
        <v>302</v>
      </c>
      <c r="F22" s="22" t="s">
        <v>669</v>
      </c>
      <c r="G22" s="7">
        <v>100</v>
      </c>
      <c r="H22" s="31">
        <v>172</v>
      </c>
      <c r="I22" s="7"/>
      <c r="J22" s="7"/>
      <c r="K22" s="7"/>
      <c r="L22" s="7">
        <v>100</v>
      </c>
      <c r="M22" s="7"/>
      <c r="N22" s="7"/>
      <c r="O22" s="7"/>
      <c r="P22" s="7"/>
      <c r="Q22" s="7"/>
      <c r="R22" s="7"/>
      <c r="T22" s="10" t="s">
        <v>121</v>
      </c>
      <c r="U22" s="7" t="s">
        <v>9</v>
      </c>
      <c r="V22" s="7" t="s">
        <v>122</v>
      </c>
      <c r="W22" s="7" t="s">
        <v>4</v>
      </c>
      <c r="X22" s="7" t="s">
        <v>549</v>
      </c>
      <c r="Y22" s="7" t="s">
        <v>576</v>
      </c>
      <c r="Z22" s="7" t="s">
        <v>577</v>
      </c>
    </row>
    <row r="23" spans="3:26" ht="15.75" customHeight="1" x14ac:dyDescent="0.25">
      <c r="C23" s="10">
        <v>3</v>
      </c>
      <c r="D23" s="11">
        <v>45628</v>
      </c>
      <c r="E23" s="10">
        <v>303</v>
      </c>
      <c r="F23" s="22" t="s">
        <v>718</v>
      </c>
      <c r="G23" s="7">
        <v>2000</v>
      </c>
      <c r="H23" s="12">
        <v>103</v>
      </c>
      <c r="I23" s="7">
        <v>2000</v>
      </c>
      <c r="J23" s="7"/>
      <c r="K23" s="7"/>
      <c r="L23" s="7"/>
      <c r="M23" s="7"/>
      <c r="N23" s="7"/>
      <c r="O23" s="7"/>
      <c r="P23" s="7"/>
      <c r="Q23" s="7"/>
      <c r="R23" s="7"/>
      <c r="T23" s="10">
        <v>1</v>
      </c>
      <c r="U23" s="41">
        <v>45645</v>
      </c>
      <c r="V23" s="7" t="s">
        <v>645</v>
      </c>
      <c r="W23" s="7">
        <v>10000</v>
      </c>
      <c r="X23" s="76">
        <v>75</v>
      </c>
      <c r="Y23" s="10">
        <v>45</v>
      </c>
      <c r="Z23" s="7">
        <f t="shared" ref="Z23:Z30" si="8">W23*X23</f>
        <v>750000</v>
      </c>
    </row>
    <row r="24" spans="3:26" ht="15.75" customHeight="1" x14ac:dyDescent="0.25">
      <c r="C24" s="10">
        <v>4</v>
      </c>
      <c r="D24" s="11">
        <v>45629</v>
      </c>
      <c r="E24" s="10" t="s">
        <v>719</v>
      </c>
      <c r="F24" s="22" t="s">
        <v>71</v>
      </c>
      <c r="G24" s="7">
        <v>300</v>
      </c>
      <c r="H24" s="12">
        <v>165</v>
      </c>
      <c r="I24" s="7"/>
      <c r="J24" s="7"/>
      <c r="K24" s="7"/>
      <c r="L24" s="7"/>
      <c r="M24" s="7">
        <v>300</v>
      </c>
      <c r="N24" s="7"/>
      <c r="O24" s="7"/>
      <c r="P24" s="7"/>
      <c r="Q24" s="7"/>
      <c r="R24" s="7"/>
      <c r="T24" s="10">
        <v>2</v>
      </c>
      <c r="U24" s="41"/>
      <c r="V24" s="7" t="s">
        <v>646</v>
      </c>
      <c r="W24" s="7"/>
      <c r="X24" s="76"/>
      <c r="Y24" s="10">
        <v>32</v>
      </c>
      <c r="Z24" s="7">
        <f t="shared" si="8"/>
        <v>0</v>
      </c>
    </row>
    <row r="25" spans="3:26" ht="15.75" customHeight="1" x14ac:dyDescent="0.25">
      <c r="C25" s="10">
        <v>5</v>
      </c>
      <c r="D25" s="11">
        <v>45629</v>
      </c>
      <c r="E25" s="10" t="s">
        <v>720</v>
      </c>
      <c r="F25" s="22" t="s">
        <v>43</v>
      </c>
      <c r="G25" s="7">
        <v>5000</v>
      </c>
      <c r="H25" s="12" t="s">
        <v>721</v>
      </c>
      <c r="I25" s="7"/>
      <c r="J25" s="7"/>
      <c r="K25" s="7"/>
      <c r="L25" s="7">
        <v>2000</v>
      </c>
      <c r="M25" s="7">
        <v>3000</v>
      </c>
      <c r="N25" s="7"/>
      <c r="O25" s="7"/>
      <c r="P25" s="7"/>
      <c r="Q25" s="7"/>
      <c r="R25" s="7"/>
      <c r="T25" s="10">
        <v>3</v>
      </c>
      <c r="U25" s="41"/>
      <c r="V25" s="7" t="s">
        <v>680</v>
      </c>
      <c r="W25" s="7"/>
      <c r="X25" s="76"/>
      <c r="Y25" s="10">
        <v>29</v>
      </c>
      <c r="Z25" s="7">
        <f t="shared" si="8"/>
        <v>0</v>
      </c>
    </row>
    <row r="26" spans="3:26" ht="15.75" customHeight="1" x14ac:dyDescent="0.25">
      <c r="C26" s="10">
        <v>6</v>
      </c>
      <c r="D26" s="11">
        <v>45628</v>
      </c>
      <c r="E26" s="10" t="s">
        <v>722</v>
      </c>
      <c r="F26" s="22" t="s">
        <v>620</v>
      </c>
      <c r="G26" s="7">
        <v>2000</v>
      </c>
      <c r="H26" s="12">
        <v>172</v>
      </c>
      <c r="I26" s="7"/>
      <c r="J26" s="7"/>
      <c r="K26" s="7"/>
      <c r="L26" s="7">
        <v>2000</v>
      </c>
      <c r="M26" s="7"/>
      <c r="N26" s="7"/>
      <c r="O26" s="7"/>
      <c r="P26" s="7"/>
      <c r="Q26" s="7"/>
      <c r="R26" s="7"/>
      <c r="T26" s="10">
        <v>4</v>
      </c>
      <c r="U26" s="41"/>
      <c r="V26" s="7" t="s">
        <v>426</v>
      </c>
      <c r="W26" s="7"/>
      <c r="X26" s="76"/>
      <c r="Y26" s="10"/>
      <c r="Z26" s="7">
        <f t="shared" si="8"/>
        <v>0</v>
      </c>
    </row>
    <row r="27" spans="3:26" ht="15.75" customHeight="1" x14ac:dyDescent="0.25">
      <c r="C27" s="10">
        <v>0</v>
      </c>
      <c r="D27" s="11">
        <v>45631</v>
      </c>
      <c r="E27" s="10" t="s">
        <v>723</v>
      </c>
      <c r="F27" s="22" t="s">
        <v>623</v>
      </c>
      <c r="G27" s="7">
        <v>5000</v>
      </c>
      <c r="H27" s="12">
        <v>171.5</v>
      </c>
      <c r="I27" s="7"/>
      <c r="J27" s="7"/>
      <c r="K27" s="7"/>
      <c r="L27" s="7">
        <v>5000</v>
      </c>
      <c r="M27" s="7"/>
      <c r="N27" s="7"/>
      <c r="O27" s="7"/>
      <c r="P27" s="7"/>
      <c r="Q27" s="7"/>
      <c r="R27" s="7"/>
      <c r="T27" s="10">
        <v>5</v>
      </c>
      <c r="U27" s="41"/>
      <c r="V27" s="7" t="s">
        <v>579</v>
      </c>
      <c r="W27" s="7"/>
      <c r="X27" s="76"/>
      <c r="Y27" s="10"/>
      <c r="Z27" s="7">
        <f t="shared" si="8"/>
        <v>0</v>
      </c>
    </row>
    <row r="28" spans="3:26" ht="15.75" customHeight="1" x14ac:dyDescent="0.25">
      <c r="C28" s="10">
        <v>8</v>
      </c>
      <c r="D28" s="11">
        <v>45631</v>
      </c>
      <c r="E28" s="10" t="s">
        <v>724</v>
      </c>
      <c r="F28" s="22" t="s">
        <v>43</v>
      </c>
      <c r="G28" s="7">
        <v>2000</v>
      </c>
      <c r="H28" s="12">
        <v>185</v>
      </c>
      <c r="I28" s="7"/>
      <c r="J28" s="7"/>
      <c r="K28" s="7"/>
      <c r="L28" s="7"/>
      <c r="M28" s="7"/>
      <c r="N28" s="7"/>
      <c r="O28" s="7"/>
      <c r="P28" s="7"/>
      <c r="Q28" s="7">
        <v>2000</v>
      </c>
      <c r="R28" s="7"/>
      <c r="T28" s="10">
        <v>6</v>
      </c>
      <c r="U28" s="41"/>
      <c r="V28" s="7" t="s">
        <v>552</v>
      </c>
      <c r="W28" s="7"/>
      <c r="X28" s="7"/>
      <c r="Y28" s="7"/>
      <c r="Z28" s="7">
        <f t="shared" si="8"/>
        <v>0</v>
      </c>
    </row>
    <row r="29" spans="3:26" ht="15.75" customHeight="1" x14ac:dyDescent="0.25">
      <c r="C29" s="10">
        <v>9</v>
      </c>
      <c r="D29" s="11">
        <v>45631</v>
      </c>
      <c r="E29" s="10" t="s">
        <v>725</v>
      </c>
      <c r="F29" s="22" t="s">
        <v>32</v>
      </c>
      <c r="G29" s="7">
        <v>760</v>
      </c>
      <c r="H29" s="12" t="s">
        <v>726</v>
      </c>
      <c r="I29" s="7"/>
      <c r="J29" s="7"/>
      <c r="K29" s="7"/>
      <c r="L29" s="7"/>
      <c r="M29" s="7"/>
      <c r="N29" s="7"/>
      <c r="O29" s="7"/>
      <c r="P29" s="7"/>
      <c r="Q29" s="7">
        <v>760</v>
      </c>
      <c r="R29" s="7"/>
      <c r="T29" s="10">
        <v>7</v>
      </c>
      <c r="U29" s="41"/>
      <c r="V29" s="7" t="s">
        <v>552</v>
      </c>
      <c r="W29" s="7"/>
      <c r="X29" s="7"/>
      <c r="Y29" s="7"/>
      <c r="Z29" s="7">
        <f t="shared" si="8"/>
        <v>0</v>
      </c>
    </row>
    <row r="30" spans="3:26" ht="15.75" customHeight="1" x14ac:dyDescent="0.25">
      <c r="C30" s="10">
        <v>10</v>
      </c>
      <c r="D30" s="11">
        <v>45633</v>
      </c>
      <c r="E30" s="10">
        <v>305</v>
      </c>
      <c r="F30" s="22" t="s">
        <v>190</v>
      </c>
      <c r="G30" s="7">
        <v>2000</v>
      </c>
      <c r="H30" s="12">
        <v>112</v>
      </c>
      <c r="I30" s="7">
        <v>2000</v>
      </c>
      <c r="J30" s="7"/>
      <c r="K30" s="7"/>
      <c r="L30" s="7"/>
      <c r="M30" s="7"/>
      <c r="N30" s="7"/>
      <c r="O30" s="7"/>
      <c r="P30" s="7"/>
      <c r="Q30" s="7"/>
      <c r="R30" s="7"/>
      <c r="T30" s="10">
        <v>8</v>
      </c>
      <c r="U30" s="11"/>
      <c r="V30" s="7"/>
      <c r="W30" s="7"/>
      <c r="X30" s="7"/>
      <c r="Y30" s="7"/>
      <c r="Z30" s="7">
        <f t="shared" si="8"/>
        <v>0</v>
      </c>
    </row>
    <row r="31" spans="3:26" ht="15.75" customHeight="1" x14ac:dyDescent="0.25">
      <c r="C31" s="10">
        <v>11</v>
      </c>
      <c r="D31" s="11">
        <v>45633</v>
      </c>
      <c r="E31" s="10">
        <v>306</v>
      </c>
      <c r="F31" s="22" t="s">
        <v>48</v>
      </c>
      <c r="G31" s="7">
        <v>1000</v>
      </c>
      <c r="H31" s="12">
        <v>115</v>
      </c>
      <c r="I31" s="7">
        <v>1000</v>
      </c>
      <c r="J31" s="7"/>
      <c r="K31" s="7"/>
      <c r="L31" s="7"/>
      <c r="M31" s="7"/>
      <c r="N31" s="7"/>
      <c r="O31" s="7"/>
      <c r="P31" s="7"/>
      <c r="Q31" s="7"/>
      <c r="R31" s="7"/>
      <c r="T31" s="10"/>
      <c r="U31" s="7"/>
      <c r="V31" s="7"/>
      <c r="W31" s="7"/>
      <c r="X31" s="104" t="s">
        <v>581</v>
      </c>
      <c r="Y31" s="99"/>
      <c r="Z31" s="7">
        <f>SUM(Z23:Z30)</f>
        <v>750000</v>
      </c>
    </row>
    <row r="32" spans="3:26" ht="15.75" customHeight="1" x14ac:dyDescent="0.25">
      <c r="C32" s="10">
        <v>12</v>
      </c>
      <c r="D32" s="11">
        <v>45635</v>
      </c>
      <c r="E32" s="10">
        <v>307</v>
      </c>
      <c r="F32" s="22" t="s">
        <v>669</v>
      </c>
      <c r="G32" s="7">
        <v>10000</v>
      </c>
      <c r="H32" s="12">
        <v>107</v>
      </c>
      <c r="I32" s="7">
        <v>10000</v>
      </c>
      <c r="J32" s="7"/>
      <c r="K32" s="7"/>
      <c r="L32" s="7"/>
      <c r="M32" s="7"/>
      <c r="N32" s="7"/>
      <c r="O32" s="7"/>
      <c r="P32" s="7"/>
      <c r="Q32" s="7"/>
      <c r="R32" s="7"/>
      <c r="T32" s="97" t="s">
        <v>181</v>
      </c>
      <c r="U32" s="98"/>
      <c r="V32" s="99"/>
      <c r="W32" s="7">
        <f>SUM(W23:W30)</f>
        <v>10000</v>
      </c>
      <c r="X32" s="104" t="s">
        <v>582</v>
      </c>
      <c r="Y32" s="99"/>
      <c r="Z32" s="7">
        <f>Z31/W32</f>
        <v>75</v>
      </c>
    </row>
    <row r="33" spans="3:23" ht="15.75" customHeight="1" x14ac:dyDescent="0.25">
      <c r="C33" s="10">
        <v>13</v>
      </c>
      <c r="D33" s="11">
        <v>45637</v>
      </c>
      <c r="E33" s="10">
        <v>309</v>
      </c>
      <c r="F33" s="22" t="s">
        <v>657</v>
      </c>
      <c r="G33" s="7">
        <v>10000</v>
      </c>
      <c r="H33" s="12">
        <v>113</v>
      </c>
      <c r="I33" s="7">
        <v>1000</v>
      </c>
      <c r="J33" s="7"/>
      <c r="K33" s="7"/>
      <c r="L33" s="7"/>
      <c r="M33" s="7"/>
      <c r="N33" s="7"/>
      <c r="O33" s="7"/>
      <c r="P33" s="7"/>
      <c r="Q33" s="7"/>
      <c r="R33" s="7"/>
      <c r="T33" s="97" t="s">
        <v>183</v>
      </c>
      <c r="U33" s="98"/>
      <c r="V33" s="99"/>
      <c r="W33" s="7">
        <v>177004</v>
      </c>
    </row>
    <row r="34" spans="3:23" ht="15.75" customHeight="1" x14ac:dyDescent="0.25">
      <c r="C34" s="10">
        <v>14</v>
      </c>
      <c r="D34" s="11">
        <v>45637</v>
      </c>
      <c r="E34" s="10">
        <v>310</v>
      </c>
      <c r="F34" s="22" t="s">
        <v>24</v>
      </c>
      <c r="G34" s="7">
        <v>1000</v>
      </c>
      <c r="H34" s="12">
        <v>112</v>
      </c>
      <c r="I34" s="7">
        <v>1000</v>
      </c>
      <c r="J34" s="7"/>
      <c r="K34" s="7"/>
      <c r="L34" s="7"/>
      <c r="M34" s="7"/>
      <c r="N34" s="7"/>
      <c r="O34" s="7"/>
      <c r="P34" s="7"/>
      <c r="Q34" s="7"/>
      <c r="R34" s="7"/>
      <c r="T34" s="97" t="s">
        <v>184</v>
      </c>
      <c r="U34" s="98"/>
      <c r="V34" s="99"/>
      <c r="W34" s="35">
        <f>SUM(W32,W33)</f>
        <v>187004</v>
      </c>
    </row>
    <row r="35" spans="3:23" ht="15.75" customHeight="1" x14ac:dyDescent="0.25">
      <c r="C35" s="10">
        <v>15</v>
      </c>
      <c r="D35" s="11">
        <v>45635</v>
      </c>
      <c r="E35" s="10" t="s">
        <v>727</v>
      </c>
      <c r="F35" s="22" t="s">
        <v>728</v>
      </c>
      <c r="G35" s="7">
        <v>500</v>
      </c>
      <c r="H35" s="12">
        <v>182</v>
      </c>
      <c r="I35" s="7"/>
      <c r="J35" s="7"/>
      <c r="K35" s="7"/>
      <c r="L35" s="7"/>
      <c r="M35" s="7"/>
      <c r="N35" s="7"/>
      <c r="O35" s="7"/>
      <c r="P35" s="7"/>
      <c r="Q35" s="7">
        <v>500</v>
      </c>
      <c r="R35" s="7"/>
      <c r="T35" s="97" t="s">
        <v>186</v>
      </c>
      <c r="U35" s="98"/>
      <c r="V35" s="99"/>
      <c r="W35" s="7">
        <f>'Dec 24'!$I$104</f>
        <v>52620</v>
      </c>
    </row>
    <row r="36" spans="3:23" ht="15.75" customHeight="1" x14ac:dyDescent="0.25">
      <c r="C36" s="10">
        <v>16</v>
      </c>
      <c r="D36" s="11">
        <v>45635</v>
      </c>
      <c r="E36" s="10" t="s">
        <v>729</v>
      </c>
      <c r="F36" s="22" t="s">
        <v>51</v>
      </c>
      <c r="G36" s="7">
        <v>5000</v>
      </c>
      <c r="H36" s="12">
        <v>178</v>
      </c>
      <c r="I36" s="7"/>
      <c r="J36" s="7"/>
      <c r="K36" s="7"/>
      <c r="L36" s="7"/>
      <c r="M36" s="7">
        <v>5000</v>
      </c>
      <c r="N36" s="7"/>
      <c r="O36" s="7"/>
      <c r="P36" s="7"/>
      <c r="Q36" s="7"/>
      <c r="R36" s="7"/>
      <c r="T36" s="97"/>
      <c r="U36" s="98"/>
      <c r="V36" s="99"/>
      <c r="W36" s="7"/>
    </row>
    <row r="37" spans="3:23" ht="15.75" customHeight="1" x14ac:dyDescent="0.25">
      <c r="C37" s="10">
        <v>17</v>
      </c>
      <c r="D37" s="11">
        <v>45638</v>
      </c>
      <c r="E37" s="10">
        <v>311</v>
      </c>
      <c r="F37" s="22" t="s">
        <v>482</v>
      </c>
      <c r="G37" s="7">
        <v>2000</v>
      </c>
      <c r="H37" s="12">
        <v>104</v>
      </c>
      <c r="I37" s="7">
        <v>2000</v>
      </c>
      <c r="J37" s="7"/>
      <c r="K37" s="7"/>
      <c r="L37" s="7"/>
      <c r="M37" s="7"/>
      <c r="N37" s="7"/>
      <c r="O37" s="7"/>
      <c r="P37" s="7"/>
      <c r="Q37" s="7"/>
      <c r="R37" s="7"/>
      <c r="T37" s="100" t="s">
        <v>188</v>
      </c>
      <c r="U37" s="98"/>
      <c r="V37" s="99"/>
      <c r="W37" s="36">
        <f>SUM(W34-W35)</f>
        <v>134384</v>
      </c>
    </row>
    <row r="38" spans="3:23" ht="15.75" customHeight="1" x14ac:dyDescent="0.25">
      <c r="C38" s="10">
        <v>18</v>
      </c>
      <c r="D38" s="11">
        <v>45639</v>
      </c>
      <c r="E38" s="10">
        <v>314</v>
      </c>
      <c r="F38" s="22" t="s">
        <v>90</v>
      </c>
      <c r="G38" s="7">
        <v>2000</v>
      </c>
      <c r="H38" s="12">
        <v>109</v>
      </c>
      <c r="I38" s="7">
        <v>2000</v>
      </c>
      <c r="J38" s="7"/>
      <c r="K38" s="7"/>
      <c r="L38" s="7"/>
      <c r="M38" s="7"/>
      <c r="N38" s="7"/>
      <c r="O38" s="7"/>
      <c r="P38" s="7"/>
      <c r="Q38" s="7"/>
      <c r="R38" s="7"/>
    </row>
    <row r="39" spans="3:23" ht="15.75" customHeight="1" x14ac:dyDescent="0.25">
      <c r="C39" s="10">
        <v>18</v>
      </c>
      <c r="D39" s="11">
        <v>45639</v>
      </c>
      <c r="E39" s="24">
        <v>315</v>
      </c>
      <c r="F39" s="22" t="s">
        <v>46</v>
      </c>
      <c r="G39" s="7">
        <v>200</v>
      </c>
      <c r="H39" s="12">
        <v>119</v>
      </c>
      <c r="I39" s="7">
        <v>200</v>
      </c>
      <c r="J39" s="7"/>
      <c r="K39" s="7"/>
      <c r="L39" s="7"/>
      <c r="M39" s="7"/>
      <c r="N39" s="7"/>
      <c r="O39" s="7"/>
      <c r="P39" s="7"/>
      <c r="Q39" s="7"/>
      <c r="R39" s="7"/>
    </row>
    <row r="40" spans="3:23" ht="15.75" customHeight="1" x14ac:dyDescent="0.25">
      <c r="C40" s="10">
        <v>19</v>
      </c>
      <c r="D40" s="11">
        <v>45639</v>
      </c>
      <c r="E40" s="10">
        <v>316</v>
      </c>
      <c r="F40" s="22" t="s">
        <v>80</v>
      </c>
      <c r="G40" s="7">
        <v>20</v>
      </c>
      <c r="H40" s="12">
        <v>120</v>
      </c>
      <c r="I40" s="7">
        <v>20</v>
      </c>
      <c r="J40" s="7"/>
      <c r="K40" s="7"/>
      <c r="L40" s="7"/>
      <c r="M40" s="7"/>
      <c r="N40" s="7"/>
      <c r="O40" s="7"/>
      <c r="P40" s="7"/>
      <c r="Q40" s="7"/>
      <c r="R40" s="7"/>
      <c r="T40" s="33" t="s">
        <v>730</v>
      </c>
    </row>
    <row r="41" spans="3:23" ht="15.75" customHeight="1" x14ac:dyDescent="0.25">
      <c r="C41" s="10">
        <v>20</v>
      </c>
      <c r="D41" s="11">
        <v>45640</v>
      </c>
      <c r="E41" s="10">
        <v>318</v>
      </c>
      <c r="F41" s="22" t="s">
        <v>656</v>
      </c>
      <c r="G41" s="7">
        <v>1500</v>
      </c>
      <c r="H41" s="12">
        <v>180</v>
      </c>
      <c r="I41" s="7"/>
      <c r="J41" s="7"/>
      <c r="K41" s="7"/>
      <c r="L41" s="7"/>
      <c r="M41" s="7"/>
      <c r="N41" s="7"/>
      <c r="O41" s="7"/>
      <c r="P41" s="7"/>
      <c r="Q41" s="7">
        <v>2000</v>
      </c>
      <c r="R41" s="7"/>
    </row>
    <row r="42" spans="3:23" ht="15.75" customHeight="1" x14ac:dyDescent="0.25">
      <c r="C42" s="10">
        <v>21</v>
      </c>
      <c r="D42" s="11">
        <v>45640</v>
      </c>
      <c r="E42" s="10">
        <v>319</v>
      </c>
      <c r="F42" s="22" t="s">
        <v>278</v>
      </c>
      <c r="G42" s="7">
        <v>10000</v>
      </c>
      <c r="H42" s="12">
        <v>130</v>
      </c>
      <c r="I42" s="7">
        <v>10000</v>
      </c>
      <c r="J42" s="7"/>
      <c r="K42" s="7"/>
      <c r="L42" s="7"/>
      <c r="M42" s="7"/>
      <c r="N42" s="7"/>
      <c r="O42" s="7"/>
      <c r="P42" s="7"/>
      <c r="Q42" s="7"/>
      <c r="R42" s="7"/>
    </row>
    <row r="43" spans="3:23" ht="15.75" customHeight="1" x14ac:dyDescent="0.25">
      <c r="C43" s="10">
        <v>22</v>
      </c>
      <c r="D43" s="11">
        <v>45640</v>
      </c>
      <c r="E43" s="10">
        <v>320</v>
      </c>
      <c r="F43" s="22" t="s">
        <v>731</v>
      </c>
      <c r="G43" s="7">
        <v>1200</v>
      </c>
      <c r="H43" s="12">
        <v>114</v>
      </c>
      <c r="I43" s="7">
        <v>1200</v>
      </c>
      <c r="J43" s="7"/>
      <c r="K43" s="7"/>
      <c r="L43" s="7"/>
      <c r="M43" s="7"/>
      <c r="N43" s="7"/>
      <c r="O43" s="7"/>
      <c r="P43" s="7"/>
      <c r="Q43" s="7"/>
      <c r="R43" s="7"/>
    </row>
    <row r="44" spans="3:23" ht="15.75" customHeight="1" x14ac:dyDescent="0.25">
      <c r="C44" s="10">
        <v>23</v>
      </c>
      <c r="D44" s="11">
        <v>45639</v>
      </c>
      <c r="E44" s="10" t="s">
        <v>732</v>
      </c>
      <c r="F44" s="22" t="s">
        <v>733</v>
      </c>
      <c r="G44" s="7">
        <v>500</v>
      </c>
      <c r="H44" s="12">
        <v>177</v>
      </c>
      <c r="I44" s="7"/>
      <c r="J44" s="7"/>
      <c r="K44" s="7"/>
      <c r="L44" s="7"/>
      <c r="M44" s="7"/>
      <c r="N44" s="7"/>
      <c r="O44" s="7"/>
      <c r="P44" s="7"/>
      <c r="Q44" s="7">
        <v>500</v>
      </c>
      <c r="R44" s="7"/>
    </row>
    <row r="45" spans="3:23" ht="15.75" customHeight="1" x14ac:dyDescent="0.25">
      <c r="C45" s="10"/>
      <c r="D45" s="11">
        <v>45640</v>
      </c>
      <c r="E45" s="10" t="s">
        <v>734</v>
      </c>
      <c r="F45" s="22" t="s">
        <v>80</v>
      </c>
      <c r="G45" s="7">
        <v>100</v>
      </c>
      <c r="H45" s="12">
        <v>180</v>
      </c>
      <c r="I45" s="7"/>
      <c r="J45" s="7"/>
      <c r="K45" s="7"/>
      <c r="L45" s="7"/>
      <c r="M45" s="7"/>
      <c r="N45" s="7"/>
      <c r="O45" s="7"/>
      <c r="P45" s="7">
        <v>100</v>
      </c>
      <c r="Q45" s="7"/>
      <c r="R45" s="7"/>
    </row>
    <row r="46" spans="3:23" ht="15.75" customHeight="1" x14ac:dyDescent="0.25">
      <c r="C46" s="10"/>
      <c r="D46" s="11">
        <v>45640</v>
      </c>
      <c r="E46" s="10" t="s">
        <v>735</v>
      </c>
      <c r="F46" s="22" t="s">
        <v>80</v>
      </c>
      <c r="G46" s="7">
        <v>500</v>
      </c>
      <c r="H46" s="12">
        <v>170</v>
      </c>
      <c r="I46" s="7"/>
      <c r="J46" s="7"/>
      <c r="K46" s="7"/>
      <c r="L46" s="7"/>
      <c r="M46" s="7"/>
      <c r="N46" s="7"/>
      <c r="O46" s="7"/>
      <c r="P46" s="7">
        <v>500</v>
      </c>
      <c r="Q46" s="7"/>
      <c r="R46" s="7"/>
    </row>
    <row r="47" spans="3:23" ht="15.75" customHeight="1" x14ac:dyDescent="0.25">
      <c r="C47" s="10">
        <v>24</v>
      </c>
      <c r="D47" s="11">
        <v>45640</v>
      </c>
      <c r="E47" s="10" t="s">
        <v>736</v>
      </c>
      <c r="F47" s="22" t="s">
        <v>49</v>
      </c>
      <c r="G47" s="7">
        <v>1000</v>
      </c>
      <c r="H47" s="12">
        <v>184</v>
      </c>
      <c r="I47" s="7"/>
      <c r="J47" s="7"/>
      <c r="K47" s="7"/>
      <c r="L47" s="7"/>
      <c r="M47" s="7"/>
      <c r="N47" s="7"/>
      <c r="O47" s="7"/>
      <c r="P47" s="7"/>
      <c r="Q47" s="7">
        <v>1000</v>
      </c>
      <c r="R47" s="7"/>
    </row>
    <row r="48" spans="3:23" ht="15.75" customHeight="1" x14ac:dyDescent="0.25">
      <c r="C48" s="10">
        <v>26</v>
      </c>
      <c r="D48" s="11">
        <v>45640</v>
      </c>
      <c r="E48" s="10" t="s">
        <v>737</v>
      </c>
      <c r="F48" s="22" t="s">
        <v>614</v>
      </c>
      <c r="G48" s="7">
        <v>5000</v>
      </c>
      <c r="H48" s="12">
        <v>167</v>
      </c>
      <c r="I48" s="7"/>
      <c r="J48" s="7"/>
      <c r="K48" s="7"/>
      <c r="L48" s="7"/>
      <c r="M48" s="7">
        <v>5000</v>
      </c>
      <c r="N48" s="7"/>
      <c r="O48" s="7"/>
      <c r="P48" s="7"/>
      <c r="Q48" s="7"/>
      <c r="R48" s="7"/>
      <c r="S48" s="1"/>
    </row>
    <row r="49" spans="3:19" ht="15.75" customHeight="1" x14ac:dyDescent="0.25">
      <c r="C49" s="10">
        <v>27</v>
      </c>
      <c r="D49" s="11">
        <v>45640</v>
      </c>
      <c r="E49" s="10" t="s">
        <v>738</v>
      </c>
      <c r="F49" s="22" t="s">
        <v>614</v>
      </c>
      <c r="G49" s="7">
        <v>5000</v>
      </c>
      <c r="H49" s="12">
        <v>168</v>
      </c>
      <c r="I49" s="7"/>
      <c r="J49" s="7"/>
      <c r="K49" s="7"/>
      <c r="L49" s="7"/>
      <c r="M49" s="7">
        <v>5000</v>
      </c>
      <c r="N49" s="7"/>
      <c r="O49" s="7"/>
      <c r="P49" s="7"/>
      <c r="Q49" s="7"/>
      <c r="R49" s="7"/>
      <c r="S49" s="1"/>
    </row>
    <row r="50" spans="3:19" ht="15.75" customHeight="1" x14ac:dyDescent="0.25">
      <c r="C50" s="10"/>
      <c r="D50" s="11">
        <v>45642</v>
      </c>
      <c r="E50" s="10" t="s">
        <v>739</v>
      </c>
      <c r="F50" s="22" t="s">
        <v>49</v>
      </c>
      <c r="G50" s="7">
        <v>1000</v>
      </c>
      <c r="H50" s="12">
        <v>184</v>
      </c>
      <c r="I50" s="7"/>
      <c r="J50" s="7"/>
      <c r="K50" s="7"/>
      <c r="L50" s="7"/>
      <c r="M50" s="7"/>
      <c r="N50" s="7"/>
      <c r="O50" s="7"/>
      <c r="P50" s="7"/>
      <c r="Q50" s="7">
        <v>1000</v>
      </c>
      <c r="R50" s="7"/>
      <c r="S50" s="1"/>
    </row>
    <row r="51" spans="3:19" ht="15.75" customHeight="1" x14ac:dyDescent="0.25">
      <c r="C51" s="10">
        <v>28</v>
      </c>
      <c r="D51" s="11">
        <v>45644</v>
      </c>
      <c r="E51" s="10">
        <v>321</v>
      </c>
      <c r="F51" s="22" t="s">
        <v>740</v>
      </c>
      <c r="G51" s="7">
        <v>200</v>
      </c>
      <c r="H51" s="12">
        <v>181</v>
      </c>
      <c r="I51" s="7"/>
      <c r="J51" s="7"/>
      <c r="K51" s="7"/>
      <c r="L51" s="7"/>
      <c r="M51" s="7"/>
      <c r="N51" s="7"/>
      <c r="O51" s="7"/>
      <c r="P51" s="7"/>
      <c r="Q51" s="7">
        <v>200</v>
      </c>
      <c r="R51" s="7"/>
      <c r="S51" s="1"/>
    </row>
    <row r="52" spans="3:19" ht="15.75" customHeight="1" x14ac:dyDescent="0.25">
      <c r="C52" s="10">
        <v>29</v>
      </c>
      <c r="D52" s="11">
        <v>45647</v>
      </c>
      <c r="E52" s="10">
        <v>323</v>
      </c>
      <c r="F52" s="22" t="s">
        <v>44</v>
      </c>
      <c r="G52" s="7">
        <v>100</v>
      </c>
      <c r="H52" s="12">
        <v>118</v>
      </c>
      <c r="I52" s="7">
        <v>500</v>
      </c>
      <c r="J52" s="7"/>
      <c r="K52" s="7"/>
      <c r="L52" s="7"/>
      <c r="M52" s="7"/>
      <c r="N52" s="7"/>
      <c r="O52" s="7"/>
      <c r="P52" s="7"/>
      <c r="Q52" s="7"/>
      <c r="R52" s="7"/>
      <c r="S52" s="1"/>
    </row>
    <row r="53" spans="3:19" ht="15.75" customHeight="1" x14ac:dyDescent="0.25">
      <c r="C53" s="10">
        <v>30</v>
      </c>
      <c r="D53" s="11">
        <v>45647</v>
      </c>
      <c r="E53" s="10" t="s">
        <v>27</v>
      </c>
      <c r="F53" s="22" t="s">
        <v>69</v>
      </c>
      <c r="G53" s="7">
        <v>400</v>
      </c>
      <c r="H53" s="12">
        <v>188</v>
      </c>
      <c r="I53" s="7"/>
      <c r="J53" s="7"/>
      <c r="K53" s="7"/>
      <c r="L53" s="7"/>
      <c r="M53" s="7"/>
      <c r="N53" s="7"/>
      <c r="O53" s="7"/>
      <c r="P53" s="7"/>
      <c r="Q53" s="7">
        <v>400</v>
      </c>
      <c r="R53" s="7"/>
      <c r="S53" s="1"/>
    </row>
    <row r="54" spans="3:19" ht="15.75" customHeight="1" x14ac:dyDescent="0.25">
      <c r="C54" s="10">
        <v>32</v>
      </c>
      <c r="D54" s="11">
        <v>45647</v>
      </c>
      <c r="E54" s="10" t="s">
        <v>27</v>
      </c>
      <c r="F54" s="22" t="s">
        <v>255</v>
      </c>
      <c r="G54" s="7">
        <v>500</v>
      </c>
      <c r="H54" s="12">
        <v>119</v>
      </c>
      <c r="I54" s="7">
        <v>500</v>
      </c>
      <c r="J54" s="7"/>
      <c r="K54" s="7"/>
      <c r="L54" s="7"/>
      <c r="M54" s="7"/>
      <c r="N54" s="7"/>
      <c r="O54" s="7"/>
      <c r="P54" s="7"/>
      <c r="Q54" s="7"/>
      <c r="R54" s="7"/>
      <c r="S54" s="1"/>
    </row>
    <row r="55" spans="3:19" ht="15.75" customHeight="1" x14ac:dyDescent="0.25">
      <c r="C55" s="10">
        <v>33</v>
      </c>
      <c r="D55" s="11">
        <v>45650</v>
      </c>
      <c r="E55" s="10">
        <v>324</v>
      </c>
      <c r="F55" s="22" t="s">
        <v>333</v>
      </c>
      <c r="G55" s="7">
        <v>500</v>
      </c>
      <c r="H55" s="12">
        <v>115</v>
      </c>
      <c r="I55" s="7">
        <v>500</v>
      </c>
      <c r="J55" s="7"/>
      <c r="K55" s="7"/>
      <c r="L55" s="7"/>
      <c r="M55" s="7"/>
      <c r="N55" s="7"/>
      <c r="O55" s="7"/>
      <c r="P55" s="7"/>
      <c r="Q55" s="7"/>
      <c r="R55" s="7"/>
      <c r="S55" s="1"/>
    </row>
    <row r="56" spans="3:19" ht="15.75" customHeight="1" x14ac:dyDescent="0.25">
      <c r="C56" s="10">
        <v>34</v>
      </c>
      <c r="D56" s="11">
        <v>45650</v>
      </c>
      <c r="E56" s="10" t="s">
        <v>741</v>
      </c>
      <c r="F56" s="22" t="s">
        <v>623</v>
      </c>
      <c r="G56" s="7">
        <v>1900</v>
      </c>
      <c r="H56" s="12">
        <v>172</v>
      </c>
      <c r="I56" s="7"/>
      <c r="J56" s="7"/>
      <c r="K56" s="7"/>
      <c r="L56" s="7">
        <v>1900</v>
      </c>
      <c r="M56" s="7"/>
      <c r="N56" s="7"/>
      <c r="O56" s="7"/>
      <c r="P56" s="7"/>
      <c r="Q56" s="7"/>
      <c r="R56" s="7"/>
      <c r="S56" s="1"/>
    </row>
    <row r="57" spans="3:19" ht="15.75" customHeight="1" x14ac:dyDescent="0.25">
      <c r="C57" s="10">
        <v>35</v>
      </c>
      <c r="D57" s="15">
        <v>45651</v>
      </c>
      <c r="E57" s="10">
        <v>325</v>
      </c>
      <c r="F57" s="22" t="s">
        <v>614</v>
      </c>
      <c r="G57" s="7">
        <v>1500</v>
      </c>
      <c r="H57" s="12">
        <v>176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1"/>
    </row>
    <row r="58" spans="3:19" ht="15.75" customHeight="1" x14ac:dyDescent="0.25">
      <c r="C58" s="10">
        <v>36</v>
      </c>
      <c r="D58" s="11">
        <v>45651</v>
      </c>
      <c r="E58" s="10">
        <v>326</v>
      </c>
      <c r="F58" s="90" t="s">
        <v>268</v>
      </c>
      <c r="G58" s="7">
        <v>200</v>
      </c>
      <c r="H58" s="12">
        <v>190</v>
      </c>
      <c r="I58" s="7"/>
      <c r="J58" s="7"/>
      <c r="K58" s="7"/>
      <c r="L58" s="7"/>
      <c r="M58" s="7"/>
      <c r="N58" s="7"/>
      <c r="O58" s="7"/>
      <c r="P58" s="7"/>
      <c r="Q58" s="7">
        <v>190</v>
      </c>
      <c r="R58" s="7"/>
      <c r="S58" s="1"/>
    </row>
    <row r="59" spans="3:19" ht="15.75" customHeight="1" x14ac:dyDescent="0.25">
      <c r="C59" s="10">
        <v>37</v>
      </c>
      <c r="D59" s="11">
        <v>45651</v>
      </c>
      <c r="E59" s="92" t="s">
        <v>27</v>
      </c>
      <c r="F59" s="90" t="s">
        <v>69</v>
      </c>
      <c r="G59" s="7">
        <v>200</v>
      </c>
      <c r="H59" s="91">
        <v>188</v>
      </c>
      <c r="I59" s="93" t="s">
        <v>84</v>
      </c>
      <c r="J59" s="7"/>
      <c r="K59" s="7"/>
      <c r="L59" s="7"/>
      <c r="M59" s="7"/>
      <c r="N59" s="7"/>
      <c r="O59" s="7"/>
      <c r="P59" s="7">
        <v>200</v>
      </c>
      <c r="Q59" s="7"/>
      <c r="R59" s="7"/>
      <c r="S59" s="1"/>
    </row>
    <row r="60" spans="3:19" ht="15.75" customHeight="1" x14ac:dyDescent="0.25">
      <c r="C60" s="10">
        <v>38</v>
      </c>
      <c r="D60" s="11">
        <v>45652</v>
      </c>
      <c r="E60" s="10">
        <v>327</v>
      </c>
      <c r="F60" s="90" t="s">
        <v>44</v>
      </c>
      <c r="G60" s="7">
        <v>2025</v>
      </c>
      <c r="H60" s="91" t="s">
        <v>743</v>
      </c>
      <c r="I60" s="7">
        <v>600</v>
      </c>
      <c r="J60" s="7"/>
      <c r="K60" s="7"/>
      <c r="L60" s="7"/>
      <c r="M60" s="7"/>
      <c r="N60" s="7"/>
      <c r="O60" s="7"/>
      <c r="P60" s="7">
        <v>1425</v>
      </c>
      <c r="Q60" s="7"/>
      <c r="R60" s="7"/>
      <c r="S60" s="1"/>
    </row>
    <row r="61" spans="3:19" ht="15.75" customHeight="1" x14ac:dyDescent="0.25">
      <c r="C61" s="10">
        <v>41</v>
      </c>
      <c r="D61" s="11">
        <v>45652</v>
      </c>
      <c r="E61" s="10">
        <v>329</v>
      </c>
      <c r="F61" s="90" t="s">
        <v>51</v>
      </c>
      <c r="G61" s="7">
        <v>2000</v>
      </c>
      <c r="H61" s="31">
        <v>198</v>
      </c>
      <c r="I61" s="7"/>
      <c r="J61" s="7"/>
      <c r="K61" s="7"/>
      <c r="L61" s="7"/>
      <c r="M61" s="7"/>
      <c r="N61" s="7"/>
      <c r="O61" s="7"/>
      <c r="P61" s="7"/>
      <c r="Q61" s="7">
        <v>2000</v>
      </c>
      <c r="R61" s="7"/>
      <c r="S61" s="1"/>
    </row>
    <row r="62" spans="3:19" ht="15.75" customHeight="1" x14ac:dyDescent="0.25">
      <c r="C62" s="10">
        <v>39</v>
      </c>
      <c r="D62" s="11">
        <v>45654</v>
      </c>
      <c r="E62" s="10">
        <v>330</v>
      </c>
      <c r="F62" s="90" t="s">
        <v>80</v>
      </c>
      <c r="G62" s="7">
        <v>2000</v>
      </c>
      <c r="H62" s="12">
        <v>118</v>
      </c>
      <c r="I62" s="7">
        <v>2000</v>
      </c>
      <c r="J62" s="7"/>
      <c r="K62" s="7"/>
      <c r="L62" s="7"/>
      <c r="M62" s="7"/>
      <c r="N62" s="7"/>
      <c r="O62" s="7"/>
      <c r="P62" s="7"/>
      <c r="Q62" s="7"/>
      <c r="R62" s="7"/>
      <c r="S62" s="1"/>
    </row>
    <row r="63" spans="3:19" ht="15.75" customHeight="1" x14ac:dyDescent="0.25">
      <c r="C63" s="10">
        <v>42</v>
      </c>
      <c r="D63" s="11">
        <v>45656</v>
      </c>
      <c r="E63" s="10">
        <v>331</v>
      </c>
      <c r="F63" s="90" t="s">
        <v>333</v>
      </c>
      <c r="G63" s="7">
        <v>2000</v>
      </c>
      <c r="H63" s="12">
        <v>115</v>
      </c>
      <c r="I63" s="7">
        <v>2000</v>
      </c>
      <c r="J63" s="7"/>
      <c r="K63" s="7"/>
      <c r="L63" s="7"/>
      <c r="M63" s="7"/>
      <c r="N63" s="7"/>
      <c r="O63" s="7"/>
      <c r="P63" s="7"/>
      <c r="Q63" s="7"/>
      <c r="R63" s="7"/>
      <c r="S63" s="1"/>
    </row>
    <row r="64" spans="3:19" ht="15.75" customHeight="1" x14ac:dyDescent="0.25">
      <c r="C64" s="10">
        <v>40</v>
      </c>
      <c r="D64" s="11">
        <v>45657</v>
      </c>
      <c r="E64" s="10">
        <v>332</v>
      </c>
      <c r="F64" s="90" t="s">
        <v>647</v>
      </c>
      <c r="G64" s="7">
        <v>3000</v>
      </c>
      <c r="H64" s="12">
        <v>122</v>
      </c>
      <c r="I64" s="7">
        <v>3000</v>
      </c>
      <c r="J64" s="7"/>
      <c r="K64" s="7"/>
      <c r="L64" s="7"/>
      <c r="M64" s="7"/>
      <c r="N64" s="7"/>
      <c r="O64" s="7"/>
      <c r="P64" s="7"/>
      <c r="Q64" s="7"/>
      <c r="R64" s="7"/>
      <c r="S64" s="1"/>
    </row>
    <row r="65" spans="3:19" ht="15.75" customHeight="1" x14ac:dyDescent="0.25">
      <c r="C65" s="10">
        <v>43</v>
      </c>
      <c r="D65" s="11">
        <v>45657</v>
      </c>
      <c r="E65" s="10">
        <v>333</v>
      </c>
      <c r="F65" s="90" t="s">
        <v>641</v>
      </c>
      <c r="G65" s="7">
        <v>600</v>
      </c>
      <c r="H65" s="12">
        <v>114</v>
      </c>
      <c r="I65" s="7">
        <v>600</v>
      </c>
      <c r="J65" s="7"/>
      <c r="K65" s="7"/>
      <c r="L65" s="7"/>
      <c r="M65" s="7"/>
      <c r="N65" s="7"/>
      <c r="O65" s="7"/>
      <c r="P65" s="7"/>
      <c r="Q65" s="7"/>
      <c r="R65" s="7"/>
      <c r="S65" s="1"/>
    </row>
    <row r="66" spans="3:19" ht="15.75" customHeight="1" x14ac:dyDescent="0.25">
      <c r="C66" s="10">
        <v>44</v>
      </c>
      <c r="D66" s="11">
        <v>45657</v>
      </c>
      <c r="E66" s="10">
        <v>334</v>
      </c>
      <c r="F66" s="90" t="s">
        <v>617</v>
      </c>
      <c r="G66" s="7">
        <v>500</v>
      </c>
      <c r="H66" s="12">
        <v>114</v>
      </c>
      <c r="I66" s="7">
        <v>500</v>
      </c>
      <c r="J66" s="7"/>
      <c r="K66" s="7"/>
      <c r="L66" s="7"/>
      <c r="M66" s="7"/>
      <c r="N66" s="7"/>
      <c r="O66" s="7"/>
      <c r="P66" s="7"/>
      <c r="Q66" s="7"/>
      <c r="R66" s="7"/>
      <c r="S66" s="1"/>
    </row>
    <row r="67" spans="3:19" ht="15.75" customHeight="1" x14ac:dyDescent="0.25">
      <c r="C67" s="10">
        <v>45</v>
      </c>
      <c r="D67" s="11"/>
      <c r="E67" s="10"/>
      <c r="F67" s="22" t="s">
        <v>317</v>
      </c>
      <c r="G67" s="7"/>
      <c r="H67" s="12"/>
      <c r="I67" s="7"/>
      <c r="J67" s="7"/>
      <c r="K67" s="7"/>
      <c r="L67" s="7"/>
      <c r="M67" s="7"/>
      <c r="N67" s="7"/>
      <c r="O67" s="7"/>
      <c r="P67" s="7"/>
      <c r="Q67" s="7"/>
      <c r="R67" s="7"/>
      <c r="S67" s="1"/>
    </row>
    <row r="68" spans="3:19" ht="15.75" customHeight="1" x14ac:dyDescent="0.25">
      <c r="C68" s="10">
        <v>46</v>
      </c>
      <c r="D68" s="11"/>
      <c r="E68" s="10"/>
      <c r="F68" s="22" t="s">
        <v>80</v>
      </c>
      <c r="G68" s="7"/>
      <c r="H68" s="12"/>
      <c r="I68" s="7"/>
      <c r="J68" s="7"/>
      <c r="K68" s="7"/>
      <c r="L68" s="7"/>
      <c r="M68" s="7"/>
      <c r="N68" s="7"/>
      <c r="O68" s="7"/>
      <c r="P68" s="7"/>
      <c r="Q68" s="7"/>
      <c r="R68" s="7"/>
      <c r="S68" s="1"/>
    </row>
    <row r="69" spans="3:19" ht="15.75" customHeight="1" x14ac:dyDescent="0.25">
      <c r="C69" s="10">
        <v>47</v>
      </c>
      <c r="D69" s="11"/>
      <c r="E69" s="10"/>
      <c r="F69" s="22" t="s">
        <v>614</v>
      </c>
      <c r="G69" s="7"/>
      <c r="H69" s="12"/>
      <c r="I69" s="7"/>
      <c r="J69" s="7"/>
      <c r="K69" s="7"/>
      <c r="L69" s="7"/>
      <c r="M69" s="7"/>
      <c r="N69" s="7"/>
      <c r="O69" s="7"/>
      <c r="P69" s="7"/>
      <c r="Q69" s="7"/>
      <c r="R69" s="7"/>
      <c r="S69" s="1"/>
    </row>
    <row r="70" spans="3:19" ht="15.75" customHeight="1" x14ac:dyDescent="0.25">
      <c r="C70" s="10">
        <v>48</v>
      </c>
      <c r="D70" s="11"/>
      <c r="E70" s="10"/>
      <c r="F70" s="22" t="s">
        <v>669</v>
      </c>
      <c r="G70" s="7"/>
      <c r="H70" s="12"/>
      <c r="I70" s="7"/>
      <c r="J70" s="7"/>
      <c r="K70" s="7"/>
      <c r="L70" s="7"/>
      <c r="M70" s="7"/>
      <c r="N70" s="7"/>
      <c r="O70" s="7"/>
      <c r="P70" s="7"/>
      <c r="Q70" s="7"/>
      <c r="R70" s="7"/>
      <c r="S70" s="1"/>
    </row>
    <row r="71" spans="3:19" ht="15.75" customHeight="1" x14ac:dyDescent="0.25">
      <c r="C71" s="10">
        <v>49</v>
      </c>
      <c r="D71" s="11"/>
      <c r="E71" s="10"/>
      <c r="F71" s="22" t="s">
        <v>656</v>
      </c>
      <c r="G71" s="7"/>
      <c r="H71" s="12"/>
      <c r="I71" s="7"/>
      <c r="J71" s="7"/>
      <c r="K71" s="7"/>
      <c r="L71" s="7"/>
      <c r="M71" s="7"/>
      <c r="N71" s="7"/>
      <c r="O71" s="7"/>
      <c r="P71" s="7"/>
      <c r="Q71" s="7"/>
      <c r="R71" s="7"/>
      <c r="S71" s="1"/>
    </row>
    <row r="72" spans="3:19" ht="15.75" customHeight="1" x14ac:dyDescent="0.25">
      <c r="C72" s="10">
        <v>50</v>
      </c>
      <c r="D72" s="11"/>
      <c r="E72" s="10"/>
      <c r="F72" s="22" t="s">
        <v>542</v>
      </c>
      <c r="G72" s="7"/>
      <c r="H72" s="12"/>
      <c r="I72" s="7"/>
      <c r="J72" s="7"/>
      <c r="K72" s="7"/>
      <c r="L72" s="7"/>
      <c r="M72" s="7"/>
      <c r="N72" s="7"/>
      <c r="O72" s="7"/>
      <c r="P72" s="7"/>
      <c r="Q72" s="7"/>
      <c r="R72" s="7"/>
      <c r="S72" s="1"/>
    </row>
    <row r="73" spans="3:19" ht="15.75" customHeight="1" x14ac:dyDescent="0.25">
      <c r="C73" s="10">
        <v>51</v>
      </c>
      <c r="D73" s="11"/>
      <c r="E73" s="10"/>
      <c r="F73" s="22" t="s">
        <v>614</v>
      </c>
      <c r="G73" s="7"/>
      <c r="H73" s="12"/>
      <c r="I73" s="7"/>
      <c r="J73" s="7"/>
      <c r="K73" s="7"/>
      <c r="L73" s="7"/>
      <c r="M73" s="7"/>
      <c r="N73" s="7"/>
      <c r="O73" s="7"/>
      <c r="P73" s="7"/>
      <c r="Q73" s="7"/>
      <c r="R73" s="7"/>
      <c r="S73" s="1"/>
    </row>
    <row r="74" spans="3:19" ht="15.75" customHeight="1" x14ac:dyDescent="0.25">
      <c r="C74" s="10">
        <v>52</v>
      </c>
      <c r="D74" s="11"/>
      <c r="E74" s="10"/>
      <c r="F74" s="22" t="s">
        <v>157</v>
      </c>
      <c r="G74" s="7"/>
      <c r="H74" s="31"/>
      <c r="I74" s="7"/>
      <c r="J74" s="7"/>
      <c r="K74" s="7"/>
      <c r="L74" s="7"/>
      <c r="M74" s="7"/>
      <c r="N74" s="7"/>
      <c r="O74" s="7"/>
      <c r="P74" s="7"/>
      <c r="Q74" s="7"/>
      <c r="R74" s="7"/>
      <c r="S74" s="1"/>
    </row>
    <row r="75" spans="3:19" ht="15.75" customHeight="1" x14ac:dyDescent="0.25">
      <c r="C75" s="10">
        <v>53</v>
      </c>
      <c r="D75" s="11"/>
      <c r="E75" s="10"/>
      <c r="F75" s="22" t="s">
        <v>333</v>
      </c>
      <c r="G75" s="7"/>
      <c r="H75" s="12"/>
      <c r="I75" s="7"/>
      <c r="J75" s="7"/>
      <c r="K75" s="7"/>
      <c r="L75" s="7"/>
      <c r="M75" s="7"/>
      <c r="N75" s="7"/>
      <c r="O75" s="7"/>
      <c r="P75" s="7"/>
      <c r="Q75" s="7"/>
      <c r="R75" s="7"/>
      <c r="S75" s="1"/>
    </row>
    <row r="76" spans="3:19" ht="15.75" customHeight="1" x14ac:dyDescent="0.25">
      <c r="C76" s="10">
        <v>54</v>
      </c>
      <c r="D76" s="11"/>
      <c r="E76" s="10"/>
      <c r="F76" s="22" t="s">
        <v>657</v>
      </c>
      <c r="G76" s="7"/>
      <c r="H76" s="12"/>
      <c r="I76" s="7"/>
      <c r="J76" s="7"/>
      <c r="K76" s="7"/>
      <c r="L76" s="7"/>
      <c r="M76" s="7"/>
      <c r="N76" s="7"/>
      <c r="O76" s="7"/>
      <c r="P76" s="7"/>
      <c r="Q76" s="7"/>
      <c r="R76" s="7"/>
      <c r="S76" s="1"/>
    </row>
    <row r="77" spans="3:19" ht="15.75" customHeight="1" x14ac:dyDescent="0.25">
      <c r="C77" s="10">
        <v>55</v>
      </c>
      <c r="D77" s="11"/>
      <c r="E77" s="10"/>
      <c r="F77" s="22" t="s">
        <v>614</v>
      </c>
      <c r="G77" s="7"/>
      <c r="H77" s="12"/>
      <c r="I77" s="7"/>
      <c r="J77" s="7"/>
      <c r="K77" s="7"/>
      <c r="L77" s="7"/>
      <c r="M77" s="7"/>
      <c r="N77" s="7"/>
      <c r="O77" s="7"/>
      <c r="P77" s="7"/>
      <c r="Q77" s="7"/>
      <c r="R77" s="7"/>
      <c r="S77" s="1"/>
    </row>
    <row r="78" spans="3:19" ht="15.75" customHeight="1" x14ac:dyDescent="0.25">
      <c r="C78" s="10">
        <v>56</v>
      </c>
      <c r="D78" s="11"/>
      <c r="E78" s="10"/>
      <c r="F78" s="22" t="s">
        <v>631</v>
      </c>
      <c r="G78" s="7"/>
      <c r="H78" s="12"/>
      <c r="I78" s="7"/>
      <c r="J78" s="7"/>
      <c r="K78" s="7"/>
      <c r="L78" s="7"/>
      <c r="M78" s="7"/>
      <c r="N78" s="7"/>
      <c r="O78" s="7"/>
      <c r="P78" s="7"/>
      <c r="Q78" s="7"/>
      <c r="R78" s="7"/>
      <c r="S78" s="1"/>
    </row>
    <row r="79" spans="3:19" ht="15.75" customHeight="1" x14ac:dyDescent="0.25">
      <c r="C79" s="10">
        <v>57</v>
      </c>
      <c r="D79" s="11"/>
      <c r="E79" s="10"/>
      <c r="F79" s="22" t="s">
        <v>504</v>
      </c>
      <c r="G79" s="7"/>
      <c r="H79" s="12"/>
      <c r="I79" s="7"/>
      <c r="J79" s="7"/>
      <c r="K79" s="7"/>
      <c r="L79" s="7"/>
      <c r="M79" s="7"/>
      <c r="N79" s="7"/>
      <c r="O79" s="7"/>
      <c r="P79" s="7"/>
      <c r="Q79" s="7"/>
      <c r="R79" s="7"/>
      <c r="S79" s="1"/>
    </row>
    <row r="80" spans="3:19" ht="15.75" customHeight="1" x14ac:dyDescent="0.25">
      <c r="C80" s="10">
        <v>58</v>
      </c>
      <c r="D80" s="11"/>
      <c r="E80" s="10"/>
      <c r="F80" s="22" t="s">
        <v>333</v>
      </c>
      <c r="G80" s="7"/>
      <c r="H80" s="12"/>
      <c r="I80" s="7"/>
      <c r="J80" s="7"/>
      <c r="K80" s="7"/>
      <c r="L80" s="7"/>
      <c r="M80" s="7"/>
      <c r="N80" s="7"/>
      <c r="O80" s="7"/>
      <c r="P80" s="7"/>
      <c r="Q80" s="7"/>
      <c r="R80" s="7"/>
      <c r="S80" s="1"/>
    </row>
    <row r="81" spans="3:19" ht="15.75" customHeight="1" x14ac:dyDescent="0.25">
      <c r="C81" s="10">
        <v>59</v>
      </c>
      <c r="D81" s="11"/>
      <c r="E81" s="10"/>
      <c r="F81" s="22" t="s">
        <v>80</v>
      </c>
      <c r="G81" s="7"/>
      <c r="H81" s="12"/>
      <c r="I81" s="7"/>
      <c r="J81" s="7"/>
      <c r="K81" s="7"/>
      <c r="L81" s="7"/>
      <c r="M81" s="7"/>
      <c r="N81" s="7"/>
      <c r="O81" s="7"/>
      <c r="P81" s="7"/>
      <c r="Q81" s="7"/>
      <c r="R81" s="7"/>
      <c r="S81" s="1"/>
    </row>
    <row r="82" spans="3:19" ht="15.75" customHeight="1" x14ac:dyDescent="0.25">
      <c r="C82" s="10">
        <v>60</v>
      </c>
      <c r="D82" s="11"/>
      <c r="E82" s="10"/>
      <c r="F82" s="22" t="s">
        <v>269</v>
      </c>
      <c r="G82" s="7"/>
      <c r="H82" s="12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3:19" ht="15.75" customHeight="1" x14ac:dyDescent="0.25">
      <c r="C83" s="10">
        <v>61</v>
      </c>
      <c r="D83" s="11"/>
      <c r="E83" s="10"/>
      <c r="F83" s="22" t="s">
        <v>90</v>
      </c>
      <c r="G83" s="7"/>
      <c r="H83" s="12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3:19" ht="15.75" customHeight="1" x14ac:dyDescent="0.25">
      <c r="C84" s="10">
        <v>62</v>
      </c>
      <c r="D84" s="11"/>
      <c r="E84" s="10"/>
      <c r="F84" s="22" t="s">
        <v>394</v>
      </c>
      <c r="G84" s="7"/>
      <c r="H84" s="12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3:19" ht="15.75" customHeight="1" x14ac:dyDescent="0.25">
      <c r="C85" s="10">
        <v>63</v>
      </c>
      <c r="D85" s="11"/>
      <c r="E85" s="10"/>
      <c r="F85" s="22" t="s">
        <v>30</v>
      </c>
      <c r="G85" s="7"/>
      <c r="H85" s="12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3:19" ht="15.75" customHeight="1" x14ac:dyDescent="0.25">
      <c r="C86" s="10">
        <v>64</v>
      </c>
      <c r="D86" s="11"/>
      <c r="E86" s="10"/>
      <c r="F86" s="22" t="s">
        <v>80</v>
      </c>
      <c r="G86" s="7"/>
      <c r="H86" s="12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3:19" ht="15.75" customHeight="1" x14ac:dyDescent="0.25">
      <c r="C87" s="10">
        <v>65</v>
      </c>
      <c r="D87" s="11"/>
      <c r="E87" s="10"/>
      <c r="F87" s="22" t="s">
        <v>139</v>
      </c>
      <c r="G87" s="7"/>
      <c r="H87" s="12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3:19" ht="15.75" customHeight="1" x14ac:dyDescent="0.25">
      <c r="C88" s="10">
        <v>66</v>
      </c>
      <c r="D88" s="11"/>
      <c r="E88" s="10"/>
      <c r="F88" s="22" t="s">
        <v>255</v>
      </c>
      <c r="G88" s="7"/>
      <c r="H88" s="12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3:19" ht="15.75" customHeight="1" x14ac:dyDescent="0.25">
      <c r="C89" s="10">
        <v>67</v>
      </c>
      <c r="D89" s="11"/>
      <c r="E89" s="10"/>
      <c r="F89" s="22" t="s">
        <v>269</v>
      </c>
      <c r="G89" s="7"/>
      <c r="H89" s="12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3:19" ht="15.75" customHeight="1" x14ac:dyDescent="0.25">
      <c r="C90" s="10">
        <v>68</v>
      </c>
      <c r="D90" s="11"/>
      <c r="E90" s="10"/>
      <c r="F90" s="22" t="s">
        <v>37</v>
      </c>
      <c r="G90" s="7"/>
      <c r="H90" s="12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3:19" ht="15.75" customHeight="1" x14ac:dyDescent="0.25">
      <c r="C91" s="10">
        <v>69</v>
      </c>
      <c r="D91" s="11"/>
      <c r="E91" s="10"/>
      <c r="F91" s="22" t="s">
        <v>112</v>
      </c>
      <c r="G91" s="7"/>
      <c r="H91" s="12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3:19" ht="15.75" customHeight="1" x14ac:dyDescent="0.25">
      <c r="C92" s="10">
        <v>70</v>
      </c>
      <c r="D92" s="11"/>
      <c r="E92" s="10"/>
      <c r="F92" s="22" t="s">
        <v>325</v>
      </c>
      <c r="G92" s="7"/>
      <c r="H92" s="12"/>
      <c r="I92" s="7"/>
      <c r="J92" s="7"/>
      <c r="K92" s="7"/>
      <c r="L92" s="7"/>
      <c r="M92" s="7"/>
      <c r="N92" s="7"/>
      <c r="O92" s="7"/>
      <c r="P92" s="7"/>
      <c r="Q92" s="7"/>
      <c r="R92" s="7"/>
    </row>
    <row r="93" spans="3:19" ht="15.75" customHeight="1" x14ac:dyDescent="0.25">
      <c r="C93" s="10">
        <v>71</v>
      </c>
      <c r="D93" s="11"/>
      <c r="E93" s="10"/>
      <c r="F93" s="22" t="s">
        <v>284</v>
      </c>
      <c r="G93" s="7"/>
      <c r="H93" s="12"/>
      <c r="I93" s="7"/>
      <c r="J93" s="7"/>
      <c r="K93" s="7"/>
      <c r="L93" s="7"/>
      <c r="M93" s="7"/>
      <c r="N93" s="7"/>
      <c r="O93" s="7"/>
      <c r="P93" s="7"/>
      <c r="Q93" s="14"/>
      <c r="R93" s="7"/>
    </row>
    <row r="94" spans="3:19" ht="15.75" customHeight="1" x14ac:dyDescent="0.25">
      <c r="C94" s="10">
        <v>72</v>
      </c>
      <c r="D94" s="11"/>
      <c r="E94" s="10"/>
      <c r="F94" s="22" t="s">
        <v>43</v>
      </c>
      <c r="G94" s="7"/>
      <c r="H94" s="12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3:19" ht="15.75" customHeight="1" x14ac:dyDescent="0.25">
      <c r="C95" s="10">
        <v>73</v>
      </c>
      <c r="D95" s="11"/>
      <c r="E95" s="10"/>
      <c r="F95" s="22" t="s">
        <v>268</v>
      </c>
      <c r="G95" s="7"/>
      <c r="H95" s="12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3:19" ht="15.75" customHeight="1" x14ac:dyDescent="0.25">
      <c r="C96" s="10">
        <v>74</v>
      </c>
      <c r="D96" s="11"/>
      <c r="E96" s="10"/>
      <c r="F96" s="22" t="s">
        <v>30</v>
      </c>
      <c r="G96" s="7"/>
      <c r="H96" s="12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3:18" ht="15.75" customHeight="1" x14ac:dyDescent="0.25">
      <c r="C97" s="10">
        <v>75</v>
      </c>
      <c r="D97" s="11"/>
      <c r="E97" s="10"/>
      <c r="F97" s="22" t="s">
        <v>190</v>
      </c>
      <c r="G97" s="7"/>
      <c r="H97" s="12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3:18" ht="15.75" customHeight="1" x14ac:dyDescent="0.25">
      <c r="C98" s="10">
        <v>76</v>
      </c>
      <c r="D98" s="11"/>
      <c r="E98" s="10"/>
      <c r="F98" s="22" t="s">
        <v>331</v>
      </c>
      <c r="G98" s="7"/>
      <c r="H98" s="12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3:18" ht="15.75" customHeight="1" x14ac:dyDescent="0.25">
      <c r="C99" s="10">
        <v>77</v>
      </c>
      <c r="D99" s="11"/>
      <c r="E99" s="10"/>
      <c r="F99" s="22" t="s">
        <v>69</v>
      </c>
      <c r="G99" s="7"/>
      <c r="H99" s="12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3:18" ht="15.75" customHeight="1" x14ac:dyDescent="0.25">
      <c r="C100" s="10">
        <v>78</v>
      </c>
      <c r="D100" s="11"/>
      <c r="E100" s="10"/>
      <c r="F100" s="22" t="s">
        <v>52</v>
      </c>
      <c r="G100" s="7"/>
      <c r="H100" s="12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3:18" ht="15.75" customHeight="1" x14ac:dyDescent="0.25">
      <c r="C101" s="10">
        <v>79</v>
      </c>
      <c r="D101" s="11"/>
      <c r="E101" s="10"/>
      <c r="F101" s="22" t="s">
        <v>37</v>
      </c>
      <c r="G101" s="7"/>
      <c r="H101" s="12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3:18" ht="15.75" customHeight="1" x14ac:dyDescent="0.25">
      <c r="C102" s="10">
        <v>80</v>
      </c>
      <c r="D102" s="11"/>
      <c r="E102" s="10"/>
      <c r="F102" s="22" t="s">
        <v>220</v>
      </c>
      <c r="G102" s="7"/>
      <c r="H102" s="12"/>
      <c r="I102" s="7"/>
      <c r="J102" s="7"/>
      <c r="K102" s="7"/>
      <c r="L102" s="7"/>
      <c r="M102" s="7"/>
      <c r="N102" s="7"/>
      <c r="O102" s="7"/>
      <c r="P102" s="7"/>
      <c r="Q102" s="7"/>
      <c r="R102" s="7"/>
    </row>
    <row r="103" spans="3:18" ht="15.75" customHeight="1" x14ac:dyDescent="0.25">
      <c r="C103" s="10">
        <v>81</v>
      </c>
      <c r="D103" s="11"/>
      <c r="E103" s="10"/>
      <c r="F103" s="22" t="s">
        <v>333</v>
      </c>
      <c r="G103" s="7"/>
      <c r="H103" s="12"/>
      <c r="I103" s="7"/>
      <c r="J103" s="7"/>
      <c r="K103" s="7"/>
      <c r="L103" s="7"/>
      <c r="M103" s="7"/>
      <c r="N103" s="7"/>
      <c r="O103" s="7"/>
      <c r="P103" s="7"/>
      <c r="Q103" s="7"/>
      <c r="R103" s="14"/>
    </row>
    <row r="104" spans="3:18" ht="15.75" customHeight="1" x14ac:dyDescent="0.25">
      <c r="C104" s="13" t="s">
        <v>3</v>
      </c>
      <c r="D104" s="88" t="s">
        <v>742</v>
      </c>
      <c r="E104" s="13"/>
      <c r="F104" s="25"/>
      <c r="G104" s="14">
        <f>SUM(G21:G103)</f>
        <v>104305</v>
      </c>
      <c r="H104" s="14"/>
      <c r="I104" s="14">
        <f t="shared" ref="I104:Q104" si="9">SUM(I21:I103)</f>
        <v>52620</v>
      </c>
      <c r="J104" s="14">
        <f t="shared" si="9"/>
        <v>0</v>
      </c>
      <c r="K104" s="14">
        <f t="shared" si="9"/>
        <v>0</v>
      </c>
      <c r="L104" s="14">
        <f t="shared" si="9"/>
        <v>11000</v>
      </c>
      <c r="M104" s="14">
        <f t="shared" si="9"/>
        <v>18300</v>
      </c>
      <c r="N104" s="14">
        <f t="shared" si="9"/>
        <v>0</v>
      </c>
      <c r="O104" s="14">
        <f t="shared" si="9"/>
        <v>0</v>
      </c>
      <c r="P104" s="14">
        <f t="shared" si="9"/>
        <v>2225</v>
      </c>
      <c r="Q104" s="14">
        <f t="shared" si="9"/>
        <v>10550</v>
      </c>
      <c r="R104" s="14"/>
    </row>
    <row r="105" spans="3:18" ht="15.75" customHeight="1" x14ac:dyDescent="0.25">
      <c r="C105" s="1"/>
      <c r="E105" s="1"/>
      <c r="F105" s="16"/>
    </row>
    <row r="106" spans="3:18" ht="15.75" customHeight="1" x14ac:dyDescent="0.25">
      <c r="C106" s="1"/>
      <c r="D106" s="89"/>
      <c r="E106" s="1"/>
      <c r="F106" s="16"/>
      <c r="I106" s="33">
        <f>SUM('Dec 24'!$I$104:'Dec 24'!$Q$104)</f>
        <v>94695</v>
      </c>
    </row>
    <row r="107" spans="3:18" ht="15.75" customHeight="1" x14ac:dyDescent="0.25">
      <c r="E107" s="1"/>
      <c r="F107" s="16"/>
    </row>
    <row r="108" spans="3:18" ht="15.75" customHeight="1" x14ac:dyDescent="0.25"/>
    <row r="109" spans="3:18" ht="15.75" customHeight="1" x14ac:dyDescent="0.25"/>
    <row r="110" spans="3:18" ht="15.75" customHeight="1" x14ac:dyDescent="0.25"/>
    <row r="111" spans="3:18" ht="15.75" customHeight="1" x14ac:dyDescent="0.25"/>
    <row r="112" spans="3:1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T33:V33"/>
    <mergeCell ref="T34:V34"/>
    <mergeCell ref="T35:V35"/>
    <mergeCell ref="T36:V36"/>
    <mergeCell ref="T37:V37"/>
    <mergeCell ref="T32:V32"/>
    <mergeCell ref="X32:Y32"/>
    <mergeCell ref="C11:D11"/>
    <mergeCell ref="C18:E18"/>
    <mergeCell ref="T20:W20"/>
    <mergeCell ref="T21:V21"/>
    <mergeCell ref="X31:Y31"/>
  </mergeCells>
  <pageMargins left="0.7" right="0.7" top="0.75" bottom="0.75" header="0" footer="0"/>
  <pageSetup orientation="portrait"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C3:Z999"/>
  <sheetViews>
    <sheetView workbookViewId="0">
      <selection activeCell="N6" sqref="N6"/>
    </sheetView>
  </sheetViews>
  <sheetFormatPr defaultColWidth="14.42578125" defaultRowHeight="15" customHeight="1" x14ac:dyDescent="0.25"/>
  <cols>
    <col min="1" max="1" width="8.7109375" customWidth="1"/>
    <col min="2" max="2" width="8" customWidth="1"/>
    <col min="3" max="3" width="9.85546875" customWidth="1"/>
    <col min="4" max="4" width="12.7109375" style="81" customWidth="1"/>
    <col min="5" max="5" width="13.28515625" customWidth="1"/>
    <col min="6" max="6" width="9.42578125" customWidth="1"/>
    <col min="7" max="7" width="8.7109375" customWidth="1"/>
    <col min="8" max="8" width="12.28515625" customWidth="1"/>
    <col min="9" max="12" width="8.7109375" customWidth="1"/>
    <col min="13" max="13" width="11.140625" customWidth="1"/>
    <col min="14" max="14" width="10.85546875" customWidth="1"/>
    <col min="15" max="15" width="11.7109375" customWidth="1"/>
    <col min="16" max="16" width="11.42578125" customWidth="1"/>
    <col min="17" max="17" width="14" customWidth="1"/>
    <col min="18" max="20" width="8.7109375" customWidth="1"/>
    <col min="21" max="21" width="10.7109375" customWidth="1"/>
    <col min="22" max="26" width="8.7109375" customWidth="1"/>
  </cols>
  <sheetData>
    <row r="3" spans="3:23" x14ac:dyDescent="0.25"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3:23" ht="15.75" x14ac:dyDescent="0.25">
      <c r="C4" s="1"/>
      <c r="D4" s="82" t="s">
        <v>715</v>
      </c>
      <c r="E4" s="17"/>
      <c r="F4" s="18"/>
      <c r="G4" s="2"/>
      <c r="H4" s="2"/>
      <c r="I4" s="2"/>
      <c r="J4" s="2"/>
      <c r="K4" s="8"/>
      <c r="L4" s="2"/>
      <c r="M4" s="3"/>
      <c r="N4" s="3"/>
      <c r="O4" s="65" t="s">
        <v>88</v>
      </c>
      <c r="P4" s="60" t="s">
        <v>2</v>
      </c>
      <c r="Q4" s="66" t="s">
        <v>117</v>
      </c>
    </row>
    <row r="5" spans="3:23" ht="16.5" thickBot="1" x14ac:dyDescent="0.3">
      <c r="C5" s="1"/>
      <c r="D5" s="83" t="s">
        <v>1</v>
      </c>
      <c r="E5" s="44" t="s">
        <v>2</v>
      </c>
      <c r="F5" s="45">
        <v>1799</v>
      </c>
      <c r="G5" s="46">
        <v>2699</v>
      </c>
      <c r="H5" s="46">
        <v>588</v>
      </c>
      <c r="I5" s="46">
        <v>2088</v>
      </c>
      <c r="J5" s="46">
        <v>2488</v>
      </c>
      <c r="K5" s="46">
        <v>2688</v>
      </c>
      <c r="L5" s="45" t="s">
        <v>678</v>
      </c>
      <c r="M5" s="96" t="s">
        <v>716</v>
      </c>
      <c r="N5" s="45" t="s">
        <v>3</v>
      </c>
      <c r="O5" s="47"/>
      <c r="P5" s="42"/>
      <c r="Q5" s="42"/>
    </row>
    <row r="6" spans="3:23" ht="18" thickBot="1" x14ac:dyDescent="0.35">
      <c r="C6" s="1"/>
      <c r="D6" s="84" t="s">
        <v>259</v>
      </c>
      <c r="E6" s="94">
        <v>134384</v>
      </c>
      <c r="F6" s="95">
        <v>0</v>
      </c>
      <c r="G6" s="95">
        <v>0</v>
      </c>
      <c r="H6" s="95">
        <v>1460</v>
      </c>
      <c r="I6" s="95">
        <v>16120</v>
      </c>
      <c r="J6" s="95">
        <v>0</v>
      </c>
      <c r="K6" s="95">
        <v>0</v>
      </c>
      <c r="L6" s="95">
        <v>820</v>
      </c>
      <c r="M6" s="95">
        <v>14450</v>
      </c>
      <c r="N6" s="95">
        <v>163284</v>
      </c>
      <c r="O6" s="55">
        <v>45925</v>
      </c>
      <c r="P6" s="56">
        <v>177004</v>
      </c>
      <c r="Q6" s="57">
        <v>222929</v>
      </c>
    </row>
    <row r="7" spans="3:23" ht="18.75" x14ac:dyDescent="0.3">
      <c r="C7" s="1"/>
      <c r="D7" s="84" t="s">
        <v>365</v>
      </c>
      <c r="E7" s="7">
        <f>W32</f>
        <v>104104</v>
      </c>
      <c r="F7" s="7">
        <f t="shared" ref="F7:M7" si="0">F18</f>
        <v>18000</v>
      </c>
      <c r="G7" s="7">
        <f t="shared" si="0"/>
        <v>10000</v>
      </c>
      <c r="H7" s="7">
        <f t="shared" si="0"/>
        <v>0</v>
      </c>
      <c r="I7" s="7">
        <f t="shared" si="0"/>
        <v>0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>
        <f t="shared" si="0"/>
        <v>88000</v>
      </c>
      <c r="N7" s="7">
        <f t="shared" ref="N7:N8" si="1">SUM(E7:M7)</f>
        <v>220104</v>
      </c>
      <c r="O7" s="68">
        <f t="shared" ref="O7:O9" si="2">SUM(F7:M7)</f>
        <v>116000</v>
      </c>
      <c r="P7" s="69">
        <f t="shared" ref="P7:P9" si="3">E7</f>
        <v>104104</v>
      </c>
      <c r="Q7" s="70">
        <f>O7+P7</f>
        <v>220104</v>
      </c>
    </row>
    <row r="8" spans="3:23" ht="21.75" thickBot="1" x14ac:dyDescent="0.4">
      <c r="C8" s="1"/>
      <c r="D8" s="85" t="s">
        <v>366</v>
      </c>
      <c r="E8" s="48">
        <f>'Jan 25'!$I$103</f>
        <v>40640</v>
      </c>
      <c r="F8" s="48">
        <f>'Jan 25'!$J$103</f>
        <v>18000</v>
      </c>
      <c r="G8" s="49">
        <f>'Jan 25'!$K$103</f>
        <v>1600</v>
      </c>
      <c r="H8" s="49">
        <f>'Jan 25'!$L$103</f>
        <v>1900</v>
      </c>
      <c r="I8" s="49">
        <f>'Jan 25'!$M$103</f>
        <v>9180</v>
      </c>
      <c r="J8" s="49">
        <f>'Jan 25'!$N$103</f>
        <v>0</v>
      </c>
      <c r="K8" s="49">
        <f>'Jan 25'!$O$103</f>
        <v>0</v>
      </c>
      <c r="L8" s="49">
        <f>'Jan 25'!$P$103</f>
        <v>400</v>
      </c>
      <c r="M8" s="49">
        <f>'Jan 25'!$Q$103</f>
        <v>49540</v>
      </c>
      <c r="N8" s="72">
        <f t="shared" si="1"/>
        <v>121260</v>
      </c>
      <c r="O8" s="73">
        <f t="shared" si="2"/>
        <v>80620</v>
      </c>
      <c r="P8" s="74">
        <f t="shared" si="3"/>
        <v>40640</v>
      </c>
      <c r="Q8" s="75">
        <f t="shared" ref="Q8:Q9" si="4">SUM(O8,P8)</f>
        <v>121260</v>
      </c>
    </row>
    <row r="9" spans="3:23" ht="17.25" x14ac:dyDescent="0.3">
      <c r="C9" s="1"/>
      <c r="D9" s="84" t="s">
        <v>261</v>
      </c>
      <c r="E9" s="12">
        <f t="shared" ref="E9:M9" si="5">SUM(E6,E7-E8)</f>
        <v>197848</v>
      </c>
      <c r="F9" s="12">
        <f t="shared" si="5"/>
        <v>0</v>
      </c>
      <c r="G9" s="12">
        <f t="shared" si="5"/>
        <v>8400</v>
      </c>
      <c r="H9" s="12">
        <f t="shared" si="5"/>
        <v>-440</v>
      </c>
      <c r="I9" s="12">
        <f t="shared" si="5"/>
        <v>6940</v>
      </c>
      <c r="J9" s="12">
        <f t="shared" si="5"/>
        <v>0</v>
      </c>
      <c r="K9" s="12">
        <f t="shared" si="5"/>
        <v>0</v>
      </c>
      <c r="L9" s="12">
        <f t="shared" si="5"/>
        <v>420</v>
      </c>
      <c r="M9" s="12">
        <f t="shared" si="5"/>
        <v>52910</v>
      </c>
      <c r="N9" s="12">
        <f>SUM(N6+N7-N8)</f>
        <v>262128</v>
      </c>
      <c r="O9" s="55">
        <f t="shared" si="2"/>
        <v>68230</v>
      </c>
      <c r="P9" s="56">
        <f t="shared" si="3"/>
        <v>197848</v>
      </c>
      <c r="Q9" s="57">
        <f t="shared" si="4"/>
        <v>266078</v>
      </c>
    </row>
    <row r="10" spans="3:23" x14ac:dyDescent="0.25">
      <c r="C10" s="1"/>
      <c r="E10" s="1"/>
      <c r="F10" s="16"/>
    </row>
    <row r="11" spans="3:23" ht="15.75" x14ac:dyDescent="0.25">
      <c r="C11" s="103" t="s">
        <v>367</v>
      </c>
      <c r="D11" s="99"/>
      <c r="E11" s="21" t="s">
        <v>368</v>
      </c>
      <c r="F11" s="45">
        <v>1799</v>
      </c>
      <c r="G11" s="46">
        <v>2699</v>
      </c>
      <c r="H11" s="46">
        <v>588</v>
      </c>
      <c r="I11" s="46">
        <v>2088</v>
      </c>
      <c r="J11" s="46">
        <v>2488</v>
      </c>
      <c r="K11" s="46">
        <v>2688</v>
      </c>
      <c r="L11" s="45">
        <v>1788</v>
      </c>
      <c r="M11" s="62" t="s">
        <v>716</v>
      </c>
      <c r="N11" s="45" t="s">
        <v>3</v>
      </c>
      <c r="O11" s="76" t="s">
        <v>369</v>
      </c>
      <c r="P11" s="76" t="s">
        <v>370</v>
      </c>
    </row>
    <row r="12" spans="3:23" x14ac:dyDescent="0.25">
      <c r="C12" s="9" t="s">
        <v>371</v>
      </c>
      <c r="D12" s="86" t="s">
        <v>372</v>
      </c>
      <c r="E12" s="9" t="s">
        <v>373</v>
      </c>
      <c r="F12" s="22"/>
      <c r="G12" s="7"/>
      <c r="H12" s="7"/>
      <c r="I12" s="7"/>
      <c r="J12" s="7"/>
      <c r="K12" s="7"/>
      <c r="L12" s="7"/>
      <c r="M12" s="7"/>
      <c r="N12" s="7">
        <f t="shared" ref="N12:N18" si="6">SUM(F12:M12)</f>
        <v>0</v>
      </c>
      <c r="O12" s="10"/>
      <c r="P12" s="10"/>
    </row>
    <row r="13" spans="3:23" x14ac:dyDescent="0.25">
      <c r="C13" s="10">
        <v>1</v>
      </c>
      <c r="D13" s="11" t="s">
        <v>374</v>
      </c>
      <c r="E13" s="15">
        <v>45678</v>
      </c>
      <c r="F13" s="10">
        <v>18000</v>
      </c>
      <c r="G13" s="7">
        <v>10000</v>
      </c>
      <c r="H13" s="7"/>
      <c r="I13" s="7"/>
      <c r="J13" s="7"/>
      <c r="K13" s="7"/>
      <c r="L13" s="7"/>
      <c r="M13" s="7"/>
      <c r="N13" s="7">
        <f t="shared" si="6"/>
        <v>28000</v>
      </c>
      <c r="O13" s="10"/>
      <c r="P13" s="10"/>
    </row>
    <row r="14" spans="3:23" x14ac:dyDescent="0.25">
      <c r="C14" s="10">
        <v>2</v>
      </c>
      <c r="D14" s="11" t="s">
        <v>376</v>
      </c>
      <c r="E14" s="15"/>
      <c r="F14" s="22"/>
      <c r="G14" s="7"/>
      <c r="H14" s="7"/>
      <c r="I14" s="7"/>
      <c r="J14" s="7"/>
      <c r="K14" s="7"/>
      <c r="L14" s="7"/>
      <c r="M14" s="7"/>
      <c r="N14" s="7">
        <f t="shared" si="6"/>
        <v>0</v>
      </c>
      <c r="O14" s="10"/>
      <c r="P14" s="10"/>
    </row>
    <row r="15" spans="3:23" x14ac:dyDescent="0.25">
      <c r="C15" s="10">
        <v>3</v>
      </c>
      <c r="D15" s="11" t="s">
        <v>717</v>
      </c>
      <c r="E15" s="15">
        <v>45688</v>
      </c>
      <c r="F15" s="22"/>
      <c r="G15" s="7"/>
      <c r="H15" s="7"/>
      <c r="I15" s="7"/>
      <c r="J15" s="7"/>
      <c r="K15" s="7"/>
      <c r="L15" s="7"/>
      <c r="M15" s="7">
        <v>25000</v>
      </c>
      <c r="N15" s="7"/>
      <c r="O15" s="10"/>
      <c r="P15" s="10"/>
      <c r="V15" t="s">
        <v>791</v>
      </c>
      <c r="W15">
        <v>98</v>
      </c>
    </row>
    <row r="16" spans="3:23" x14ac:dyDescent="0.25">
      <c r="C16" s="10">
        <v>4</v>
      </c>
      <c r="D16" s="11" t="s">
        <v>717</v>
      </c>
      <c r="E16" s="15">
        <v>45674</v>
      </c>
      <c r="F16" s="22"/>
      <c r="G16" s="7"/>
      <c r="H16" s="7"/>
      <c r="I16" s="7"/>
      <c r="J16" s="7"/>
      <c r="K16" s="7"/>
      <c r="L16" s="7"/>
      <c r="M16" s="7">
        <v>25000</v>
      </c>
      <c r="N16" s="7">
        <f t="shared" si="6"/>
        <v>25000</v>
      </c>
      <c r="O16" s="10"/>
      <c r="P16" s="10"/>
      <c r="V16" t="s">
        <v>792</v>
      </c>
      <c r="W16">
        <v>78</v>
      </c>
    </row>
    <row r="17" spans="3:26" x14ac:dyDescent="0.25">
      <c r="C17" s="10">
        <v>5</v>
      </c>
      <c r="D17" s="11" t="s">
        <v>378</v>
      </c>
      <c r="E17" s="15">
        <v>45665</v>
      </c>
      <c r="F17" s="7"/>
      <c r="G17" s="7"/>
      <c r="H17" s="7"/>
      <c r="I17" s="7"/>
      <c r="J17" s="7"/>
      <c r="K17" s="7"/>
      <c r="L17" s="7"/>
      <c r="M17" s="7">
        <v>38000</v>
      </c>
      <c r="N17" s="7">
        <f t="shared" si="6"/>
        <v>38000</v>
      </c>
      <c r="O17" s="10"/>
      <c r="P17" s="10"/>
      <c r="V17" t="s">
        <v>794</v>
      </c>
      <c r="W17">
        <v>88</v>
      </c>
    </row>
    <row r="18" spans="3:26" x14ac:dyDescent="0.25">
      <c r="C18" s="104" t="s">
        <v>3</v>
      </c>
      <c r="D18" s="98"/>
      <c r="E18" s="99"/>
      <c r="F18" s="7">
        <f t="shared" ref="F18:M18" si="7">SUM(F12:F17)</f>
        <v>18000</v>
      </c>
      <c r="G18" s="7">
        <f t="shared" si="7"/>
        <v>10000</v>
      </c>
      <c r="H18" s="7">
        <f t="shared" si="7"/>
        <v>0</v>
      </c>
      <c r="I18" s="7">
        <f t="shared" si="7"/>
        <v>0</v>
      </c>
      <c r="J18" s="7">
        <f t="shared" si="7"/>
        <v>0</v>
      </c>
      <c r="K18" s="7">
        <f t="shared" si="7"/>
        <v>0</v>
      </c>
      <c r="L18" s="7">
        <f t="shared" si="7"/>
        <v>0</v>
      </c>
      <c r="M18" s="7">
        <f t="shared" si="7"/>
        <v>88000</v>
      </c>
      <c r="N18" s="7">
        <f t="shared" si="6"/>
        <v>116000</v>
      </c>
      <c r="O18" s="10"/>
      <c r="P18" s="10"/>
      <c r="V18" t="s">
        <v>795</v>
      </c>
      <c r="W18">
        <v>80</v>
      </c>
    </row>
    <row r="19" spans="3:26" x14ac:dyDescent="0.25">
      <c r="C19" s="1"/>
      <c r="E19" s="1"/>
      <c r="F19" s="16"/>
      <c r="V19" t="s">
        <v>796</v>
      </c>
      <c r="W19">
        <v>70</v>
      </c>
    </row>
    <row r="20" spans="3:26" ht="15.75" x14ac:dyDescent="0.25">
      <c r="C20" s="9" t="s">
        <v>8</v>
      </c>
      <c r="D20" s="87" t="s">
        <v>9</v>
      </c>
      <c r="E20" s="20" t="s">
        <v>10</v>
      </c>
      <c r="F20" s="20" t="s">
        <v>11</v>
      </c>
      <c r="G20" s="4" t="s">
        <v>4</v>
      </c>
      <c r="H20" s="4" t="s">
        <v>12</v>
      </c>
      <c r="I20" s="4" t="s">
        <v>2</v>
      </c>
      <c r="J20" s="4" t="s">
        <v>13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19</v>
      </c>
      <c r="P20" s="39" t="s">
        <v>679</v>
      </c>
      <c r="Q20" s="63" t="s">
        <v>716</v>
      </c>
      <c r="R20" s="39" t="s">
        <v>717</v>
      </c>
      <c r="T20" s="101" t="s">
        <v>118</v>
      </c>
      <c r="U20" s="102"/>
      <c r="V20" s="102"/>
      <c r="W20" s="102"/>
    </row>
    <row r="21" spans="3:26" ht="15.75" customHeight="1" x14ac:dyDescent="0.25">
      <c r="C21" s="10">
        <v>1</v>
      </c>
      <c r="D21" s="11">
        <v>45658</v>
      </c>
      <c r="E21" s="10">
        <v>335</v>
      </c>
      <c r="F21" s="22" t="s">
        <v>656</v>
      </c>
      <c r="G21" s="7">
        <v>1500</v>
      </c>
      <c r="H21" s="12">
        <v>182</v>
      </c>
      <c r="I21" s="7"/>
      <c r="J21" s="7"/>
      <c r="K21" s="7"/>
      <c r="L21" s="7"/>
      <c r="M21" s="7"/>
      <c r="N21" s="7"/>
      <c r="O21" s="7"/>
      <c r="P21" s="7"/>
      <c r="Q21" s="40">
        <v>1500</v>
      </c>
      <c r="R21" s="40"/>
      <c r="T21" s="97" t="s">
        <v>172</v>
      </c>
      <c r="U21" s="98"/>
      <c r="V21" s="98"/>
      <c r="W21" s="34"/>
    </row>
    <row r="22" spans="3:26" ht="15.75" customHeight="1" x14ac:dyDescent="0.25">
      <c r="C22" s="10">
        <v>2</v>
      </c>
      <c r="D22" s="11">
        <v>45661</v>
      </c>
      <c r="E22" s="10">
        <v>338</v>
      </c>
      <c r="F22" s="22" t="s">
        <v>631</v>
      </c>
      <c r="G22" s="7">
        <v>200</v>
      </c>
      <c r="H22" s="31">
        <v>115</v>
      </c>
      <c r="I22" s="7">
        <v>200</v>
      </c>
      <c r="J22" s="7"/>
      <c r="K22" s="7"/>
      <c r="L22" s="7"/>
      <c r="M22" s="7"/>
      <c r="N22" s="7"/>
      <c r="O22" s="7"/>
      <c r="P22" s="7"/>
      <c r="Q22" s="7"/>
      <c r="R22" s="7"/>
      <c r="T22" s="10" t="s">
        <v>121</v>
      </c>
      <c r="U22" s="7" t="s">
        <v>9</v>
      </c>
      <c r="V22" s="7" t="s">
        <v>122</v>
      </c>
      <c r="W22" s="7" t="s">
        <v>4</v>
      </c>
      <c r="X22" s="7" t="s">
        <v>549</v>
      </c>
      <c r="Y22" s="7" t="s">
        <v>576</v>
      </c>
      <c r="Z22" s="7" t="s">
        <v>577</v>
      </c>
    </row>
    <row r="23" spans="3:26" ht="15.75" customHeight="1" x14ac:dyDescent="0.25">
      <c r="C23" s="10">
        <v>3</v>
      </c>
      <c r="D23" s="11">
        <v>45663</v>
      </c>
      <c r="E23" s="10">
        <v>339</v>
      </c>
      <c r="F23" s="22" t="s">
        <v>656</v>
      </c>
      <c r="G23" s="7">
        <v>1600</v>
      </c>
      <c r="H23" s="12">
        <v>166</v>
      </c>
      <c r="I23" s="7"/>
      <c r="J23" s="7"/>
      <c r="K23" s="7"/>
      <c r="L23" s="7"/>
      <c r="M23" s="7">
        <v>1600</v>
      </c>
      <c r="N23" s="7"/>
      <c r="O23" s="7"/>
      <c r="P23" s="7"/>
      <c r="Q23" s="7"/>
      <c r="R23" s="7"/>
      <c r="T23" s="10">
        <v>1</v>
      </c>
      <c r="U23" s="41">
        <v>45663</v>
      </c>
      <c r="V23" s="7" t="s">
        <v>790</v>
      </c>
      <c r="W23" s="7">
        <v>21065</v>
      </c>
      <c r="X23" s="76">
        <v>98</v>
      </c>
      <c r="Y23" s="10">
        <v>43</v>
      </c>
      <c r="Z23" s="7">
        <f t="shared" ref="Z23:Z30" si="8">W23*X23</f>
        <v>2064370</v>
      </c>
    </row>
    <row r="24" spans="3:26" ht="15.75" customHeight="1" x14ac:dyDescent="0.25">
      <c r="C24" s="10">
        <v>4</v>
      </c>
      <c r="D24" s="11">
        <v>45663</v>
      </c>
      <c r="E24" s="10">
        <v>340</v>
      </c>
      <c r="F24" s="22" t="s">
        <v>162</v>
      </c>
      <c r="G24" s="7">
        <v>2000</v>
      </c>
      <c r="H24" s="12">
        <v>114</v>
      </c>
      <c r="I24" s="7">
        <v>2000</v>
      </c>
      <c r="J24" s="7"/>
      <c r="K24" s="7"/>
      <c r="L24" s="7"/>
      <c r="M24" s="7"/>
      <c r="N24" s="7"/>
      <c r="O24" s="7"/>
      <c r="P24" s="7"/>
      <c r="Q24" s="7"/>
      <c r="R24" s="7"/>
      <c r="T24" s="10">
        <v>2</v>
      </c>
      <c r="U24" s="41">
        <v>45663</v>
      </c>
      <c r="V24" s="7" t="s">
        <v>426</v>
      </c>
      <c r="W24" s="7">
        <v>17160</v>
      </c>
      <c r="X24" s="76">
        <v>78</v>
      </c>
      <c r="Y24" s="10">
        <v>33</v>
      </c>
      <c r="Z24" s="7">
        <f t="shared" si="8"/>
        <v>1338480</v>
      </c>
    </row>
    <row r="25" spans="3:26" ht="15.75" customHeight="1" x14ac:dyDescent="0.25">
      <c r="C25" s="10">
        <v>5</v>
      </c>
      <c r="D25" s="11">
        <v>45663</v>
      </c>
      <c r="E25" s="10">
        <v>341</v>
      </c>
      <c r="F25" s="22" t="s">
        <v>669</v>
      </c>
      <c r="G25" s="7">
        <v>10000</v>
      </c>
      <c r="H25" s="12">
        <v>107</v>
      </c>
      <c r="I25" s="7">
        <v>10000</v>
      </c>
      <c r="J25" s="7"/>
      <c r="K25" s="7"/>
      <c r="L25" s="7"/>
      <c r="M25" s="7"/>
      <c r="N25" s="7"/>
      <c r="O25" s="7"/>
      <c r="P25" s="7"/>
      <c r="Q25" s="7"/>
      <c r="R25" s="7"/>
      <c r="T25" s="10">
        <v>3</v>
      </c>
      <c r="U25" s="41">
        <v>45666</v>
      </c>
      <c r="V25" s="7" t="s">
        <v>793</v>
      </c>
      <c r="W25" s="7">
        <v>19200</v>
      </c>
      <c r="X25" s="76">
        <v>78</v>
      </c>
      <c r="Y25" s="10">
        <v>49</v>
      </c>
      <c r="Z25" s="7">
        <f t="shared" si="8"/>
        <v>1497600</v>
      </c>
    </row>
    <row r="26" spans="3:26" ht="15.75" customHeight="1" x14ac:dyDescent="0.25">
      <c r="C26" s="10">
        <v>6</v>
      </c>
      <c r="D26" s="11">
        <v>45664</v>
      </c>
      <c r="E26" s="10">
        <v>342</v>
      </c>
      <c r="F26" s="22" t="s">
        <v>657</v>
      </c>
      <c r="G26" s="7">
        <v>1000</v>
      </c>
      <c r="H26" s="12">
        <v>113</v>
      </c>
      <c r="I26" s="7">
        <v>1000</v>
      </c>
      <c r="J26" s="7"/>
      <c r="K26" s="7"/>
      <c r="L26" s="7"/>
      <c r="M26" s="7"/>
      <c r="N26" s="7"/>
      <c r="O26" s="7"/>
      <c r="P26" s="7"/>
      <c r="Q26" s="7"/>
      <c r="R26" s="7"/>
      <c r="T26" s="10">
        <v>4</v>
      </c>
      <c r="U26" s="41">
        <v>45666</v>
      </c>
      <c r="V26" s="7" t="s">
        <v>426</v>
      </c>
      <c r="W26" s="7">
        <v>15072</v>
      </c>
      <c r="X26" s="76">
        <v>88</v>
      </c>
      <c r="Y26" s="10">
        <v>34</v>
      </c>
      <c r="Z26" s="7">
        <f t="shared" si="8"/>
        <v>1326336</v>
      </c>
    </row>
    <row r="27" spans="3:26" ht="15.75" customHeight="1" x14ac:dyDescent="0.25">
      <c r="C27" s="10">
        <v>0</v>
      </c>
      <c r="D27" s="11">
        <v>45664</v>
      </c>
      <c r="E27" s="10">
        <v>345</v>
      </c>
      <c r="F27" s="22" t="s">
        <v>614</v>
      </c>
      <c r="G27" s="7">
        <v>500</v>
      </c>
      <c r="H27" s="12">
        <v>179</v>
      </c>
      <c r="I27" s="7">
        <v>500</v>
      </c>
      <c r="J27" s="7"/>
      <c r="K27" s="7"/>
      <c r="L27" s="7"/>
      <c r="M27" s="7"/>
      <c r="N27" s="7"/>
      <c r="O27" s="7"/>
      <c r="P27" s="7"/>
      <c r="Q27" s="7">
        <v>500</v>
      </c>
      <c r="R27" s="7"/>
      <c r="T27" s="10">
        <v>5</v>
      </c>
      <c r="U27" s="41">
        <v>45678</v>
      </c>
      <c r="V27" s="7" t="s">
        <v>426</v>
      </c>
      <c r="W27" s="7">
        <v>15994</v>
      </c>
      <c r="X27" s="76">
        <v>80</v>
      </c>
      <c r="Y27" s="10">
        <v>36</v>
      </c>
      <c r="Z27" s="7">
        <f t="shared" si="8"/>
        <v>1279520</v>
      </c>
    </row>
    <row r="28" spans="3:26" ht="15.75" customHeight="1" x14ac:dyDescent="0.25">
      <c r="C28" s="10">
        <v>8</v>
      </c>
      <c r="D28" s="11">
        <v>45664</v>
      </c>
      <c r="E28" s="10">
        <v>346</v>
      </c>
      <c r="F28" s="22" t="s">
        <v>744</v>
      </c>
      <c r="G28" s="7">
        <v>500</v>
      </c>
      <c r="H28" s="12">
        <v>181</v>
      </c>
      <c r="I28" s="7"/>
      <c r="J28" s="7"/>
      <c r="K28" s="7"/>
      <c r="L28" s="7"/>
      <c r="M28" s="7"/>
      <c r="N28" s="7"/>
      <c r="O28" s="7"/>
      <c r="P28" s="7"/>
      <c r="Q28" s="7">
        <v>500</v>
      </c>
      <c r="R28" s="7"/>
      <c r="T28" s="10">
        <v>6</v>
      </c>
      <c r="U28" s="41">
        <v>45679</v>
      </c>
      <c r="V28" s="7" t="s">
        <v>426</v>
      </c>
      <c r="W28" s="7">
        <v>15613</v>
      </c>
      <c r="X28" s="76">
        <v>70</v>
      </c>
      <c r="Y28" s="7">
        <v>37</v>
      </c>
      <c r="Z28" s="7">
        <f t="shared" si="8"/>
        <v>1092910</v>
      </c>
    </row>
    <row r="29" spans="3:26" ht="15.75" customHeight="1" x14ac:dyDescent="0.25">
      <c r="C29" s="10">
        <v>9</v>
      </c>
      <c r="D29" s="11">
        <v>45664</v>
      </c>
      <c r="E29" s="10">
        <v>347</v>
      </c>
      <c r="F29" s="22" t="s">
        <v>614</v>
      </c>
      <c r="G29" s="7">
        <v>500</v>
      </c>
      <c r="H29" s="12">
        <v>107</v>
      </c>
      <c r="I29" s="7">
        <v>500</v>
      </c>
      <c r="J29" s="7"/>
      <c r="K29" s="7"/>
      <c r="L29" s="7"/>
      <c r="M29" s="7"/>
      <c r="N29" s="7"/>
      <c r="O29" s="7"/>
      <c r="P29" s="7"/>
      <c r="Q29" s="7"/>
      <c r="R29" s="7"/>
      <c r="T29" s="10">
        <v>7</v>
      </c>
      <c r="U29" s="41"/>
      <c r="V29" s="7" t="s">
        <v>552</v>
      </c>
      <c r="W29" s="7"/>
      <c r="X29" s="7"/>
      <c r="Y29" s="7"/>
      <c r="Z29" s="7">
        <f t="shared" si="8"/>
        <v>0</v>
      </c>
    </row>
    <row r="30" spans="3:26" ht="15.75" customHeight="1" x14ac:dyDescent="0.25">
      <c r="C30" s="10">
        <v>10</v>
      </c>
      <c r="D30" s="11">
        <v>45664</v>
      </c>
      <c r="E30" s="10">
        <v>348</v>
      </c>
      <c r="F30" s="22" t="s">
        <v>740</v>
      </c>
      <c r="G30" s="7">
        <v>200</v>
      </c>
      <c r="H30" s="12">
        <v>181</v>
      </c>
      <c r="I30" s="7">
        <v>200</v>
      </c>
      <c r="J30" s="7"/>
      <c r="K30" s="7"/>
      <c r="L30" s="7"/>
      <c r="M30" s="7"/>
      <c r="N30" s="7"/>
      <c r="O30" s="7"/>
      <c r="P30" s="7"/>
      <c r="Q30" s="7">
        <v>200</v>
      </c>
      <c r="R30" s="7"/>
      <c r="T30" s="10">
        <v>8</v>
      </c>
      <c r="U30" s="11"/>
      <c r="V30" s="7"/>
      <c r="W30" s="7"/>
      <c r="X30" s="7"/>
      <c r="Y30" s="7"/>
      <c r="Z30" s="7">
        <f t="shared" si="8"/>
        <v>0</v>
      </c>
    </row>
    <row r="31" spans="3:26" ht="15.75" customHeight="1" x14ac:dyDescent="0.25">
      <c r="C31" s="10">
        <v>11</v>
      </c>
      <c r="D31" s="11">
        <v>45658</v>
      </c>
      <c r="E31" s="10" t="s">
        <v>745</v>
      </c>
      <c r="F31" s="22" t="s">
        <v>49</v>
      </c>
      <c r="G31" s="7">
        <v>1440</v>
      </c>
      <c r="H31" s="12">
        <v>184</v>
      </c>
      <c r="I31" s="7"/>
      <c r="J31" s="7"/>
      <c r="K31" s="7"/>
      <c r="L31" s="7"/>
      <c r="M31" s="7"/>
      <c r="N31" s="7"/>
      <c r="O31" s="7"/>
      <c r="P31" s="7"/>
      <c r="Q31" s="7">
        <v>1440</v>
      </c>
      <c r="R31" s="7"/>
      <c r="T31" s="10"/>
      <c r="U31" s="7"/>
      <c r="V31" s="7"/>
      <c r="W31" s="7"/>
      <c r="X31" s="104" t="s">
        <v>581</v>
      </c>
      <c r="Y31" s="99"/>
      <c r="Z31" s="7">
        <f>SUM(Z23:Z30)</f>
        <v>8599216</v>
      </c>
    </row>
    <row r="32" spans="3:26" ht="15.75" customHeight="1" x14ac:dyDescent="0.25">
      <c r="C32" s="10">
        <v>12</v>
      </c>
      <c r="D32" s="11">
        <v>45660</v>
      </c>
      <c r="E32" s="10" t="s">
        <v>746</v>
      </c>
      <c r="F32" s="22" t="s">
        <v>71</v>
      </c>
      <c r="G32" s="7">
        <v>360</v>
      </c>
      <c r="H32" s="12">
        <v>170</v>
      </c>
      <c r="I32" s="7"/>
      <c r="J32" s="7"/>
      <c r="K32" s="7"/>
      <c r="L32" s="7"/>
      <c r="M32" s="7">
        <v>360</v>
      </c>
      <c r="N32" s="7"/>
      <c r="O32" s="7"/>
      <c r="P32" s="7"/>
      <c r="Q32" s="7"/>
      <c r="R32" s="7"/>
      <c r="T32" s="97" t="s">
        <v>181</v>
      </c>
      <c r="U32" s="98"/>
      <c r="V32" s="99"/>
      <c r="W32" s="7">
        <f>SUM(W23:W30)</f>
        <v>104104</v>
      </c>
      <c r="X32" s="104" t="s">
        <v>582</v>
      </c>
      <c r="Y32" s="99"/>
      <c r="Z32" s="7">
        <f>Z31/W32</f>
        <v>82.602167063705522</v>
      </c>
    </row>
    <row r="33" spans="3:23" ht="15.75" customHeight="1" x14ac:dyDescent="0.25">
      <c r="C33" s="10">
        <v>13</v>
      </c>
      <c r="D33" s="11">
        <v>45665</v>
      </c>
      <c r="E33" s="10" t="s">
        <v>747</v>
      </c>
      <c r="F33" s="22" t="s">
        <v>101</v>
      </c>
      <c r="G33" s="7">
        <v>19000</v>
      </c>
      <c r="H33" s="12">
        <v>210</v>
      </c>
      <c r="I33" s="7"/>
      <c r="J33" s="7"/>
      <c r="K33" s="7"/>
      <c r="L33" s="7"/>
      <c r="M33" s="7"/>
      <c r="N33" s="7"/>
      <c r="O33" s="7"/>
      <c r="P33" s="7"/>
      <c r="Q33" s="7">
        <v>19000</v>
      </c>
      <c r="R33" s="7"/>
      <c r="T33" s="97" t="s">
        <v>183</v>
      </c>
      <c r="U33" s="98"/>
      <c r="V33" s="99"/>
      <c r="W33" s="7">
        <v>134384</v>
      </c>
    </row>
    <row r="34" spans="3:23" ht="15.75" customHeight="1" x14ac:dyDescent="0.25">
      <c r="C34" s="10">
        <v>14</v>
      </c>
      <c r="D34" s="11">
        <v>45665</v>
      </c>
      <c r="E34" s="10" t="s">
        <v>748</v>
      </c>
      <c r="F34" s="22" t="s">
        <v>49</v>
      </c>
      <c r="G34" s="7">
        <v>1000</v>
      </c>
      <c r="H34" s="12">
        <v>208</v>
      </c>
      <c r="I34" s="7"/>
      <c r="J34" s="7"/>
      <c r="K34" s="7"/>
      <c r="L34" s="7"/>
      <c r="M34" s="7"/>
      <c r="N34" s="7"/>
      <c r="O34" s="7"/>
      <c r="P34" s="7"/>
      <c r="Q34" s="7">
        <v>1000</v>
      </c>
      <c r="R34" s="7"/>
      <c r="T34" s="97" t="s">
        <v>184</v>
      </c>
      <c r="U34" s="98"/>
      <c r="V34" s="99"/>
      <c r="W34" s="35">
        <f>SUM(W32,W33)</f>
        <v>238488</v>
      </c>
    </row>
    <row r="35" spans="3:23" ht="15.75" customHeight="1" x14ac:dyDescent="0.25">
      <c r="C35" s="10">
        <v>15</v>
      </c>
      <c r="D35" s="11">
        <v>45666</v>
      </c>
      <c r="E35" s="10" t="s">
        <v>750</v>
      </c>
      <c r="F35" s="22" t="s">
        <v>32</v>
      </c>
      <c r="G35" s="7">
        <v>800</v>
      </c>
      <c r="H35" s="12" t="s">
        <v>749</v>
      </c>
      <c r="I35" s="7"/>
      <c r="J35" s="7"/>
      <c r="K35" s="7"/>
      <c r="L35" s="7"/>
      <c r="M35" s="7"/>
      <c r="N35" s="7"/>
      <c r="O35" s="7"/>
      <c r="P35" s="7"/>
      <c r="Q35" s="7">
        <v>800</v>
      </c>
      <c r="R35" s="7"/>
      <c r="T35" s="97" t="s">
        <v>186</v>
      </c>
      <c r="U35" s="98"/>
      <c r="V35" s="99"/>
      <c r="W35" s="7">
        <f>'Jan 25'!$I$103</f>
        <v>40640</v>
      </c>
    </row>
    <row r="36" spans="3:23" ht="15.75" customHeight="1" x14ac:dyDescent="0.25">
      <c r="C36" s="10">
        <v>16</v>
      </c>
      <c r="D36" s="11">
        <v>45666</v>
      </c>
      <c r="E36" s="10" t="s">
        <v>27</v>
      </c>
      <c r="F36" s="22" t="s">
        <v>37</v>
      </c>
      <c r="G36" s="7">
        <v>800</v>
      </c>
      <c r="H36" s="12">
        <v>125</v>
      </c>
      <c r="I36" s="7">
        <v>800</v>
      </c>
      <c r="J36" s="7"/>
      <c r="K36" s="7"/>
      <c r="L36" s="7"/>
      <c r="M36" s="7"/>
      <c r="N36" s="7"/>
      <c r="O36" s="7"/>
      <c r="P36" s="7"/>
      <c r="Q36" s="7"/>
      <c r="R36" s="7"/>
      <c r="T36" s="97"/>
      <c r="U36" s="98"/>
      <c r="V36" s="99"/>
      <c r="W36" s="7"/>
    </row>
    <row r="37" spans="3:23" ht="15.75" customHeight="1" x14ac:dyDescent="0.25">
      <c r="C37" s="10">
        <v>17</v>
      </c>
      <c r="D37" s="11">
        <v>45667</v>
      </c>
      <c r="E37" s="10">
        <v>351</v>
      </c>
      <c r="F37" s="22" t="s">
        <v>657</v>
      </c>
      <c r="G37" s="7">
        <v>1000</v>
      </c>
      <c r="H37" s="12">
        <v>118</v>
      </c>
      <c r="I37" s="7">
        <v>1000</v>
      </c>
      <c r="J37" s="7"/>
      <c r="K37" s="7"/>
      <c r="L37" s="7"/>
      <c r="M37" s="7"/>
      <c r="N37" s="7"/>
      <c r="O37" s="7"/>
      <c r="P37" s="7"/>
      <c r="Q37" s="7"/>
      <c r="R37" s="7"/>
      <c r="T37" s="100" t="s">
        <v>188</v>
      </c>
      <c r="U37" s="98"/>
      <c r="V37" s="99"/>
      <c r="W37" s="36">
        <f>SUM(W34-W35)</f>
        <v>197848</v>
      </c>
    </row>
    <row r="38" spans="3:23" ht="15.75" customHeight="1" x14ac:dyDescent="0.25">
      <c r="C38" s="10">
        <v>18</v>
      </c>
      <c r="D38" s="11">
        <v>45667</v>
      </c>
      <c r="E38" s="10">
        <v>352</v>
      </c>
      <c r="F38" s="22" t="s">
        <v>44</v>
      </c>
      <c r="G38" s="7">
        <v>1500</v>
      </c>
      <c r="H38" s="12">
        <v>214</v>
      </c>
      <c r="I38" s="7"/>
      <c r="J38" s="7"/>
      <c r="K38" s="7"/>
      <c r="L38" s="7"/>
      <c r="M38" s="7"/>
      <c r="N38" s="7"/>
      <c r="O38" s="7"/>
      <c r="P38" s="7"/>
      <c r="Q38" s="7">
        <v>1500</v>
      </c>
      <c r="R38" s="7"/>
    </row>
    <row r="39" spans="3:23" ht="15.75" customHeight="1" x14ac:dyDescent="0.25">
      <c r="C39" s="10">
        <v>18</v>
      </c>
      <c r="D39" s="11">
        <v>45667</v>
      </c>
      <c r="E39" s="24">
        <v>353</v>
      </c>
      <c r="F39" s="22" t="s">
        <v>202</v>
      </c>
      <c r="G39" s="7">
        <v>1000</v>
      </c>
      <c r="H39" s="12">
        <v>109</v>
      </c>
      <c r="I39" s="7">
        <v>1000</v>
      </c>
      <c r="J39" s="7"/>
      <c r="K39" s="7"/>
      <c r="L39" s="7"/>
      <c r="M39" s="7"/>
      <c r="N39" s="7"/>
      <c r="O39" s="7"/>
      <c r="P39" s="7"/>
      <c r="Q39" s="7"/>
      <c r="R39" s="7"/>
    </row>
    <row r="40" spans="3:23" ht="15.75" customHeight="1" x14ac:dyDescent="0.25">
      <c r="C40" s="10">
        <v>19</v>
      </c>
      <c r="D40" s="11">
        <v>45667</v>
      </c>
      <c r="E40" s="10">
        <v>354</v>
      </c>
      <c r="F40" s="22" t="s">
        <v>157</v>
      </c>
      <c r="G40" s="7">
        <v>200</v>
      </c>
      <c r="H40" s="12">
        <v>118</v>
      </c>
      <c r="I40" s="7">
        <v>200</v>
      </c>
      <c r="J40" s="7"/>
      <c r="K40" s="7"/>
      <c r="L40" s="7"/>
      <c r="M40" s="7"/>
      <c r="N40" s="7"/>
      <c r="O40" s="7"/>
      <c r="P40" s="7"/>
      <c r="Q40" s="7"/>
      <c r="R40" s="7"/>
      <c r="T40" s="33" t="s">
        <v>730</v>
      </c>
    </row>
    <row r="41" spans="3:23" ht="15.75" customHeight="1" x14ac:dyDescent="0.25">
      <c r="C41" s="10">
        <v>20</v>
      </c>
      <c r="D41" s="11">
        <v>45667</v>
      </c>
      <c r="E41" s="10" t="s">
        <v>751</v>
      </c>
      <c r="F41" s="22" t="s">
        <v>752</v>
      </c>
      <c r="G41" s="7">
        <v>500</v>
      </c>
      <c r="H41" s="12">
        <v>212</v>
      </c>
      <c r="I41" s="7"/>
      <c r="J41" s="7"/>
      <c r="K41" s="7"/>
      <c r="L41" s="7"/>
      <c r="M41" s="7"/>
      <c r="N41" s="7"/>
      <c r="O41" s="7"/>
      <c r="P41" s="7"/>
      <c r="Q41" s="7">
        <v>500</v>
      </c>
      <c r="R41" s="7"/>
    </row>
    <row r="42" spans="3:23" ht="15.75" customHeight="1" x14ac:dyDescent="0.25">
      <c r="C42" s="10">
        <v>21</v>
      </c>
      <c r="D42" s="11">
        <v>45668</v>
      </c>
      <c r="E42" s="10" t="s">
        <v>27</v>
      </c>
      <c r="F42" s="22" t="s">
        <v>753</v>
      </c>
      <c r="G42" s="7">
        <v>2000</v>
      </c>
      <c r="H42" s="12">
        <v>206</v>
      </c>
      <c r="I42" s="7"/>
      <c r="J42" s="7"/>
      <c r="K42" s="7"/>
      <c r="L42" s="7"/>
      <c r="M42" s="7"/>
      <c r="N42" s="7"/>
      <c r="O42" s="7"/>
      <c r="P42" s="7"/>
      <c r="Q42" s="7">
        <v>2000</v>
      </c>
      <c r="R42" s="7"/>
    </row>
    <row r="43" spans="3:23" ht="15.75" customHeight="1" x14ac:dyDescent="0.25">
      <c r="C43" s="10">
        <v>22</v>
      </c>
      <c r="D43" s="11">
        <v>45668</v>
      </c>
      <c r="E43" s="10" t="s">
        <v>754</v>
      </c>
      <c r="F43" s="22" t="s">
        <v>269</v>
      </c>
      <c r="G43" s="7">
        <v>1500</v>
      </c>
      <c r="H43" s="12" t="s">
        <v>755</v>
      </c>
      <c r="I43" s="7"/>
      <c r="J43" s="7"/>
      <c r="K43" s="7"/>
      <c r="L43" s="7">
        <v>1000</v>
      </c>
      <c r="M43" s="7"/>
      <c r="N43" s="7"/>
      <c r="O43" s="7"/>
      <c r="P43" s="7"/>
      <c r="Q43" s="7">
        <v>500</v>
      </c>
      <c r="R43" s="7"/>
    </row>
    <row r="44" spans="3:23" ht="15.75" customHeight="1" x14ac:dyDescent="0.25">
      <c r="C44" s="10">
        <v>23</v>
      </c>
      <c r="D44" s="11">
        <v>45668</v>
      </c>
      <c r="E44" s="10" t="s">
        <v>756</v>
      </c>
      <c r="F44" s="22" t="s">
        <v>757</v>
      </c>
      <c r="G44" s="7">
        <v>820</v>
      </c>
      <c r="H44" s="12">
        <v>168</v>
      </c>
      <c r="I44" s="7"/>
      <c r="J44" s="7"/>
      <c r="K44" s="7"/>
      <c r="L44" s="7"/>
      <c r="M44" s="7">
        <v>820</v>
      </c>
      <c r="N44" s="7"/>
      <c r="O44" s="7"/>
      <c r="P44" s="7"/>
      <c r="Q44" s="7"/>
      <c r="R44" s="7"/>
    </row>
    <row r="45" spans="3:23" ht="15.75" customHeight="1" x14ac:dyDescent="0.25">
      <c r="C45" s="10">
        <v>24</v>
      </c>
      <c r="D45" s="11">
        <v>45673</v>
      </c>
      <c r="E45" s="10">
        <v>358</v>
      </c>
      <c r="F45" s="22" t="s">
        <v>758</v>
      </c>
      <c r="G45" s="7">
        <v>440</v>
      </c>
      <c r="H45" s="12">
        <v>191</v>
      </c>
      <c r="I45" s="7"/>
      <c r="J45" s="7"/>
      <c r="K45" s="7"/>
      <c r="L45" s="7"/>
      <c r="M45" s="7"/>
      <c r="N45" s="7"/>
      <c r="O45" s="7"/>
      <c r="P45" s="7"/>
      <c r="Q45" s="7">
        <v>440</v>
      </c>
      <c r="R45" s="7"/>
    </row>
    <row r="46" spans="3:23" ht="15.75" customHeight="1" x14ac:dyDescent="0.25">
      <c r="C46" s="10">
        <v>25</v>
      </c>
      <c r="D46" s="11">
        <v>45674</v>
      </c>
      <c r="E46" s="10">
        <v>359</v>
      </c>
      <c r="F46" s="22" t="s">
        <v>179</v>
      </c>
      <c r="G46" s="7">
        <v>300</v>
      </c>
      <c r="H46" s="12">
        <v>188</v>
      </c>
      <c r="I46" s="7"/>
      <c r="J46" s="7"/>
      <c r="K46" s="7"/>
      <c r="L46" s="7"/>
      <c r="M46" s="7"/>
      <c r="N46" s="7"/>
      <c r="O46" s="7"/>
      <c r="P46" s="7"/>
      <c r="Q46" s="7">
        <v>300</v>
      </c>
      <c r="R46" s="7"/>
    </row>
    <row r="47" spans="3:23" ht="15.75" customHeight="1" x14ac:dyDescent="0.25">
      <c r="C47" s="10">
        <v>26</v>
      </c>
      <c r="D47" s="11">
        <v>45672</v>
      </c>
      <c r="E47" s="10" t="s">
        <v>759</v>
      </c>
      <c r="F47" s="22" t="s">
        <v>32</v>
      </c>
      <c r="G47" s="7">
        <v>1000</v>
      </c>
      <c r="H47" s="12">
        <v>209</v>
      </c>
      <c r="I47" s="7"/>
      <c r="J47" s="7"/>
      <c r="K47" s="7"/>
      <c r="L47" s="7"/>
      <c r="M47" s="7"/>
      <c r="N47" s="7"/>
      <c r="O47" s="7"/>
      <c r="P47" s="7"/>
      <c r="Q47" s="7">
        <v>1000</v>
      </c>
      <c r="R47" s="7"/>
    </row>
    <row r="48" spans="3:23" ht="15.75" customHeight="1" x14ac:dyDescent="0.25">
      <c r="C48" s="10">
        <v>28</v>
      </c>
      <c r="D48" s="11">
        <v>45674</v>
      </c>
      <c r="E48" s="10" t="s">
        <v>760</v>
      </c>
      <c r="F48" s="22" t="s">
        <v>673</v>
      </c>
      <c r="G48" s="7">
        <v>200</v>
      </c>
      <c r="H48" s="12">
        <v>189</v>
      </c>
      <c r="I48" s="7"/>
      <c r="J48" s="7"/>
      <c r="K48" s="7"/>
      <c r="L48" s="7"/>
      <c r="M48" s="7"/>
      <c r="N48" s="7"/>
      <c r="O48" s="7"/>
      <c r="P48" s="7"/>
      <c r="Q48" s="7">
        <v>200</v>
      </c>
      <c r="R48" s="7"/>
      <c r="S48" s="1"/>
    </row>
    <row r="49" spans="3:19" ht="15.75" customHeight="1" x14ac:dyDescent="0.25">
      <c r="C49" s="10">
        <v>29</v>
      </c>
      <c r="D49" s="11">
        <v>45675</v>
      </c>
      <c r="E49" s="10" t="s">
        <v>761</v>
      </c>
      <c r="F49" s="22" t="s">
        <v>49</v>
      </c>
      <c r="G49" s="7">
        <v>500</v>
      </c>
      <c r="H49" s="12">
        <v>164</v>
      </c>
      <c r="I49" s="7"/>
      <c r="J49" s="7"/>
      <c r="K49" s="7">
        <v>500</v>
      </c>
      <c r="L49" s="7"/>
      <c r="M49" s="7"/>
      <c r="N49" s="7"/>
      <c r="O49" s="7"/>
      <c r="P49" s="7"/>
      <c r="Q49" s="7"/>
      <c r="R49" s="7"/>
      <c r="S49" s="1"/>
    </row>
    <row r="50" spans="3:19" ht="15.75" customHeight="1" x14ac:dyDescent="0.25">
      <c r="C50" s="10">
        <v>30</v>
      </c>
      <c r="D50" s="11">
        <v>45675</v>
      </c>
      <c r="E50" s="10" t="s">
        <v>762</v>
      </c>
      <c r="F50" s="22" t="s">
        <v>763</v>
      </c>
      <c r="G50" s="7">
        <v>2000</v>
      </c>
      <c r="H50" s="12">
        <v>181</v>
      </c>
      <c r="I50" s="7"/>
      <c r="J50" s="7"/>
      <c r="K50" s="7"/>
      <c r="L50" s="7"/>
      <c r="M50" s="7"/>
      <c r="N50" s="7"/>
      <c r="O50" s="7"/>
      <c r="P50" s="7"/>
      <c r="Q50" s="7">
        <v>2000</v>
      </c>
      <c r="R50" s="7"/>
      <c r="S50" s="1"/>
    </row>
    <row r="51" spans="3:19" ht="15.75" customHeight="1" x14ac:dyDescent="0.25">
      <c r="C51" s="10">
        <v>29</v>
      </c>
      <c r="D51" s="11">
        <v>45675</v>
      </c>
      <c r="E51" s="10">
        <v>360</v>
      </c>
      <c r="F51" s="22" t="s">
        <v>770</v>
      </c>
      <c r="G51" s="7">
        <v>340</v>
      </c>
      <c r="H51" s="12">
        <v>184</v>
      </c>
      <c r="I51" s="7" t="s">
        <v>84</v>
      </c>
      <c r="J51" s="7"/>
      <c r="K51" s="7"/>
      <c r="L51" s="7"/>
      <c r="M51" s="7"/>
      <c r="N51" s="7"/>
      <c r="O51" s="7"/>
      <c r="P51" s="7"/>
      <c r="Q51" s="7">
        <v>800</v>
      </c>
      <c r="R51" s="7"/>
      <c r="S51" s="1"/>
    </row>
    <row r="52" spans="3:19" ht="15.75" customHeight="1" x14ac:dyDescent="0.25">
      <c r="C52" s="10">
        <v>30</v>
      </c>
      <c r="D52" s="11">
        <v>45673</v>
      </c>
      <c r="E52" s="10" t="s">
        <v>27</v>
      </c>
      <c r="F52" s="22" t="s">
        <v>30</v>
      </c>
      <c r="G52" s="7">
        <v>300</v>
      </c>
      <c r="H52" s="12">
        <v>209</v>
      </c>
      <c r="I52" s="7"/>
      <c r="J52" s="7"/>
      <c r="K52" s="7"/>
      <c r="L52" s="7"/>
      <c r="M52" s="7"/>
      <c r="N52" s="7"/>
      <c r="O52" s="7"/>
      <c r="P52" s="7"/>
      <c r="Q52" s="7">
        <v>300</v>
      </c>
      <c r="R52" s="7"/>
      <c r="S52" s="1"/>
    </row>
    <row r="53" spans="3:19" ht="15.75" customHeight="1" x14ac:dyDescent="0.25">
      <c r="C53" s="10">
        <v>32</v>
      </c>
      <c r="D53" s="11">
        <v>45670</v>
      </c>
      <c r="E53" s="10" t="s">
        <v>27</v>
      </c>
      <c r="F53" s="22" t="s">
        <v>255</v>
      </c>
      <c r="G53" s="7">
        <v>900</v>
      </c>
      <c r="H53" s="12" t="s">
        <v>764</v>
      </c>
      <c r="I53" s="7">
        <v>600</v>
      </c>
      <c r="J53" s="7"/>
      <c r="K53" s="7"/>
      <c r="L53" s="7"/>
      <c r="M53" s="7"/>
      <c r="N53" s="7"/>
      <c r="O53" s="7"/>
      <c r="P53" s="7"/>
      <c r="Q53" s="7">
        <v>300</v>
      </c>
      <c r="R53" s="7"/>
      <c r="S53" s="1"/>
    </row>
    <row r="54" spans="3:19" ht="15.75" customHeight="1" x14ac:dyDescent="0.25">
      <c r="C54" s="10">
        <v>33</v>
      </c>
      <c r="D54" s="11">
        <v>45677</v>
      </c>
      <c r="E54" s="10" t="s">
        <v>765</v>
      </c>
      <c r="F54" s="22" t="s">
        <v>709</v>
      </c>
      <c r="G54" s="7">
        <v>1500</v>
      </c>
      <c r="H54" s="12">
        <v>214</v>
      </c>
      <c r="I54" s="7"/>
      <c r="J54" s="7"/>
      <c r="K54" s="7"/>
      <c r="L54" s="7"/>
      <c r="M54" s="7"/>
      <c r="N54" s="7"/>
      <c r="O54" s="7"/>
      <c r="P54" s="7"/>
      <c r="Q54" s="7">
        <v>1500</v>
      </c>
      <c r="R54" s="7"/>
      <c r="S54" s="1"/>
    </row>
    <row r="55" spans="3:19" ht="15.75" customHeight="1" x14ac:dyDescent="0.25">
      <c r="C55" s="10">
        <v>34</v>
      </c>
      <c r="D55" s="11">
        <v>45678</v>
      </c>
      <c r="E55" s="10" t="s">
        <v>766</v>
      </c>
      <c r="F55" s="22" t="s">
        <v>49</v>
      </c>
      <c r="G55" s="7">
        <v>4000</v>
      </c>
      <c r="H55" s="12" t="s">
        <v>726</v>
      </c>
      <c r="I55" s="7"/>
      <c r="J55" s="7"/>
      <c r="K55" s="7"/>
      <c r="L55" s="7"/>
      <c r="M55" s="7"/>
      <c r="N55" s="7"/>
      <c r="O55" s="7"/>
      <c r="P55" s="7"/>
      <c r="Q55" s="7">
        <v>4000</v>
      </c>
      <c r="R55" s="7"/>
      <c r="S55" s="1"/>
    </row>
    <row r="56" spans="3:19" ht="15.75" customHeight="1" x14ac:dyDescent="0.25">
      <c r="C56" s="10">
        <v>35</v>
      </c>
      <c r="D56" s="15">
        <v>45678</v>
      </c>
      <c r="E56" s="10" t="s">
        <v>767</v>
      </c>
      <c r="F56" s="22" t="s">
        <v>49</v>
      </c>
      <c r="G56" s="7">
        <v>1000</v>
      </c>
      <c r="H56" s="12">
        <v>187</v>
      </c>
      <c r="I56" s="7"/>
      <c r="J56" s="7"/>
      <c r="K56" s="7"/>
      <c r="L56" s="7"/>
      <c r="M56" s="7"/>
      <c r="N56" s="7"/>
      <c r="O56" s="7"/>
      <c r="P56" s="7"/>
      <c r="Q56" s="7">
        <v>1000</v>
      </c>
      <c r="R56" s="7"/>
      <c r="S56" s="1"/>
    </row>
    <row r="57" spans="3:19" ht="15.75" customHeight="1" x14ac:dyDescent="0.25">
      <c r="C57" s="10">
        <v>36</v>
      </c>
      <c r="D57" s="11">
        <v>45679</v>
      </c>
      <c r="E57" s="10" t="s">
        <v>768</v>
      </c>
      <c r="F57" s="90" t="s">
        <v>120</v>
      </c>
      <c r="G57" s="7">
        <v>1000</v>
      </c>
      <c r="H57" s="12">
        <v>193</v>
      </c>
      <c r="I57" s="7"/>
      <c r="J57" s="7"/>
      <c r="K57" s="7"/>
      <c r="L57" s="7"/>
      <c r="M57" s="7"/>
      <c r="N57" s="7"/>
      <c r="O57" s="7"/>
      <c r="P57" s="7"/>
      <c r="Q57" s="7">
        <v>1000</v>
      </c>
      <c r="R57" s="7"/>
      <c r="S57" s="1"/>
    </row>
    <row r="58" spans="3:19" ht="15.75" customHeight="1" x14ac:dyDescent="0.25">
      <c r="C58" s="10">
        <v>37</v>
      </c>
      <c r="D58" s="11">
        <v>45675</v>
      </c>
      <c r="E58" s="92">
        <v>361</v>
      </c>
      <c r="F58" s="90" t="s">
        <v>333</v>
      </c>
      <c r="G58" s="7">
        <v>340</v>
      </c>
      <c r="H58" s="91" t="s">
        <v>769</v>
      </c>
      <c r="I58" s="93">
        <v>40</v>
      </c>
      <c r="J58" s="7"/>
      <c r="K58" s="7"/>
      <c r="L58" s="7"/>
      <c r="M58" s="7"/>
      <c r="N58" s="7"/>
      <c r="O58" s="7"/>
      <c r="P58" s="7"/>
      <c r="Q58" s="7">
        <v>300</v>
      </c>
      <c r="R58" s="7"/>
      <c r="S58" s="1"/>
    </row>
    <row r="59" spans="3:19" ht="15.75" customHeight="1" x14ac:dyDescent="0.25">
      <c r="C59" s="10">
        <v>38</v>
      </c>
      <c r="D59" s="11">
        <v>45676</v>
      </c>
      <c r="E59" s="10">
        <v>362</v>
      </c>
      <c r="F59" s="90" t="s">
        <v>771</v>
      </c>
      <c r="G59" s="7">
        <v>10000</v>
      </c>
      <c r="H59" s="91" t="s">
        <v>772</v>
      </c>
      <c r="I59" s="7">
        <v>5000</v>
      </c>
      <c r="J59" s="7">
        <v>5000</v>
      </c>
      <c r="K59" s="7"/>
      <c r="L59" s="7"/>
      <c r="M59" s="7"/>
      <c r="N59" s="7"/>
      <c r="O59" s="7"/>
      <c r="P59" s="7"/>
      <c r="Q59" s="7"/>
      <c r="R59" s="7"/>
      <c r="S59" s="1"/>
    </row>
    <row r="60" spans="3:19" ht="15.75" customHeight="1" x14ac:dyDescent="0.25">
      <c r="C60" s="10">
        <v>41</v>
      </c>
      <c r="D60" s="11">
        <v>45676</v>
      </c>
      <c r="E60" s="10">
        <v>363</v>
      </c>
      <c r="F60" s="90" t="s">
        <v>731</v>
      </c>
      <c r="G60" s="7">
        <v>1000</v>
      </c>
      <c r="H60" s="31">
        <v>114</v>
      </c>
      <c r="I60" s="7">
        <v>1000</v>
      </c>
      <c r="J60" s="7"/>
      <c r="K60" s="7"/>
      <c r="L60" s="7"/>
      <c r="M60" s="7"/>
      <c r="N60" s="7"/>
      <c r="O60" s="7"/>
      <c r="P60" s="7"/>
      <c r="Q60" s="7"/>
      <c r="R60" s="7"/>
      <c r="S60" s="1"/>
    </row>
    <row r="61" spans="3:19" ht="15.75" customHeight="1" x14ac:dyDescent="0.25">
      <c r="C61" s="10">
        <v>39</v>
      </c>
      <c r="D61" s="11">
        <v>45677</v>
      </c>
      <c r="E61" s="10">
        <v>364</v>
      </c>
      <c r="F61" s="90" t="s">
        <v>773</v>
      </c>
      <c r="G61" s="7">
        <v>2000</v>
      </c>
      <c r="H61" s="12">
        <v>189</v>
      </c>
      <c r="I61" s="7"/>
      <c r="J61" s="7"/>
      <c r="K61" s="7"/>
      <c r="L61" s="7"/>
      <c r="M61" s="7"/>
      <c r="N61" s="7"/>
      <c r="O61" s="7"/>
      <c r="P61" s="7"/>
      <c r="Q61" s="7">
        <v>2000</v>
      </c>
      <c r="R61" s="7"/>
      <c r="S61" s="1"/>
    </row>
    <row r="62" spans="3:19" ht="15.75" customHeight="1" x14ac:dyDescent="0.25">
      <c r="C62" s="10">
        <v>42</v>
      </c>
      <c r="D62" s="11">
        <v>45677</v>
      </c>
      <c r="E62" s="10">
        <v>365</v>
      </c>
      <c r="F62" s="90" t="s">
        <v>614</v>
      </c>
      <c r="G62" s="7">
        <v>4000</v>
      </c>
      <c r="H62" s="12">
        <v>158</v>
      </c>
      <c r="I62" s="7"/>
      <c r="J62" s="7">
        <v>4000</v>
      </c>
      <c r="K62" s="7"/>
      <c r="L62" s="7"/>
      <c r="M62" s="7"/>
      <c r="N62" s="7"/>
      <c r="O62" s="7"/>
      <c r="P62" s="7"/>
      <c r="Q62" s="7"/>
      <c r="R62" s="7"/>
      <c r="S62" s="1"/>
    </row>
    <row r="63" spans="3:19" ht="15.75" customHeight="1" x14ac:dyDescent="0.25">
      <c r="C63" s="10">
        <v>40</v>
      </c>
      <c r="D63" s="11">
        <v>45677</v>
      </c>
      <c r="E63" s="10">
        <v>366</v>
      </c>
      <c r="F63" s="90" t="s">
        <v>614</v>
      </c>
      <c r="G63" s="7">
        <v>500</v>
      </c>
      <c r="H63" s="12">
        <v>182</v>
      </c>
      <c r="I63" s="7"/>
      <c r="J63" s="7"/>
      <c r="K63" s="7"/>
      <c r="L63" s="7"/>
      <c r="M63" s="7"/>
      <c r="N63" s="7"/>
      <c r="O63" s="7"/>
      <c r="P63" s="7"/>
      <c r="Q63" s="7">
        <v>500</v>
      </c>
      <c r="R63" s="7"/>
      <c r="S63" s="1"/>
    </row>
    <row r="64" spans="3:19" ht="15.75" customHeight="1" x14ac:dyDescent="0.25">
      <c r="C64" s="10">
        <v>43</v>
      </c>
      <c r="D64" s="11">
        <v>45677</v>
      </c>
      <c r="E64" s="10">
        <v>368</v>
      </c>
      <c r="F64" s="90" t="s">
        <v>283</v>
      </c>
      <c r="G64" s="7">
        <v>300</v>
      </c>
      <c r="H64" s="12" t="s">
        <v>774</v>
      </c>
      <c r="I64" s="7"/>
      <c r="J64" s="7"/>
      <c r="K64" s="7"/>
      <c r="L64" s="7"/>
      <c r="M64" s="7"/>
      <c r="N64" s="7"/>
      <c r="O64" s="7"/>
      <c r="P64" s="7"/>
      <c r="Q64" s="7">
        <v>300</v>
      </c>
      <c r="R64" s="7"/>
      <c r="S64" s="1"/>
    </row>
    <row r="65" spans="3:19" ht="15.75" customHeight="1" x14ac:dyDescent="0.25">
      <c r="C65" s="10">
        <v>44</v>
      </c>
      <c r="D65" s="11">
        <v>45677</v>
      </c>
      <c r="E65" s="10">
        <v>369</v>
      </c>
      <c r="F65" s="90" t="s">
        <v>333</v>
      </c>
      <c r="G65" s="7">
        <v>260</v>
      </c>
      <c r="H65" s="12">
        <v>188</v>
      </c>
      <c r="I65" s="7"/>
      <c r="J65" s="7"/>
      <c r="K65" s="7"/>
      <c r="L65" s="7"/>
      <c r="M65" s="7"/>
      <c r="N65" s="7"/>
      <c r="O65" s="7"/>
      <c r="P65" s="7"/>
      <c r="Q65" s="7">
        <v>260</v>
      </c>
      <c r="R65" s="7"/>
      <c r="S65" s="1"/>
    </row>
    <row r="66" spans="3:19" ht="15.75" customHeight="1" x14ac:dyDescent="0.25">
      <c r="C66" s="10">
        <v>45</v>
      </c>
      <c r="D66" s="11">
        <v>45678</v>
      </c>
      <c r="E66" s="10">
        <v>371</v>
      </c>
      <c r="F66" s="22" t="s">
        <v>80</v>
      </c>
      <c r="G66" s="7">
        <v>1000</v>
      </c>
      <c r="H66" s="12">
        <v>115</v>
      </c>
      <c r="I66" s="7">
        <v>1000</v>
      </c>
      <c r="J66" s="7"/>
      <c r="K66" s="7"/>
      <c r="L66" s="7"/>
      <c r="M66" s="7"/>
      <c r="N66" s="7"/>
      <c r="O66" s="7"/>
      <c r="P66" s="7"/>
      <c r="Q66" s="7"/>
      <c r="R66" s="7"/>
      <c r="S66" s="1"/>
    </row>
    <row r="67" spans="3:19" ht="15.75" customHeight="1" x14ac:dyDescent="0.25">
      <c r="C67" s="10">
        <v>46</v>
      </c>
      <c r="D67" s="11">
        <v>45678</v>
      </c>
      <c r="E67" s="10">
        <v>372</v>
      </c>
      <c r="F67" s="22" t="s">
        <v>162</v>
      </c>
      <c r="G67" s="7">
        <v>1000</v>
      </c>
      <c r="H67" s="12">
        <v>113</v>
      </c>
      <c r="I67" s="7">
        <v>1000</v>
      </c>
      <c r="J67" s="7"/>
      <c r="K67" s="7"/>
      <c r="L67" s="7"/>
      <c r="M67" s="7"/>
      <c r="N67" s="7"/>
      <c r="O67" s="7"/>
      <c r="P67" s="7"/>
      <c r="Q67" s="7"/>
      <c r="R67" s="7"/>
      <c r="S67" s="1"/>
    </row>
    <row r="68" spans="3:19" ht="15.75" customHeight="1" x14ac:dyDescent="0.25">
      <c r="C68" s="10">
        <v>47</v>
      </c>
      <c r="D68" s="11">
        <v>45678</v>
      </c>
      <c r="E68" s="10">
        <v>374</v>
      </c>
      <c r="F68" s="22" t="s">
        <v>775</v>
      </c>
      <c r="G68" s="7">
        <v>100</v>
      </c>
      <c r="H68" s="12">
        <v>189</v>
      </c>
      <c r="I68" s="7"/>
      <c r="J68" s="7"/>
      <c r="K68" s="7"/>
      <c r="L68" s="7"/>
      <c r="M68" s="7"/>
      <c r="N68" s="7"/>
      <c r="O68" s="7"/>
      <c r="P68" s="7"/>
      <c r="Q68" s="7">
        <v>100</v>
      </c>
      <c r="R68" s="7"/>
      <c r="S68" s="1"/>
    </row>
    <row r="69" spans="3:19" ht="15.75" customHeight="1" x14ac:dyDescent="0.25">
      <c r="C69" s="10">
        <v>48</v>
      </c>
      <c r="D69" s="11">
        <v>45679</v>
      </c>
      <c r="E69" s="10">
        <v>375</v>
      </c>
      <c r="F69" s="22" t="s">
        <v>162</v>
      </c>
      <c r="G69" s="7">
        <v>100</v>
      </c>
      <c r="H69" s="12">
        <v>112</v>
      </c>
      <c r="I69" s="7">
        <v>100</v>
      </c>
      <c r="J69" s="7"/>
      <c r="K69" s="7"/>
      <c r="L69" s="7"/>
      <c r="M69" s="7"/>
      <c r="N69" s="7"/>
      <c r="O69" s="7"/>
      <c r="P69" s="7"/>
      <c r="Q69" s="7"/>
      <c r="R69" s="7"/>
      <c r="S69" s="1"/>
    </row>
    <row r="70" spans="3:19" ht="15.75" customHeight="1" x14ac:dyDescent="0.25">
      <c r="C70" s="10">
        <v>49</v>
      </c>
      <c r="D70" s="11">
        <v>45679</v>
      </c>
      <c r="E70" s="10">
        <v>377</v>
      </c>
      <c r="F70" s="22" t="s">
        <v>758</v>
      </c>
      <c r="G70" s="7">
        <v>100</v>
      </c>
      <c r="H70" s="12">
        <v>184</v>
      </c>
      <c r="I70" s="7"/>
      <c r="J70" s="7"/>
      <c r="K70" s="7"/>
      <c r="L70" s="7"/>
      <c r="M70" s="7"/>
      <c r="N70" s="7"/>
      <c r="O70" s="7"/>
      <c r="P70" s="7"/>
      <c r="Q70" s="7">
        <v>100</v>
      </c>
      <c r="R70" s="7"/>
      <c r="S70" s="1"/>
    </row>
    <row r="71" spans="3:19" ht="15.75" customHeight="1" x14ac:dyDescent="0.25">
      <c r="C71" s="10">
        <v>50</v>
      </c>
      <c r="D71" s="11">
        <v>45679</v>
      </c>
      <c r="E71" s="10">
        <v>378</v>
      </c>
      <c r="F71" s="22" t="s">
        <v>80</v>
      </c>
      <c r="G71" s="7">
        <v>100</v>
      </c>
      <c r="H71" s="12">
        <v>170</v>
      </c>
      <c r="I71" s="7"/>
      <c r="J71" s="7"/>
      <c r="K71" s="7">
        <v>100</v>
      </c>
      <c r="L71" s="7"/>
      <c r="M71" s="7"/>
      <c r="N71" s="7"/>
      <c r="O71" s="7"/>
      <c r="P71" s="7"/>
      <c r="Q71" s="7"/>
      <c r="R71" s="7"/>
      <c r="S71" s="1"/>
    </row>
    <row r="72" spans="3:19" ht="15.75" customHeight="1" x14ac:dyDescent="0.25">
      <c r="C72" s="10">
        <v>51</v>
      </c>
      <c r="D72" s="11">
        <v>45680</v>
      </c>
      <c r="E72" s="10">
        <v>379</v>
      </c>
      <c r="F72" s="22" t="s">
        <v>614</v>
      </c>
      <c r="G72" s="7">
        <v>1000</v>
      </c>
      <c r="H72" s="12">
        <v>157</v>
      </c>
      <c r="I72" s="7"/>
      <c r="J72" s="7">
        <v>1000</v>
      </c>
      <c r="K72" s="7"/>
      <c r="L72" s="7"/>
      <c r="M72" s="7"/>
      <c r="N72" s="7"/>
      <c r="O72" s="7"/>
      <c r="P72" s="7"/>
      <c r="Q72" s="7"/>
      <c r="R72" s="7"/>
      <c r="S72" s="1"/>
    </row>
    <row r="73" spans="3:19" ht="15.75" customHeight="1" x14ac:dyDescent="0.25">
      <c r="C73" s="10">
        <v>52</v>
      </c>
      <c r="D73" s="11">
        <v>45680</v>
      </c>
      <c r="E73" s="10">
        <v>380</v>
      </c>
      <c r="F73" s="22" t="s">
        <v>331</v>
      </c>
      <c r="G73" s="7">
        <v>1000</v>
      </c>
      <c r="H73" s="31">
        <v>105</v>
      </c>
      <c r="I73" s="7">
        <v>1000</v>
      </c>
      <c r="J73" s="7"/>
      <c r="K73" s="7"/>
      <c r="L73" s="7"/>
      <c r="M73" s="7"/>
      <c r="N73" s="7"/>
      <c r="O73" s="7"/>
      <c r="P73" s="7"/>
      <c r="Q73" s="7"/>
      <c r="R73" s="7"/>
      <c r="S73" s="1"/>
    </row>
    <row r="74" spans="3:19" ht="15.75" customHeight="1" x14ac:dyDescent="0.25">
      <c r="C74" s="10">
        <v>53</v>
      </c>
      <c r="D74" s="11">
        <v>45680</v>
      </c>
      <c r="E74" s="10">
        <v>381</v>
      </c>
      <c r="F74" s="22" t="s">
        <v>614</v>
      </c>
      <c r="G74" s="7">
        <v>400</v>
      </c>
      <c r="H74" s="12">
        <v>174</v>
      </c>
      <c r="I74" s="7"/>
      <c r="J74" s="7"/>
      <c r="K74" s="7"/>
      <c r="L74" s="7"/>
      <c r="M74" s="7">
        <v>400</v>
      </c>
      <c r="N74" s="7"/>
      <c r="O74" s="7"/>
      <c r="P74" s="7"/>
      <c r="Q74" s="7"/>
      <c r="R74" s="7"/>
      <c r="S74" s="1"/>
    </row>
    <row r="75" spans="3:19" ht="15.75" customHeight="1" x14ac:dyDescent="0.25">
      <c r="C75" s="10">
        <v>54</v>
      </c>
      <c r="D75" s="11">
        <v>45680</v>
      </c>
      <c r="E75" s="10">
        <v>382</v>
      </c>
      <c r="F75" s="22" t="s">
        <v>771</v>
      </c>
      <c r="G75" s="7">
        <v>5000</v>
      </c>
      <c r="H75" s="12">
        <v>159</v>
      </c>
      <c r="I75" s="7"/>
      <c r="J75" s="7">
        <v>5000</v>
      </c>
      <c r="K75" s="7"/>
      <c r="L75" s="7"/>
      <c r="M75" s="7"/>
      <c r="N75" s="7"/>
      <c r="O75" s="7"/>
      <c r="P75" s="7"/>
      <c r="Q75" s="7"/>
      <c r="R75" s="7"/>
      <c r="S75" s="1"/>
    </row>
    <row r="76" spans="3:19" ht="15.75" customHeight="1" x14ac:dyDescent="0.25">
      <c r="C76" s="10">
        <v>55</v>
      </c>
      <c r="D76" s="11">
        <v>45680</v>
      </c>
      <c r="E76" s="10" t="s">
        <v>776</v>
      </c>
      <c r="F76" s="22" t="s">
        <v>777</v>
      </c>
      <c r="G76" s="7">
        <v>1500</v>
      </c>
      <c r="H76" s="12">
        <v>193</v>
      </c>
      <c r="I76" s="7"/>
      <c r="J76" s="7"/>
      <c r="K76" s="7"/>
      <c r="L76" s="7"/>
      <c r="M76" s="7"/>
      <c r="N76" s="7"/>
      <c r="O76" s="7"/>
      <c r="P76" s="7"/>
      <c r="Q76" s="7">
        <v>1500</v>
      </c>
      <c r="R76" s="7"/>
      <c r="S76" s="1"/>
    </row>
    <row r="77" spans="3:19" ht="15.75" customHeight="1" x14ac:dyDescent="0.25">
      <c r="C77" s="10">
        <v>56</v>
      </c>
      <c r="D77" s="11">
        <v>45681</v>
      </c>
      <c r="E77" s="10">
        <v>384</v>
      </c>
      <c r="F77" s="22" t="s">
        <v>44</v>
      </c>
      <c r="G77" s="7">
        <v>2000</v>
      </c>
      <c r="H77" s="12">
        <v>117</v>
      </c>
      <c r="I77" s="7">
        <v>2000</v>
      </c>
      <c r="J77" s="7"/>
      <c r="K77" s="7"/>
      <c r="L77" s="7"/>
      <c r="M77" s="7"/>
      <c r="N77" s="7"/>
      <c r="O77" s="7"/>
      <c r="P77" s="7"/>
      <c r="Q77" s="7"/>
      <c r="R77" s="7"/>
      <c r="S77" s="1"/>
    </row>
    <row r="78" spans="3:19" ht="15.75" customHeight="1" x14ac:dyDescent="0.25">
      <c r="C78" s="10">
        <v>57</v>
      </c>
      <c r="D78" s="11">
        <v>45681</v>
      </c>
      <c r="E78" s="10">
        <v>385</v>
      </c>
      <c r="F78" s="22" t="s">
        <v>482</v>
      </c>
      <c r="G78" s="7">
        <v>2000</v>
      </c>
      <c r="H78" s="12">
        <v>105</v>
      </c>
      <c r="I78" s="7">
        <v>2000</v>
      </c>
      <c r="J78" s="7"/>
      <c r="K78" s="7"/>
      <c r="L78" s="7"/>
      <c r="M78" s="7"/>
      <c r="N78" s="7"/>
      <c r="O78" s="7"/>
      <c r="P78" s="7"/>
      <c r="Q78" s="7"/>
      <c r="R78" s="7"/>
      <c r="S78" s="1"/>
    </row>
    <row r="79" spans="3:19" ht="15.75" customHeight="1" x14ac:dyDescent="0.25">
      <c r="C79" s="10">
        <v>58</v>
      </c>
      <c r="D79" s="11">
        <v>45682</v>
      </c>
      <c r="E79" s="10">
        <v>388</v>
      </c>
      <c r="F79" s="22" t="s">
        <v>65</v>
      </c>
      <c r="G79" s="7">
        <v>200</v>
      </c>
      <c r="H79" s="12">
        <v>191</v>
      </c>
      <c r="I79" s="7"/>
      <c r="J79" s="7"/>
      <c r="K79" s="7"/>
      <c r="L79" s="7"/>
      <c r="M79" s="7"/>
      <c r="N79" s="7"/>
      <c r="O79" s="7"/>
      <c r="P79" s="7"/>
      <c r="Q79" s="7">
        <v>200</v>
      </c>
      <c r="R79" s="7"/>
      <c r="S79" s="1"/>
    </row>
    <row r="80" spans="3:19" ht="15.75" customHeight="1" x14ac:dyDescent="0.25">
      <c r="C80" s="10">
        <v>59</v>
      </c>
      <c r="D80" s="11">
        <v>45684</v>
      </c>
      <c r="E80" s="10">
        <v>390</v>
      </c>
      <c r="F80" s="22" t="s">
        <v>175</v>
      </c>
      <c r="G80" s="7">
        <v>200</v>
      </c>
      <c r="H80" s="12">
        <v>118</v>
      </c>
      <c r="I80" s="7">
        <v>200</v>
      </c>
      <c r="J80" s="7"/>
      <c r="K80" s="7"/>
      <c r="L80" s="7"/>
      <c r="M80" s="7"/>
      <c r="N80" s="7"/>
      <c r="O80" s="7"/>
      <c r="P80" s="7"/>
      <c r="Q80" s="7"/>
      <c r="R80" s="7"/>
      <c r="S80" s="1"/>
    </row>
    <row r="81" spans="3:18" ht="15.75" customHeight="1" x14ac:dyDescent="0.25">
      <c r="C81" s="10">
        <v>60</v>
      </c>
      <c r="D81" s="11">
        <v>45685</v>
      </c>
      <c r="E81" s="10">
        <v>391</v>
      </c>
      <c r="F81" s="22" t="s">
        <v>268</v>
      </c>
      <c r="G81" s="7">
        <v>1200</v>
      </c>
      <c r="H81" s="12" t="s">
        <v>778</v>
      </c>
      <c r="I81" s="7"/>
      <c r="J81" s="7">
        <v>1000</v>
      </c>
      <c r="K81" s="7"/>
      <c r="L81" s="7"/>
      <c r="M81" s="7"/>
      <c r="N81" s="7"/>
      <c r="O81" s="7"/>
      <c r="P81" s="7"/>
      <c r="Q81" s="7">
        <v>200</v>
      </c>
      <c r="R81" s="7"/>
    </row>
    <row r="82" spans="3:18" ht="15.75" customHeight="1" x14ac:dyDescent="0.25">
      <c r="C82" s="10">
        <v>61</v>
      </c>
      <c r="D82" s="11">
        <v>45682</v>
      </c>
      <c r="E82" s="10" t="s">
        <v>779</v>
      </c>
      <c r="F82" s="22" t="s">
        <v>80</v>
      </c>
      <c r="G82" s="7">
        <v>400</v>
      </c>
      <c r="H82" s="12">
        <v>170</v>
      </c>
      <c r="I82" s="7"/>
      <c r="J82" s="7"/>
      <c r="K82" s="7"/>
      <c r="L82" s="7"/>
      <c r="M82" s="7"/>
      <c r="N82" s="7"/>
      <c r="O82" s="7"/>
      <c r="P82" s="7">
        <v>400</v>
      </c>
      <c r="Q82" s="7"/>
      <c r="R82" s="7"/>
    </row>
    <row r="83" spans="3:18" ht="15.75" customHeight="1" x14ac:dyDescent="0.25">
      <c r="C83" s="10">
        <v>62</v>
      </c>
      <c r="D83" s="11">
        <v>45683</v>
      </c>
      <c r="E83" s="10" t="s">
        <v>780</v>
      </c>
      <c r="F83" s="22" t="s">
        <v>51</v>
      </c>
      <c r="G83" s="7">
        <v>5000</v>
      </c>
      <c r="H83" s="12">
        <v>178</v>
      </c>
      <c r="I83" s="7"/>
      <c r="J83" s="7"/>
      <c r="K83" s="7"/>
      <c r="L83" s="7"/>
      <c r="M83" s="7">
        <v>5000</v>
      </c>
      <c r="N83" s="7"/>
      <c r="O83" s="7"/>
      <c r="P83" s="7"/>
      <c r="Q83" s="7"/>
      <c r="R83" s="7"/>
    </row>
    <row r="84" spans="3:18" ht="15.75" customHeight="1" x14ac:dyDescent="0.25">
      <c r="C84" s="10">
        <v>63</v>
      </c>
      <c r="D84" s="11">
        <v>45684</v>
      </c>
      <c r="E84" s="10" t="s">
        <v>781</v>
      </c>
      <c r="F84" s="22" t="s">
        <v>673</v>
      </c>
      <c r="G84" s="7">
        <v>125</v>
      </c>
      <c r="H84" s="12">
        <v>154</v>
      </c>
      <c r="I84" s="7"/>
      <c r="J84" s="7">
        <v>125</v>
      </c>
      <c r="K84" s="7"/>
      <c r="L84" s="7"/>
      <c r="M84" s="7"/>
      <c r="N84" s="7"/>
      <c r="O84" s="7"/>
      <c r="P84" s="7"/>
      <c r="Q84" s="7"/>
      <c r="R84" s="7"/>
    </row>
    <row r="85" spans="3:18" ht="15.75" customHeight="1" x14ac:dyDescent="0.25">
      <c r="C85" s="10">
        <v>64</v>
      </c>
      <c r="D85" s="11">
        <v>45684</v>
      </c>
      <c r="E85" s="10" t="s">
        <v>782</v>
      </c>
      <c r="F85" s="22" t="s">
        <v>269</v>
      </c>
      <c r="G85" s="7">
        <v>900</v>
      </c>
      <c r="H85" s="12">
        <v>179</v>
      </c>
      <c r="I85" s="7"/>
      <c r="J85" s="7"/>
      <c r="K85" s="7"/>
      <c r="L85" s="7">
        <v>900</v>
      </c>
      <c r="M85" s="7"/>
      <c r="N85" s="7"/>
      <c r="O85" s="7"/>
      <c r="P85" s="7"/>
      <c r="Q85" s="7"/>
      <c r="R85" s="7"/>
    </row>
    <row r="86" spans="3:18" ht="15.75" customHeight="1" x14ac:dyDescent="0.25">
      <c r="C86" s="10">
        <v>65</v>
      </c>
      <c r="D86" s="11">
        <v>45684</v>
      </c>
      <c r="E86" s="10" t="s">
        <v>783</v>
      </c>
      <c r="F86" s="22" t="s">
        <v>269</v>
      </c>
      <c r="G86" s="7">
        <v>1000</v>
      </c>
      <c r="H86" s="12">
        <v>179</v>
      </c>
      <c r="I86" s="7"/>
      <c r="J86" s="7"/>
      <c r="K86" s="7"/>
      <c r="L86" s="7"/>
      <c r="M86" s="7">
        <v>1000</v>
      </c>
      <c r="N86" s="7"/>
      <c r="O86" s="7"/>
      <c r="P86" s="7"/>
      <c r="Q86" s="7"/>
      <c r="R86" s="7"/>
    </row>
    <row r="87" spans="3:18" ht="15.75" customHeight="1" x14ac:dyDescent="0.25">
      <c r="C87" s="10">
        <v>66</v>
      </c>
      <c r="D87" s="11">
        <v>45685</v>
      </c>
      <c r="E87" s="10" t="s">
        <v>784</v>
      </c>
      <c r="F87" s="22" t="s">
        <v>80</v>
      </c>
      <c r="G87" s="7">
        <v>500</v>
      </c>
      <c r="H87" s="12">
        <v>205</v>
      </c>
      <c r="I87" s="7"/>
      <c r="J87" s="7"/>
      <c r="K87" s="7"/>
      <c r="L87" s="7"/>
      <c r="M87" s="7"/>
      <c r="N87" s="7"/>
      <c r="O87" s="7"/>
      <c r="P87" s="7"/>
      <c r="Q87" s="7">
        <v>500</v>
      </c>
      <c r="R87" s="7"/>
    </row>
    <row r="88" spans="3:18" ht="15.75" customHeight="1" x14ac:dyDescent="0.25">
      <c r="C88" s="10">
        <v>67</v>
      </c>
      <c r="D88" s="11">
        <v>45685</v>
      </c>
      <c r="E88" s="10" t="s">
        <v>785</v>
      </c>
      <c r="F88" s="22" t="s">
        <v>32</v>
      </c>
      <c r="G88" s="7">
        <v>800</v>
      </c>
      <c r="H88" s="12" t="s">
        <v>786</v>
      </c>
      <c r="I88" s="7"/>
      <c r="J88" s="7"/>
      <c r="K88" s="7"/>
      <c r="L88" s="7"/>
      <c r="M88" s="7"/>
      <c r="N88" s="7"/>
      <c r="O88" s="7"/>
      <c r="P88" s="7"/>
      <c r="Q88" s="7">
        <v>800</v>
      </c>
      <c r="R88" s="7"/>
    </row>
    <row r="89" spans="3:18" ht="15.75" customHeight="1" x14ac:dyDescent="0.25">
      <c r="C89" s="10">
        <v>68</v>
      </c>
      <c r="D89" s="11">
        <v>45687</v>
      </c>
      <c r="E89" s="10">
        <v>393</v>
      </c>
      <c r="F89" s="22" t="s">
        <v>52</v>
      </c>
      <c r="G89" s="7">
        <v>6000</v>
      </c>
      <c r="H89" s="12">
        <v>115</v>
      </c>
      <c r="I89" s="7">
        <v>6000</v>
      </c>
      <c r="J89" s="7"/>
      <c r="K89" s="7"/>
      <c r="L89" s="7"/>
      <c r="M89" s="7"/>
      <c r="N89" s="7"/>
      <c r="O89" s="7"/>
      <c r="P89" s="7"/>
      <c r="Q89" s="7"/>
      <c r="R89" s="7"/>
    </row>
    <row r="90" spans="3:18" ht="15.75" customHeight="1" x14ac:dyDescent="0.25">
      <c r="C90" s="10">
        <v>69</v>
      </c>
      <c r="D90" s="11">
        <v>45687</v>
      </c>
      <c r="E90" s="10">
        <v>394</v>
      </c>
      <c r="F90" s="22" t="s">
        <v>52</v>
      </c>
      <c r="G90" s="7">
        <v>1000</v>
      </c>
      <c r="H90" s="12">
        <v>165</v>
      </c>
      <c r="I90" s="7"/>
      <c r="J90" s="7"/>
      <c r="K90" s="7">
        <v>1000</v>
      </c>
      <c r="L90" s="7"/>
      <c r="M90" s="7"/>
      <c r="N90" s="7"/>
      <c r="O90" s="7"/>
      <c r="P90" s="7"/>
      <c r="Q90" s="7"/>
      <c r="R90" s="7"/>
    </row>
    <row r="91" spans="3:18" ht="15.75" customHeight="1" x14ac:dyDescent="0.25">
      <c r="C91" s="10">
        <v>70</v>
      </c>
      <c r="D91" s="11">
        <v>45687</v>
      </c>
      <c r="E91" s="10">
        <v>397</v>
      </c>
      <c r="F91" s="22" t="s">
        <v>333</v>
      </c>
      <c r="G91" s="7">
        <v>200</v>
      </c>
      <c r="H91" s="12">
        <v>115</v>
      </c>
      <c r="I91" s="7">
        <v>200</v>
      </c>
      <c r="J91" s="7"/>
      <c r="K91" s="7"/>
      <c r="L91" s="7"/>
      <c r="M91" s="7"/>
      <c r="N91" s="7"/>
      <c r="O91" s="7"/>
      <c r="P91" s="7"/>
      <c r="Q91" s="7"/>
      <c r="R91" s="7"/>
    </row>
    <row r="92" spans="3:18" ht="15.75" customHeight="1" x14ac:dyDescent="0.25">
      <c r="C92" s="10">
        <v>71</v>
      </c>
      <c r="D92" s="11">
        <v>45687</v>
      </c>
      <c r="E92" s="10">
        <v>398</v>
      </c>
      <c r="F92" s="22" t="s">
        <v>57</v>
      </c>
      <c r="G92" s="7">
        <v>100</v>
      </c>
      <c r="H92" s="12">
        <v>120</v>
      </c>
      <c r="I92" s="7">
        <v>100</v>
      </c>
      <c r="J92" s="7"/>
      <c r="K92" s="7"/>
      <c r="L92" s="7"/>
      <c r="M92" s="7"/>
      <c r="N92" s="7"/>
      <c r="O92" s="7"/>
      <c r="P92" s="7"/>
      <c r="Q92" s="14"/>
      <c r="R92" s="7"/>
    </row>
    <row r="93" spans="3:18" ht="15.75" customHeight="1" x14ac:dyDescent="0.25">
      <c r="C93" s="10">
        <v>72</v>
      </c>
      <c r="D93" s="11">
        <v>45687</v>
      </c>
      <c r="E93" s="10">
        <v>399</v>
      </c>
      <c r="F93" s="22" t="s">
        <v>162</v>
      </c>
      <c r="G93" s="7">
        <v>3000</v>
      </c>
      <c r="H93" s="12">
        <v>113</v>
      </c>
      <c r="I93" s="7">
        <v>3000</v>
      </c>
      <c r="J93" s="7"/>
      <c r="K93" s="7"/>
      <c r="L93" s="7"/>
      <c r="M93" s="7"/>
      <c r="N93" s="7"/>
      <c r="O93" s="7"/>
      <c r="P93" s="7"/>
      <c r="Q93" s="7"/>
      <c r="R93" s="7"/>
    </row>
    <row r="94" spans="3:18" ht="15.75" customHeight="1" x14ac:dyDescent="0.25">
      <c r="C94" s="10">
        <v>73</v>
      </c>
      <c r="D94" s="11">
        <v>45687</v>
      </c>
      <c r="E94" s="10" t="s">
        <v>787</v>
      </c>
      <c r="F94" s="22" t="s">
        <v>771</v>
      </c>
      <c r="G94" s="7">
        <v>1875</v>
      </c>
      <c r="H94" s="12">
        <v>159</v>
      </c>
      <c r="I94" s="7"/>
      <c r="J94" s="7">
        <v>1875</v>
      </c>
      <c r="K94" s="7"/>
      <c r="L94" s="7"/>
      <c r="M94" s="7"/>
      <c r="N94" s="7"/>
      <c r="O94" s="7"/>
      <c r="P94" s="7"/>
      <c r="Q94" s="7"/>
      <c r="R94" s="7"/>
    </row>
    <row r="95" spans="3:18" ht="15.75" customHeight="1" x14ac:dyDescent="0.25">
      <c r="C95" s="10">
        <v>74</v>
      </c>
      <c r="D95" s="11">
        <v>45688</v>
      </c>
      <c r="E95" s="10" t="s">
        <v>788</v>
      </c>
      <c r="F95" s="22" t="s">
        <v>789</v>
      </c>
      <c r="G95" s="7">
        <v>500</v>
      </c>
      <c r="H95" s="12">
        <v>211</v>
      </c>
      <c r="I95" s="7"/>
      <c r="J95" s="7"/>
      <c r="K95" s="7"/>
      <c r="L95" s="7"/>
      <c r="M95" s="7"/>
      <c r="N95" s="7"/>
      <c r="O95" s="7"/>
      <c r="P95" s="7"/>
      <c r="Q95" s="7">
        <v>500</v>
      </c>
      <c r="R95" s="7"/>
    </row>
    <row r="96" spans="3:18" ht="15.75" customHeight="1" x14ac:dyDescent="0.25">
      <c r="C96" s="10">
        <v>75</v>
      </c>
      <c r="D96" s="11"/>
      <c r="E96" s="10"/>
      <c r="F96" s="22" t="s">
        <v>190</v>
      </c>
      <c r="G96" s="7"/>
      <c r="H96" s="12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3:18" ht="15.75" customHeight="1" x14ac:dyDescent="0.25">
      <c r="C97" s="10">
        <v>76</v>
      </c>
      <c r="D97" s="11"/>
      <c r="E97" s="10"/>
      <c r="F97" s="22" t="s">
        <v>331</v>
      </c>
      <c r="G97" s="7"/>
      <c r="H97" s="12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3:18" ht="15.75" customHeight="1" x14ac:dyDescent="0.25">
      <c r="C98" s="10">
        <v>77</v>
      </c>
      <c r="D98" s="11"/>
      <c r="E98" s="10"/>
      <c r="F98" s="22" t="s">
        <v>69</v>
      </c>
      <c r="G98" s="7"/>
      <c r="H98" s="12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3:18" ht="15.75" customHeight="1" x14ac:dyDescent="0.25">
      <c r="C99" s="10">
        <v>78</v>
      </c>
      <c r="D99" s="11"/>
      <c r="E99" s="10"/>
      <c r="F99" s="22" t="s">
        <v>52</v>
      </c>
      <c r="G99" s="7"/>
      <c r="H99" s="12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3:18" ht="15.75" customHeight="1" x14ac:dyDescent="0.25">
      <c r="C100" s="10">
        <v>79</v>
      </c>
      <c r="D100" s="11"/>
      <c r="E100" s="10"/>
      <c r="F100" s="22" t="s">
        <v>37</v>
      </c>
      <c r="G100" s="7"/>
      <c r="H100" s="12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3:18" ht="15.75" customHeight="1" x14ac:dyDescent="0.25">
      <c r="C101" s="10">
        <v>80</v>
      </c>
      <c r="D101" s="11"/>
      <c r="E101" s="10"/>
      <c r="F101" s="22" t="s">
        <v>220</v>
      </c>
      <c r="G101" s="7"/>
      <c r="H101" s="12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3:18" ht="15.75" customHeight="1" x14ac:dyDescent="0.25">
      <c r="C102" s="10">
        <v>81</v>
      </c>
      <c r="D102" s="11"/>
      <c r="E102" s="10"/>
      <c r="F102" s="22" t="s">
        <v>333</v>
      </c>
      <c r="G102" s="7"/>
      <c r="H102" s="12"/>
      <c r="I102" s="7"/>
      <c r="J102" s="7"/>
      <c r="K102" s="7"/>
      <c r="L102" s="7"/>
      <c r="M102" s="7"/>
      <c r="N102" s="7"/>
      <c r="O102" s="7"/>
      <c r="P102" s="7"/>
      <c r="Q102" s="7"/>
      <c r="R102" s="14"/>
    </row>
    <row r="103" spans="3:18" ht="15.75" customHeight="1" x14ac:dyDescent="0.25">
      <c r="C103" s="13" t="s">
        <v>3</v>
      </c>
      <c r="D103" s="88" t="s">
        <v>742</v>
      </c>
      <c r="E103" s="13"/>
      <c r="F103" s="25"/>
      <c r="G103" s="14">
        <f>SUM(G21:G102)</f>
        <v>120100</v>
      </c>
      <c r="H103" s="14"/>
      <c r="I103" s="14">
        <f t="shared" ref="I103:Q103" si="9">SUM(I21:I102)</f>
        <v>40640</v>
      </c>
      <c r="J103" s="14">
        <f t="shared" si="9"/>
        <v>18000</v>
      </c>
      <c r="K103" s="14">
        <f t="shared" si="9"/>
        <v>1600</v>
      </c>
      <c r="L103" s="14">
        <f t="shared" si="9"/>
        <v>1900</v>
      </c>
      <c r="M103" s="14">
        <f t="shared" si="9"/>
        <v>9180</v>
      </c>
      <c r="N103" s="14">
        <f t="shared" si="9"/>
        <v>0</v>
      </c>
      <c r="O103" s="14">
        <f t="shared" si="9"/>
        <v>0</v>
      </c>
      <c r="P103" s="14">
        <f t="shared" si="9"/>
        <v>400</v>
      </c>
      <c r="Q103" s="14">
        <f t="shared" si="9"/>
        <v>49540</v>
      </c>
      <c r="R103" s="14"/>
    </row>
    <row r="104" spans="3:18" ht="15.75" customHeight="1" x14ac:dyDescent="0.25">
      <c r="C104" s="1"/>
      <c r="E104" s="1"/>
      <c r="F104" s="16"/>
    </row>
    <row r="105" spans="3:18" ht="15.75" customHeight="1" x14ac:dyDescent="0.25">
      <c r="C105" s="1"/>
      <c r="D105" s="89"/>
      <c r="E105" s="1"/>
      <c r="F105" s="16"/>
      <c r="I105" s="33">
        <f>SUM('Jan 25'!$I$103:'Jan 25'!$Q$103)</f>
        <v>121260</v>
      </c>
    </row>
    <row r="106" spans="3:18" ht="15.75" customHeight="1" x14ac:dyDescent="0.25">
      <c r="E106" s="1"/>
      <c r="F106" s="16"/>
    </row>
    <row r="107" spans="3:18" ht="15.75" customHeight="1" x14ac:dyDescent="0.25"/>
    <row r="108" spans="3:18" ht="15.75" customHeight="1" x14ac:dyDescent="0.25"/>
    <row r="109" spans="3:18" ht="15.75" customHeight="1" x14ac:dyDescent="0.25"/>
    <row r="110" spans="3:18" ht="15.75" customHeight="1" x14ac:dyDescent="0.25"/>
    <row r="111" spans="3:18" ht="15.75" customHeight="1" x14ac:dyDescent="0.25"/>
    <row r="112" spans="3:1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2">
    <mergeCell ref="T33:V33"/>
    <mergeCell ref="T34:V34"/>
    <mergeCell ref="T35:V35"/>
    <mergeCell ref="T36:V36"/>
    <mergeCell ref="T37:V37"/>
    <mergeCell ref="T32:V32"/>
    <mergeCell ref="X32:Y32"/>
    <mergeCell ref="C11:D11"/>
    <mergeCell ref="C18:E18"/>
    <mergeCell ref="T20:W20"/>
    <mergeCell ref="T21:V21"/>
    <mergeCell ref="X31:Y31"/>
  </mergeCells>
  <pageMargins left="0.7" right="0.7" top="0.75" bottom="0.75" header="0" footer="0"/>
  <pageSetup orientation="portrait" r:id="rId1"/>
  <tableParts count="1">
    <tablePart r:id="rId2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C3:Z999"/>
  <sheetViews>
    <sheetView workbookViewId="0">
      <selection activeCell="W34" sqref="W34"/>
    </sheetView>
  </sheetViews>
  <sheetFormatPr defaultColWidth="14.42578125" defaultRowHeight="15" customHeight="1" x14ac:dyDescent="0.25"/>
  <cols>
    <col min="1" max="1" width="8.7109375" customWidth="1"/>
    <col min="2" max="2" width="8" customWidth="1"/>
    <col min="3" max="3" width="9.85546875" customWidth="1"/>
    <col min="4" max="4" width="12.7109375" style="81" customWidth="1"/>
    <col min="5" max="5" width="13.28515625" customWidth="1"/>
    <col min="6" max="6" width="9.42578125" customWidth="1"/>
    <col min="7" max="7" width="8.7109375" customWidth="1"/>
    <col min="8" max="8" width="12.28515625" customWidth="1"/>
    <col min="9" max="12" width="8.7109375" customWidth="1"/>
    <col min="13" max="13" width="11.140625" customWidth="1"/>
    <col min="14" max="14" width="10.85546875" customWidth="1"/>
    <col min="15" max="15" width="11.7109375" customWidth="1"/>
    <col min="16" max="16" width="11.42578125" customWidth="1"/>
    <col min="17" max="17" width="14" customWidth="1"/>
    <col min="18" max="20" width="8.7109375" customWidth="1"/>
    <col min="21" max="21" width="10.7109375" customWidth="1"/>
    <col min="22" max="26" width="8.7109375" customWidth="1"/>
  </cols>
  <sheetData>
    <row r="3" spans="3:23" x14ac:dyDescent="0.25"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3:23" ht="15.75" x14ac:dyDescent="0.25">
      <c r="C4" s="1"/>
      <c r="D4" s="82" t="s">
        <v>834</v>
      </c>
      <c r="E4" s="17"/>
      <c r="F4" s="18"/>
      <c r="G4" s="2"/>
      <c r="H4" s="2"/>
      <c r="I4" s="2"/>
      <c r="J4" s="2"/>
      <c r="K4" s="8"/>
      <c r="L4" s="2"/>
      <c r="M4" s="3"/>
      <c r="N4" s="3"/>
      <c r="O4" s="65" t="s">
        <v>88</v>
      </c>
      <c r="P4" s="60" t="s">
        <v>2</v>
      </c>
      <c r="Q4" s="66" t="s">
        <v>117</v>
      </c>
    </row>
    <row r="5" spans="3:23" ht="16.5" thickBot="1" x14ac:dyDescent="0.3">
      <c r="C5" s="1"/>
      <c r="D5" s="83" t="s">
        <v>1</v>
      </c>
      <c r="E5" s="44" t="s">
        <v>2</v>
      </c>
      <c r="F5" s="45">
        <v>1799</v>
      </c>
      <c r="G5" s="46">
        <v>2699</v>
      </c>
      <c r="H5" s="46">
        <v>588</v>
      </c>
      <c r="I5" s="46">
        <v>2088</v>
      </c>
      <c r="J5" s="46">
        <v>2488</v>
      </c>
      <c r="K5" s="46">
        <v>2688</v>
      </c>
      <c r="L5" s="45" t="s">
        <v>678</v>
      </c>
      <c r="M5" s="96" t="s">
        <v>716</v>
      </c>
      <c r="N5" s="45" t="s">
        <v>3</v>
      </c>
      <c r="O5" s="47"/>
      <c r="P5" s="42"/>
      <c r="Q5" s="42"/>
    </row>
    <row r="6" spans="3:23" ht="18" thickBot="1" x14ac:dyDescent="0.35">
      <c r="C6" s="1"/>
      <c r="D6" s="84" t="s">
        <v>259</v>
      </c>
      <c r="E6" s="94">
        <v>197848</v>
      </c>
      <c r="F6" s="95">
        <v>0</v>
      </c>
      <c r="G6" s="95">
        <v>8400</v>
      </c>
      <c r="H6" s="95">
        <v>-440</v>
      </c>
      <c r="I6" s="95">
        <v>6940</v>
      </c>
      <c r="J6" s="95">
        <v>0</v>
      </c>
      <c r="K6" s="95">
        <v>0</v>
      </c>
      <c r="L6" s="95">
        <v>420</v>
      </c>
      <c r="M6" s="95">
        <v>52910</v>
      </c>
      <c r="N6" s="95">
        <f>SUM(E6:M6)</f>
        <v>266078</v>
      </c>
      <c r="O6" s="55">
        <v>45925</v>
      </c>
      <c r="P6" s="56">
        <v>177004</v>
      </c>
      <c r="Q6" s="57">
        <v>222929</v>
      </c>
    </row>
    <row r="7" spans="3:23" ht="18.75" x14ac:dyDescent="0.3">
      <c r="C7" s="1"/>
      <c r="D7" s="84" t="s">
        <v>365</v>
      </c>
      <c r="E7" s="7">
        <f>W32</f>
        <v>18697</v>
      </c>
      <c r="F7" s="7">
        <f t="shared" ref="F7:M7" si="0">F18</f>
        <v>0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>
        <f t="shared" si="0"/>
        <v>0</v>
      </c>
      <c r="N7" s="7">
        <f t="shared" ref="N7:N8" si="1">SUM(E7:M7)</f>
        <v>18697</v>
      </c>
      <c r="O7" s="68">
        <f t="shared" ref="O7:O9" si="2">SUM(F7:M7)</f>
        <v>0</v>
      </c>
      <c r="P7" s="69">
        <f t="shared" ref="P7:P9" si="3">E7</f>
        <v>18697</v>
      </c>
      <c r="Q7" s="70">
        <f>O7+P7</f>
        <v>18697</v>
      </c>
    </row>
    <row r="8" spans="3:23" ht="21.75" thickBot="1" x14ac:dyDescent="0.4">
      <c r="C8" s="1"/>
      <c r="D8" s="85" t="s">
        <v>366</v>
      </c>
      <c r="E8" s="48">
        <f>'Feb 25'!$I$103</f>
        <v>20260</v>
      </c>
      <c r="F8" s="48">
        <f>'Feb 25'!$J$103</f>
        <v>5000</v>
      </c>
      <c r="G8" s="49">
        <f>'Feb 25'!$K$103</f>
        <v>2425</v>
      </c>
      <c r="H8" s="49">
        <f>'Feb 25'!$L$103</f>
        <v>0</v>
      </c>
      <c r="I8" s="49">
        <f>'Feb 25'!$M$103</f>
        <v>1400</v>
      </c>
      <c r="J8" s="49">
        <f>'Feb 25'!$N$103</f>
        <v>0</v>
      </c>
      <c r="K8" s="49">
        <f>'Feb 25'!$O$103</f>
        <v>0</v>
      </c>
      <c r="L8" s="49">
        <f>'Feb 25'!$P$103</f>
        <v>0</v>
      </c>
      <c r="M8" s="49">
        <f>'Feb 25'!$Q$103</f>
        <v>22200</v>
      </c>
      <c r="N8" s="72">
        <f t="shared" si="1"/>
        <v>51285</v>
      </c>
      <c r="O8" s="73">
        <f t="shared" si="2"/>
        <v>31025</v>
      </c>
      <c r="P8" s="74">
        <f t="shared" si="3"/>
        <v>20260</v>
      </c>
      <c r="Q8" s="75">
        <f t="shared" ref="Q8:Q9" si="4">SUM(O8,P8)</f>
        <v>51285</v>
      </c>
    </row>
    <row r="9" spans="3:23" ht="17.25" x14ac:dyDescent="0.3">
      <c r="C9" s="1"/>
      <c r="D9" s="84" t="s">
        <v>261</v>
      </c>
      <c r="E9" s="12">
        <f t="shared" ref="E9:M9" si="5">SUM(E6,E7-E8)</f>
        <v>196285</v>
      </c>
      <c r="F9" s="12">
        <f t="shared" si="5"/>
        <v>-5000</v>
      </c>
      <c r="G9" s="12">
        <f t="shared" si="5"/>
        <v>5975</v>
      </c>
      <c r="H9" s="12">
        <f t="shared" si="5"/>
        <v>-440</v>
      </c>
      <c r="I9" s="12">
        <f t="shared" si="5"/>
        <v>5540</v>
      </c>
      <c r="J9" s="12">
        <f t="shared" si="5"/>
        <v>0</v>
      </c>
      <c r="K9" s="12">
        <f t="shared" si="5"/>
        <v>0</v>
      </c>
      <c r="L9" s="12">
        <f t="shared" si="5"/>
        <v>420</v>
      </c>
      <c r="M9" s="12">
        <f t="shared" si="5"/>
        <v>30710</v>
      </c>
      <c r="N9" s="12">
        <f>SUM(N6+N7-N8)</f>
        <v>233490</v>
      </c>
      <c r="O9" s="55">
        <f t="shared" si="2"/>
        <v>37205</v>
      </c>
      <c r="P9" s="56">
        <f t="shared" si="3"/>
        <v>196285</v>
      </c>
      <c r="Q9" s="57">
        <f t="shared" si="4"/>
        <v>233490</v>
      </c>
    </row>
    <row r="10" spans="3:23" x14ac:dyDescent="0.25">
      <c r="C10" s="1"/>
      <c r="E10" s="1"/>
      <c r="F10" s="16"/>
    </row>
    <row r="11" spans="3:23" ht="15.75" x14ac:dyDescent="0.25">
      <c r="C11" s="103" t="s">
        <v>367</v>
      </c>
      <c r="D11" s="99"/>
      <c r="E11" s="21" t="s">
        <v>368</v>
      </c>
      <c r="F11" s="45">
        <v>1799</v>
      </c>
      <c r="G11" s="46">
        <v>2699</v>
      </c>
      <c r="H11" s="46">
        <v>588</v>
      </c>
      <c r="I11" s="46">
        <v>2088</v>
      </c>
      <c r="J11" s="46">
        <v>2488</v>
      </c>
      <c r="K11" s="46">
        <v>2688</v>
      </c>
      <c r="L11" s="45">
        <v>1788</v>
      </c>
      <c r="M11" s="62" t="s">
        <v>716</v>
      </c>
      <c r="N11" s="45" t="s">
        <v>3</v>
      </c>
      <c r="O11" s="76" t="s">
        <v>369</v>
      </c>
      <c r="P11" s="76" t="s">
        <v>370</v>
      </c>
    </row>
    <row r="12" spans="3:23" x14ac:dyDescent="0.25">
      <c r="C12" s="9" t="s">
        <v>371</v>
      </c>
      <c r="D12" s="86" t="s">
        <v>372</v>
      </c>
      <c r="E12" s="9" t="s">
        <v>373</v>
      </c>
      <c r="F12" s="22"/>
      <c r="G12" s="7"/>
      <c r="H12" s="7"/>
      <c r="I12" s="7"/>
      <c r="J12" s="7"/>
      <c r="K12" s="7"/>
      <c r="L12" s="7"/>
      <c r="M12" s="7"/>
      <c r="N12" s="7">
        <f t="shared" ref="N12:N18" si="6">SUM(F12:M12)</f>
        <v>0</v>
      </c>
      <c r="O12" s="10"/>
      <c r="P12" s="10"/>
      <c r="V12" t="s">
        <v>791</v>
      </c>
      <c r="W12">
        <v>98</v>
      </c>
    </row>
    <row r="13" spans="3:23" x14ac:dyDescent="0.25">
      <c r="C13" s="10">
        <v>1</v>
      </c>
      <c r="D13" s="11" t="s">
        <v>374</v>
      </c>
      <c r="E13" s="78"/>
      <c r="F13" s="10"/>
      <c r="G13" s="7"/>
      <c r="H13" s="7"/>
      <c r="I13" s="7"/>
      <c r="J13" s="7"/>
      <c r="K13" s="7"/>
      <c r="L13" s="7"/>
      <c r="M13" s="7"/>
      <c r="N13" s="7"/>
      <c r="O13" s="10"/>
      <c r="P13" s="10"/>
      <c r="V13" t="s">
        <v>792</v>
      </c>
      <c r="W13">
        <v>78</v>
      </c>
    </row>
    <row r="14" spans="3:23" x14ac:dyDescent="0.25">
      <c r="C14" s="10">
        <v>2</v>
      </c>
      <c r="D14" s="11" t="s">
        <v>376</v>
      </c>
      <c r="E14" s="78"/>
      <c r="F14" s="22"/>
      <c r="G14" s="7"/>
      <c r="H14" s="7"/>
      <c r="I14" s="7"/>
      <c r="J14" s="7"/>
      <c r="K14" s="7"/>
      <c r="L14" s="7"/>
      <c r="M14" s="7"/>
      <c r="N14" s="7"/>
      <c r="O14" s="10"/>
      <c r="P14" s="10"/>
      <c r="V14" t="s">
        <v>794</v>
      </c>
      <c r="W14">
        <v>88</v>
      </c>
    </row>
    <row r="15" spans="3:23" x14ac:dyDescent="0.25">
      <c r="C15" s="10">
        <v>3</v>
      </c>
      <c r="D15" s="11" t="s">
        <v>717</v>
      </c>
      <c r="E15" s="78"/>
      <c r="F15" s="22"/>
      <c r="G15" s="7"/>
      <c r="H15" s="7"/>
      <c r="I15" s="7"/>
      <c r="J15" s="7"/>
      <c r="K15" s="7"/>
      <c r="L15" s="7"/>
      <c r="M15" s="7"/>
      <c r="N15" s="7"/>
      <c r="O15" s="10"/>
      <c r="P15" s="10"/>
      <c r="V15" t="s">
        <v>795</v>
      </c>
      <c r="W15">
        <v>80</v>
      </c>
    </row>
    <row r="16" spans="3:23" x14ac:dyDescent="0.25">
      <c r="C16" s="10">
        <v>4</v>
      </c>
      <c r="D16" s="11" t="s">
        <v>374</v>
      </c>
      <c r="E16" s="78"/>
      <c r="F16" s="22"/>
      <c r="G16" s="7"/>
      <c r="H16" s="7"/>
      <c r="I16" s="7"/>
      <c r="J16" s="7"/>
      <c r="K16" s="7"/>
      <c r="L16" s="7"/>
      <c r="M16" s="7"/>
      <c r="N16" s="7"/>
      <c r="O16" s="10"/>
      <c r="P16" s="10"/>
      <c r="V16" t="s">
        <v>796</v>
      </c>
      <c r="W16">
        <v>70</v>
      </c>
    </row>
    <row r="17" spans="3:26" x14ac:dyDescent="0.25">
      <c r="C17" s="10">
        <v>5</v>
      </c>
      <c r="D17" s="11" t="s">
        <v>378</v>
      </c>
      <c r="E17" s="11"/>
      <c r="F17" s="7"/>
      <c r="G17" s="7"/>
      <c r="H17" s="7"/>
      <c r="I17" s="7"/>
      <c r="J17" s="7"/>
      <c r="K17" s="7"/>
      <c r="L17" s="7"/>
      <c r="M17" s="7"/>
      <c r="N17" s="7"/>
      <c r="O17" s="10"/>
      <c r="P17" s="10"/>
      <c r="V17" t="s">
        <v>841</v>
      </c>
      <c r="W17">
        <v>75</v>
      </c>
    </row>
    <row r="18" spans="3:26" x14ac:dyDescent="0.25">
      <c r="C18" s="104" t="s">
        <v>3</v>
      </c>
      <c r="D18" s="98"/>
      <c r="E18" s="99"/>
      <c r="F18" s="7">
        <f t="shared" ref="F18:M18" si="7">SUM(F12:F17)</f>
        <v>0</v>
      </c>
      <c r="G18" s="7">
        <f t="shared" si="7"/>
        <v>0</v>
      </c>
      <c r="H18" s="7">
        <f t="shared" si="7"/>
        <v>0</v>
      </c>
      <c r="I18" s="7">
        <f t="shared" si="7"/>
        <v>0</v>
      </c>
      <c r="J18" s="7">
        <f t="shared" si="7"/>
        <v>0</v>
      </c>
      <c r="K18" s="7">
        <f t="shared" si="7"/>
        <v>0</v>
      </c>
      <c r="L18" s="7">
        <f t="shared" si="7"/>
        <v>0</v>
      </c>
      <c r="M18" s="7">
        <f t="shared" si="7"/>
        <v>0</v>
      </c>
      <c r="N18" s="7">
        <f t="shared" si="6"/>
        <v>0</v>
      </c>
      <c r="O18" s="10"/>
      <c r="P18" s="10"/>
    </row>
    <row r="19" spans="3:26" x14ac:dyDescent="0.25">
      <c r="C19" s="1"/>
      <c r="E19" s="1"/>
      <c r="F19" s="16"/>
    </row>
    <row r="20" spans="3:26" ht="15.75" x14ac:dyDescent="0.25">
      <c r="C20" s="9" t="s">
        <v>8</v>
      </c>
      <c r="D20" s="87" t="s">
        <v>9</v>
      </c>
      <c r="E20" s="20" t="s">
        <v>10</v>
      </c>
      <c r="F20" s="20" t="s">
        <v>11</v>
      </c>
      <c r="G20" s="4" t="s">
        <v>4</v>
      </c>
      <c r="H20" s="4" t="s">
        <v>12</v>
      </c>
      <c r="I20" s="4" t="s">
        <v>2</v>
      </c>
      <c r="J20" s="4" t="s">
        <v>13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19</v>
      </c>
      <c r="P20" s="39" t="s">
        <v>679</v>
      </c>
      <c r="Q20" s="63" t="s">
        <v>716</v>
      </c>
      <c r="R20" s="39" t="s">
        <v>717</v>
      </c>
      <c r="T20" s="101" t="s">
        <v>118</v>
      </c>
      <c r="U20" s="102"/>
      <c r="V20" s="102"/>
      <c r="W20" s="102"/>
    </row>
    <row r="21" spans="3:26" ht="15.75" customHeight="1" x14ac:dyDescent="0.25">
      <c r="C21" s="10">
        <v>1</v>
      </c>
      <c r="D21" s="11">
        <v>45689</v>
      </c>
      <c r="E21" s="10" t="s">
        <v>797</v>
      </c>
      <c r="F21" s="22" t="s">
        <v>44</v>
      </c>
      <c r="G21" s="7">
        <v>2000</v>
      </c>
      <c r="H21" s="12">
        <v>169</v>
      </c>
      <c r="I21" s="7"/>
      <c r="J21" s="7"/>
      <c r="K21" s="7">
        <v>2000</v>
      </c>
      <c r="L21" s="7"/>
      <c r="M21" s="7"/>
      <c r="N21" s="7"/>
      <c r="O21" s="7"/>
      <c r="P21" s="7"/>
      <c r="Q21" s="40"/>
      <c r="R21" s="40"/>
      <c r="T21" s="97" t="s">
        <v>172</v>
      </c>
      <c r="U21" s="98"/>
      <c r="V21" s="98"/>
      <c r="W21" s="34"/>
    </row>
    <row r="22" spans="3:26" ht="15.75" customHeight="1" x14ac:dyDescent="0.25">
      <c r="C22" s="10">
        <v>2</v>
      </c>
      <c r="D22" s="11">
        <v>45689</v>
      </c>
      <c r="E22" s="10" t="s">
        <v>798</v>
      </c>
      <c r="F22" s="22" t="s">
        <v>799</v>
      </c>
      <c r="G22" s="7">
        <v>500</v>
      </c>
      <c r="H22" s="31">
        <v>191</v>
      </c>
      <c r="I22" s="7"/>
      <c r="J22" s="7"/>
      <c r="K22" s="7"/>
      <c r="L22" s="7"/>
      <c r="M22" s="7"/>
      <c r="N22" s="7"/>
      <c r="O22" s="7"/>
      <c r="P22" s="7"/>
      <c r="Q22" s="7">
        <v>500</v>
      </c>
      <c r="R22" s="7"/>
      <c r="T22" s="10" t="s">
        <v>121</v>
      </c>
      <c r="U22" s="7" t="s">
        <v>9</v>
      </c>
      <c r="V22" s="7" t="s">
        <v>122</v>
      </c>
      <c r="W22" s="7" t="s">
        <v>4</v>
      </c>
      <c r="X22" s="7" t="s">
        <v>549</v>
      </c>
      <c r="Y22" s="7" t="s">
        <v>576</v>
      </c>
      <c r="Z22" s="7" t="s">
        <v>577</v>
      </c>
    </row>
    <row r="23" spans="3:26" ht="15.75" customHeight="1" x14ac:dyDescent="0.25">
      <c r="C23" s="10">
        <v>3</v>
      </c>
      <c r="D23" s="11">
        <v>45691</v>
      </c>
      <c r="E23" s="10" t="s">
        <v>800</v>
      </c>
      <c r="F23" s="22" t="s">
        <v>673</v>
      </c>
      <c r="G23" s="7">
        <v>800</v>
      </c>
      <c r="H23" s="12"/>
      <c r="I23" s="7"/>
      <c r="J23" s="7"/>
      <c r="K23" s="7"/>
      <c r="L23" s="7"/>
      <c r="M23" s="7"/>
      <c r="N23" s="7"/>
      <c r="O23" s="7"/>
      <c r="P23" s="7"/>
      <c r="Q23" s="7">
        <v>800</v>
      </c>
      <c r="R23" s="7"/>
      <c r="T23" s="10">
        <v>1</v>
      </c>
      <c r="U23" s="41">
        <v>45715</v>
      </c>
      <c r="V23" s="7" t="s">
        <v>790</v>
      </c>
      <c r="W23" s="7">
        <v>18697</v>
      </c>
      <c r="X23" s="76">
        <v>75</v>
      </c>
      <c r="Y23" s="10">
        <v>40</v>
      </c>
      <c r="Z23" s="7">
        <f t="shared" ref="Z23:Z30" si="8">W23*X23</f>
        <v>1402275</v>
      </c>
    </row>
    <row r="24" spans="3:26" ht="15.75" customHeight="1" x14ac:dyDescent="0.25">
      <c r="C24" s="10">
        <v>4</v>
      </c>
      <c r="D24" s="11">
        <v>45692</v>
      </c>
      <c r="E24" s="10" t="s">
        <v>801</v>
      </c>
      <c r="F24" s="22" t="s">
        <v>802</v>
      </c>
      <c r="G24" s="7">
        <v>500</v>
      </c>
      <c r="H24" s="12"/>
      <c r="I24" s="7"/>
      <c r="J24" s="7"/>
      <c r="K24" s="7"/>
      <c r="L24" s="7"/>
      <c r="M24" s="7"/>
      <c r="N24" s="7"/>
      <c r="O24" s="7"/>
      <c r="P24" s="7"/>
      <c r="Q24" s="7">
        <v>500</v>
      </c>
      <c r="R24" s="7"/>
      <c r="T24" s="10">
        <v>2</v>
      </c>
      <c r="U24" s="41"/>
      <c r="V24" s="7" t="s">
        <v>426</v>
      </c>
      <c r="W24" s="7"/>
      <c r="X24" s="76">
        <v>78</v>
      </c>
      <c r="Y24" s="10"/>
      <c r="Z24" s="7">
        <f t="shared" si="8"/>
        <v>0</v>
      </c>
    </row>
    <row r="25" spans="3:26" ht="15.75" customHeight="1" x14ac:dyDescent="0.25">
      <c r="C25" s="10">
        <v>5</v>
      </c>
      <c r="D25" s="11">
        <v>45689</v>
      </c>
      <c r="E25" s="10">
        <v>400</v>
      </c>
      <c r="F25" s="22" t="s">
        <v>44</v>
      </c>
      <c r="G25" s="7">
        <v>1500</v>
      </c>
      <c r="H25" s="12">
        <v>117</v>
      </c>
      <c r="I25" s="7">
        <v>1500</v>
      </c>
      <c r="J25" s="7"/>
      <c r="K25" s="7"/>
      <c r="L25" s="7"/>
      <c r="M25" s="7"/>
      <c r="N25" s="7"/>
      <c r="O25" s="7"/>
      <c r="P25" s="7"/>
      <c r="Q25" s="7"/>
      <c r="R25" s="7"/>
      <c r="T25" s="10">
        <v>3</v>
      </c>
      <c r="U25" s="41"/>
      <c r="V25" s="7" t="s">
        <v>793</v>
      </c>
      <c r="W25" s="7"/>
      <c r="X25" s="76">
        <v>78</v>
      </c>
      <c r="Y25" s="10"/>
      <c r="Z25" s="7">
        <f t="shared" si="8"/>
        <v>0</v>
      </c>
    </row>
    <row r="26" spans="3:26" ht="15.75" customHeight="1" x14ac:dyDescent="0.25">
      <c r="C26" s="10">
        <v>6</v>
      </c>
      <c r="D26" s="11">
        <v>45691</v>
      </c>
      <c r="E26" s="10">
        <v>401</v>
      </c>
      <c r="F26" s="22" t="s">
        <v>175</v>
      </c>
      <c r="G26" s="7">
        <v>360</v>
      </c>
      <c r="H26" s="12">
        <v>119</v>
      </c>
      <c r="I26" s="7">
        <v>360</v>
      </c>
      <c r="J26" s="7"/>
      <c r="K26" s="7"/>
      <c r="L26" s="7"/>
      <c r="M26" s="7"/>
      <c r="N26" s="7"/>
      <c r="O26" s="7"/>
      <c r="P26" s="7"/>
      <c r="Q26" s="7"/>
      <c r="R26" s="7"/>
      <c r="T26" s="10">
        <v>4</v>
      </c>
      <c r="U26" s="41"/>
      <c r="V26" s="7" t="s">
        <v>426</v>
      </c>
      <c r="W26" s="7"/>
      <c r="X26" s="76">
        <v>88</v>
      </c>
      <c r="Y26" s="10"/>
      <c r="Z26" s="7">
        <f t="shared" si="8"/>
        <v>0</v>
      </c>
    </row>
    <row r="27" spans="3:26" ht="15.75" customHeight="1" x14ac:dyDescent="0.25">
      <c r="C27" s="10">
        <v>7</v>
      </c>
      <c r="D27" s="11">
        <v>45692</v>
      </c>
      <c r="E27" s="10">
        <v>402</v>
      </c>
      <c r="F27" s="22" t="s">
        <v>139</v>
      </c>
      <c r="G27" s="7">
        <v>2100</v>
      </c>
      <c r="H27" s="12">
        <v>125</v>
      </c>
      <c r="I27" s="7">
        <v>2100</v>
      </c>
      <c r="J27" s="7"/>
      <c r="K27" s="7"/>
      <c r="L27" s="7"/>
      <c r="M27" s="7"/>
      <c r="N27" s="7"/>
      <c r="O27" s="7"/>
      <c r="P27" s="7"/>
      <c r="Q27" s="7"/>
      <c r="R27" s="7"/>
      <c r="T27" s="10">
        <v>5</v>
      </c>
      <c r="U27" s="41"/>
      <c r="V27" s="7" t="s">
        <v>426</v>
      </c>
      <c r="W27" s="7"/>
      <c r="X27" s="76">
        <v>80</v>
      </c>
      <c r="Y27" s="10"/>
      <c r="Z27" s="7">
        <f t="shared" si="8"/>
        <v>0</v>
      </c>
    </row>
    <row r="28" spans="3:26" ht="15.75" customHeight="1" x14ac:dyDescent="0.25">
      <c r="C28" s="10">
        <v>8</v>
      </c>
      <c r="D28" s="11">
        <v>45692</v>
      </c>
      <c r="E28" s="10">
        <v>403</v>
      </c>
      <c r="F28" s="22" t="s">
        <v>657</v>
      </c>
      <c r="G28" s="7">
        <v>1000</v>
      </c>
      <c r="H28" s="12">
        <v>118</v>
      </c>
      <c r="I28" s="7">
        <v>1000</v>
      </c>
      <c r="J28" s="7"/>
      <c r="K28" s="7"/>
      <c r="L28" s="7"/>
      <c r="M28" s="7"/>
      <c r="N28" s="7"/>
      <c r="O28" s="7"/>
      <c r="P28" s="7"/>
      <c r="Q28" s="7"/>
      <c r="R28" s="7"/>
      <c r="T28" s="10">
        <v>6</v>
      </c>
      <c r="U28" s="41"/>
      <c r="V28" s="7" t="s">
        <v>426</v>
      </c>
      <c r="W28" s="7"/>
      <c r="X28" s="76">
        <v>70</v>
      </c>
      <c r="Y28" s="7"/>
      <c r="Z28" s="7">
        <f t="shared" si="8"/>
        <v>0</v>
      </c>
    </row>
    <row r="29" spans="3:26" ht="15.75" customHeight="1" x14ac:dyDescent="0.25">
      <c r="C29" s="10">
        <v>9</v>
      </c>
      <c r="D29" s="11">
        <v>45692</v>
      </c>
      <c r="E29" s="10">
        <v>404</v>
      </c>
      <c r="F29" s="22" t="s">
        <v>803</v>
      </c>
      <c r="G29" s="7">
        <v>200</v>
      </c>
      <c r="H29" s="12">
        <v>167</v>
      </c>
      <c r="I29" s="7"/>
      <c r="J29" s="7"/>
      <c r="K29" s="7">
        <v>200</v>
      </c>
      <c r="L29" s="7"/>
      <c r="M29" s="7"/>
      <c r="N29" s="7"/>
      <c r="O29" s="7"/>
      <c r="P29" s="7"/>
      <c r="Q29" s="7"/>
      <c r="R29" s="7"/>
      <c r="T29" s="10">
        <v>7</v>
      </c>
      <c r="U29" s="41"/>
      <c r="V29" s="7" t="s">
        <v>552</v>
      </c>
      <c r="W29" s="7"/>
      <c r="X29" s="7"/>
      <c r="Y29" s="7"/>
      <c r="Z29" s="7">
        <f t="shared" si="8"/>
        <v>0</v>
      </c>
    </row>
    <row r="30" spans="3:26" ht="15.75" customHeight="1" x14ac:dyDescent="0.25">
      <c r="C30" s="10">
        <v>10</v>
      </c>
      <c r="D30" s="11">
        <v>45694</v>
      </c>
      <c r="E30" s="10">
        <v>405</v>
      </c>
      <c r="F30" s="22" t="s">
        <v>804</v>
      </c>
      <c r="G30" s="7">
        <v>100</v>
      </c>
      <c r="H30" s="12">
        <v>115</v>
      </c>
      <c r="I30" s="7">
        <v>100</v>
      </c>
      <c r="J30" s="7"/>
      <c r="K30" s="7"/>
      <c r="L30" s="7"/>
      <c r="M30" s="7"/>
      <c r="N30" s="7"/>
      <c r="O30" s="7"/>
      <c r="P30" s="7"/>
      <c r="Q30" s="7"/>
      <c r="R30" s="7"/>
      <c r="T30" s="10">
        <v>8</v>
      </c>
      <c r="U30" s="11"/>
      <c r="V30" s="7"/>
      <c r="W30" s="7"/>
      <c r="X30" s="7"/>
      <c r="Y30" s="7"/>
      <c r="Z30" s="7">
        <f t="shared" si="8"/>
        <v>0</v>
      </c>
    </row>
    <row r="31" spans="3:26" ht="15.75" customHeight="1" x14ac:dyDescent="0.25">
      <c r="C31" s="10">
        <v>11</v>
      </c>
      <c r="D31" s="11">
        <v>45693</v>
      </c>
      <c r="E31" s="10" t="s">
        <v>805</v>
      </c>
      <c r="F31" s="22" t="s">
        <v>804</v>
      </c>
      <c r="G31" s="7">
        <v>200</v>
      </c>
      <c r="H31" s="12">
        <v>181</v>
      </c>
      <c r="I31" s="7"/>
      <c r="J31" s="7"/>
      <c r="K31" s="7"/>
      <c r="L31" s="7"/>
      <c r="M31" s="7"/>
      <c r="N31" s="7"/>
      <c r="O31" s="7"/>
      <c r="P31" s="7"/>
      <c r="Q31" s="7">
        <v>200</v>
      </c>
      <c r="R31" s="7"/>
      <c r="T31" s="10"/>
      <c r="U31" s="7"/>
      <c r="V31" s="7"/>
      <c r="W31" s="7"/>
      <c r="X31" s="104" t="s">
        <v>581</v>
      </c>
      <c r="Y31" s="99"/>
      <c r="Z31" s="7">
        <f>SUM(Z23:Z30)</f>
        <v>1402275</v>
      </c>
    </row>
    <row r="32" spans="3:26" ht="15.75" customHeight="1" x14ac:dyDescent="0.25">
      <c r="C32" s="10">
        <v>12</v>
      </c>
      <c r="D32" s="11">
        <v>45694</v>
      </c>
      <c r="E32" s="10" t="s">
        <v>806</v>
      </c>
      <c r="F32" s="22" t="s">
        <v>269</v>
      </c>
      <c r="G32" s="7">
        <v>1400</v>
      </c>
      <c r="H32" s="12">
        <v>179</v>
      </c>
      <c r="I32" s="7"/>
      <c r="J32" s="7"/>
      <c r="K32" s="7"/>
      <c r="L32" s="7"/>
      <c r="M32" s="7">
        <v>1400</v>
      </c>
      <c r="N32" s="7"/>
      <c r="O32" s="7"/>
      <c r="P32" s="7"/>
      <c r="Q32" s="7"/>
      <c r="R32" s="7"/>
      <c r="T32" s="97" t="s">
        <v>181</v>
      </c>
      <c r="U32" s="98"/>
      <c r="V32" s="99"/>
      <c r="W32" s="7">
        <f>SUM(W23:W30)</f>
        <v>18697</v>
      </c>
      <c r="X32" s="104" t="s">
        <v>582</v>
      </c>
      <c r="Y32" s="99"/>
      <c r="Z32" s="7">
        <f>Z31/W32</f>
        <v>75</v>
      </c>
    </row>
    <row r="33" spans="3:23" ht="15.75" customHeight="1" x14ac:dyDescent="0.25">
      <c r="C33" s="10">
        <v>13</v>
      </c>
      <c r="D33" s="11">
        <v>45694</v>
      </c>
      <c r="E33" s="10" t="s">
        <v>806</v>
      </c>
      <c r="F33" s="22" t="s">
        <v>269</v>
      </c>
      <c r="G33" s="7">
        <v>1100</v>
      </c>
      <c r="H33" s="12" t="s">
        <v>807</v>
      </c>
      <c r="I33" s="7"/>
      <c r="J33" s="7"/>
      <c r="K33" s="7"/>
      <c r="L33" s="7"/>
      <c r="M33" s="7"/>
      <c r="N33" s="7"/>
      <c r="O33" s="7"/>
      <c r="P33" s="7"/>
      <c r="Q33" s="7">
        <v>1100</v>
      </c>
      <c r="R33" s="7"/>
      <c r="T33" s="97" t="s">
        <v>183</v>
      </c>
      <c r="U33" s="98"/>
      <c r="V33" s="99"/>
      <c r="W33" s="7">
        <v>197848</v>
      </c>
    </row>
    <row r="34" spans="3:23" ht="15.75" customHeight="1" x14ac:dyDescent="0.25">
      <c r="C34" s="10">
        <v>14</v>
      </c>
      <c r="D34" s="11">
        <v>45694</v>
      </c>
      <c r="E34" s="10" t="s">
        <v>808</v>
      </c>
      <c r="F34" s="22" t="s">
        <v>268</v>
      </c>
      <c r="G34" s="7">
        <v>1000</v>
      </c>
      <c r="H34" s="12">
        <v>196</v>
      </c>
      <c r="I34" s="7"/>
      <c r="J34" s="7"/>
      <c r="K34" s="7"/>
      <c r="L34" s="7"/>
      <c r="M34" s="7"/>
      <c r="N34" s="7"/>
      <c r="O34" s="7"/>
      <c r="P34" s="7"/>
      <c r="Q34" s="7">
        <v>1000</v>
      </c>
      <c r="R34" s="7"/>
      <c r="T34" s="97" t="s">
        <v>184</v>
      </c>
      <c r="U34" s="98"/>
      <c r="V34" s="99"/>
      <c r="W34" s="35">
        <f>SUM(W32,W33)</f>
        <v>216545</v>
      </c>
    </row>
    <row r="35" spans="3:23" ht="15.75" customHeight="1" x14ac:dyDescent="0.25">
      <c r="C35" s="10">
        <v>15</v>
      </c>
      <c r="D35" s="11">
        <v>45695</v>
      </c>
      <c r="E35" s="10" t="s">
        <v>809</v>
      </c>
      <c r="F35" s="22" t="s">
        <v>810</v>
      </c>
      <c r="G35" s="7">
        <v>200</v>
      </c>
      <c r="H35" s="12">
        <v>181</v>
      </c>
      <c r="I35" s="7"/>
      <c r="J35" s="7"/>
      <c r="K35" s="7"/>
      <c r="L35" s="7"/>
      <c r="M35" s="7"/>
      <c r="N35" s="7"/>
      <c r="O35" s="7"/>
      <c r="P35" s="7"/>
      <c r="Q35" s="7">
        <v>200</v>
      </c>
      <c r="R35" s="7"/>
      <c r="T35" s="97" t="s">
        <v>186</v>
      </c>
      <c r="U35" s="98"/>
      <c r="V35" s="99"/>
      <c r="W35" s="7">
        <f>'Feb 25'!$I$103</f>
        <v>20260</v>
      </c>
    </row>
    <row r="36" spans="3:23" ht="15.75" customHeight="1" x14ac:dyDescent="0.25">
      <c r="C36" s="10">
        <v>16</v>
      </c>
      <c r="D36" s="11">
        <v>45695</v>
      </c>
      <c r="E36" s="10" t="s">
        <v>811</v>
      </c>
      <c r="F36" s="22" t="s">
        <v>777</v>
      </c>
      <c r="G36" s="7">
        <v>500</v>
      </c>
      <c r="H36" s="12">
        <v>191</v>
      </c>
      <c r="I36" s="7"/>
      <c r="J36" s="7"/>
      <c r="K36" s="7"/>
      <c r="L36" s="7"/>
      <c r="M36" s="7"/>
      <c r="N36" s="7"/>
      <c r="O36" s="7"/>
      <c r="P36" s="7"/>
      <c r="Q36" s="7">
        <v>500</v>
      </c>
      <c r="R36" s="7"/>
      <c r="T36" s="97"/>
      <c r="U36" s="98"/>
      <c r="V36" s="99"/>
      <c r="W36" s="7"/>
    </row>
    <row r="37" spans="3:23" ht="15.75" customHeight="1" x14ac:dyDescent="0.25">
      <c r="C37" s="10">
        <v>17</v>
      </c>
      <c r="D37" s="11">
        <v>45696</v>
      </c>
      <c r="E37" s="10">
        <v>406</v>
      </c>
      <c r="F37" s="22" t="s">
        <v>775</v>
      </c>
      <c r="G37" s="7">
        <v>300</v>
      </c>
      <c r="H37" s="12">
        <v>183</v>
      </c>
      <c r="I37" s="7"/>
      <c r="J37" s="7"/>
      <c r="K37" s="7"/>
      <c r="L37" s="7"/>
      <c r="M37" s="7"/>
      <c r="N37" s="7"/>
      <c r="O37" s="7"/>
      <c r="P37" s="7"/>
      <c r="Q37" s="7">
        <v>300</v>
      </c>
      <c r="R37" s="7"/>
      <c r="T37" s="100" t="s">
        <v>188</v>
      </c>
      <c r="U37" s="98"/>
      <c r="V37" s="99"/>
      <c r="W37" s="36">
        <f>SUM(W34-W35)</f>
        <v>196285</v>
      </c>
    </row>
    <row r="38" spans="3:23" ht="15.75" customHeight="1" x14ac:dyDescent="0.25">
      <c r="C38" s="10">
        <v>18</v>
      </c>
      <c r="D38" s="11">
        <v>45696</v>
      </c>
      <c r="E38" s="10">
        <v>407</v>
      </c>
      <c r="F38" s="22" t="s">
        <v>614</v>
      </c>
      <c r="G38" s="7">
        <v>1000</v>
      </c>
      <c r="H38" s="12">
        <v>180</v>
      </c>
      <c r="I38" s="7"/>
      <c r="J38" s="7"/>
      <c r="K38" s="7"/>
      <c r="L38" s="7"/>
      <c r="M38" s="7"/>
      <c r="N38" s="7"/>
      <c r="O38" s="7"/>
      <c r="P38" s="7"/>
      <c r="Q38" s="7">
        <v>1000</v>
      </c>
      <c r="R38" s="7"/>
    </row>
    <row r="39" spans="3:23" ht="15.75" customHeight="1" x14ac:dyDescent="0.25">
      <c r="C39" s="10">
        <v>18</v>
      </c>
      <c r="D39" s="11">
        <v>45698</v>
      </c>
      <c r="E39" s="24">
        <v>409</v>
      </c>
      <c r="F39" s="22" t="s">
        <v>731</v>
      </c>
      <c r="G39" s="7">
        <v>200</v>
      </c>
      <c r="H39" s="12">
        <v>120</v>
      </c>
      <c r="I39" s="7">
        <v>200</v>
      </c>
      <c r="J39" s="7"/>
      <c r="K39" s="7"/>
      <c r="L39" s="7"/>
      <c r="M39" s="7"/>
      <c r="N39" s="7"/>
      <c r="O39" s="7"/>
      <c r="P39" s="7"/>
      <c r="Q39" s="7"/>
      <c r="R39" s="7"/>
    </row>
    <row r="40" spans="3:23" ht="15.75" customHeight="1" x14ac:dyDescent="0.25">
      <c r="C40" s="10">
        <v>19</v>
      </c>
      <c r="D40" s="11">
        <v>45699</v>
      </c>
      <c r="E40" s="10" t="s">
        <v>812</v>
      </c>
      <c r="F40" s="22" t="s">
        <v>43</v>
      </c>
      <c r="G40" s="7">
        <v>2000</v>
      </c>
      <c r="H40" s="12">
        <v>167</v>
      </c>
      <c r="I40" s="7"/>
      <c r="J40" s="7">
        <v>2000</v>
      </c>
      <c r="K40" s="7"/>
      <c r="L40" s="7"/>
      <c r="M40" s="7"/>
      <c r="N40" s="7"/>
      <c r="O40" s="7"/>
      <c r="P40" s="7"/>
      <c r="Q40" s="7"/>
      <c r="R40" s="7"/>
      <c r="T40" s="33" t="s">
        <v>730</v>
      </c>
    </row>
    <row r="41" spans="3:23" ht="15.75" customHeight="1" x14ac:dyDescent="0.25">
      <c r="C41" s="10">
        <v>20</v>
      </c>
      <c r="D41" s="11">
        <v>45699</v>
      </c>
      <c r="E41" s="10" t="s">
        <v>813</v>
      </c>
      <c r="F41" s="22" t="s">
        <v>814</v>
      </c>
      <c r="G41" s="7">
        <v>500</v>
      </c>
      <c r="H41" s="12">
        <v>185</v>
      </c>
      <c r="I41" s="7"/>
      <c r="J41" s="7"/>
      <c r="K41" s="7"/>
      <c r="L41" s="7"/>
      <c r="M41" s="7"/>
      <c r="N41" s="7"/>
      <c r="O41" s="7"/>
      <c r="P41" s="7"/>
      <c r="Q41" s="7">
        <v>500</v>
      </c>
      <c r="R41" s="7"/>
    </row>
    <row r="42" spans="3:23" ht="15.75" customHeight="1" x14ac:dyDescent="0.25">
      <c r="C42" s="10">
        <v>21</v>
      </c>
      <c r="D42" s="11">
        <v>45701</v>
      </c>
      <c r="E42" s="10" t="s">
        <v>815</v>
      </c>
      <c r="F42" s="22" t="s">
        <v>816</v>
      </c>
      <c r="G42" s="7">
        <v>1000</v>
      </c>
      <c r="H42" s="12">
        <v>190</v>
      </c>
      <c r="I42" s="7"/>
      <c r="J42" s="7"/>
      <c r="K42" s="7"/>
      <c r="L42" s="7"/>
      <c r="M42" s="7"/>
      <c r="N42" s="7"/>
      <c r="O42" s="7"/>
      <c r="P42" s="7"/>
      <c r="Q42" s="7">
        <v>1000</v>
      </c>
      <c r="R42" s="7"/>
    </row>
    <row r="43" spans="3:23" ht="15.75" customHeight="1" x14ac:dyDescent="0.25">
      <c r="C43" s="10">
        <v>22</v>
      </c>
      <c r="D43" s="11">
        <v>45700</v>
      </c>
      <c r="E43" s="10">
        <v>411</v>
      </c>
      <c r="F43" s="22" t="s">
        <v>24</v>
      </c>
      <c r="G43" s="7">
        <v>1000</v>
      </c>
      <c r="H43" s="12">
        <v>112</v>
      </c>
      <c r="I43" s="7">
        <v>1000</v>
      </c>
      <c r="J43" s="7"/>
      <c r="K43" s="7"/>
      <c r="L43" s="7"/>
      <c r="M43" s="7"/>
      <c r="N43" s="7"/>
      <c r="O43" s="7"/>
      <c r="P43" s="7"/>
      <c r="Q43" s="7"/>
      <c r="R43" s="7"/>
    </row>
    <row r="44" spans="3:23" ht="15.75" customHeight="1" x14ac:dyDescent="0.25">
      <c r="C44" s="10">
        <v>23</v>
      </c>
      <c r="D44" s="11">
        <v>45701</v>
      </c>
      <c r="E44" s="10">
        <v>412</v>
      </c>
      <c r="F44" s="22" t="s">
        <v>817</v>
      </c>
      <c r="G44" s="7">
        <v>100</v>
      </c>
      <c r="H44" s="12">
        <v>109</v>
      </c>
      <c r="I44" s="7">
        <v>100</v>
      </c>
      <c r="J44" s="7"/>
      <c r="K44" s="7"/>
      <c r="L44" s="7"/>
      <c r="M44" s="7"/>
      <c r="N44" s="7"/>
      <c r="O44" s="7"/>
      <c r="P44" s="7"/>
      <c r="Q44" s="7"/>
      <c r="R44" s="7"/>
    </row>
    <row r="45" spans="3:23" ht="15.75" customHeight="1" x14ac:dyDescent="0.25">
      <c r="C45" s="10">
        <v>24</v>
      </c>
      <c r="D45" s="11">
        <v>45702</v>
      </c>
      <c r="E45" s="10">
        <v>417</v>
      </c>
      <c r="F45" s="22" t="s">
        <v>584</v>
      </c>
      <c r="G45" s="7">
        <v>200</v>
      </c>
      <c r="H45" s="12">
        <v>114</v>
      </c>
      <c r="I45" s="7">
        <v>200</v>
      </c>
      <c r="J45" s="7"/>
      <c r="K45" s="7"/>
      <c r="L45" s="7"/>
      <c r="M45" s="7"/>
      <c r="N45" s="7"/>
      <c r="O45" s="7"/>
      <c r="P45" s="7"/>
      <c r="Q45" s="7"/>
      <c r="R45" s="7"/>
    </row>
    <row r="46" spans="3:23" ht="15.75" customHeight="1" x14ac:dyDescent="0.25">
      <c r="C46" s="10">
        <v>25</v>
      </c>
      <c r="D46" s="11">
        <v>45702</v>
      </c>
      <c r="E46" s="10">
        <v>418</v>
      </c>
      <c r="F46" s="22" t="s">
        <v>657</v>
      </c>
      <c r="G46" s="7">
        <v>1000</v>
      </c>
      <c r="H46" s="12">
        <v>118</v>
      </c>
      <c r="I46" s="7">
        <v>1000</v>
      </c>
      <c r="J46" s="7"/>
      <c r="K46" s="7"/>
      <c r="L46" s="7"/>
      <c r="M46" s="7"/>
      <c r="N46" s="7"/>
      <c r="O46" s="7"/>
      <c r="P46" s="7"/>
      <c r="Q46" s="7"/>
      <c r="R46" s="7"/>
    </row>
    <row r="47" spans="3:23" ht="15.75" customHeight="1" x14ac:dyDescent="0.25">
      <c r="C47" s="10">
        <v>26</v>
      </c>
      <c r="D47" s="11">
        <v>45702</v>
      </c>
      <c r="E47" s="10">
        <v>419</v>
      </c>
      <c r="F47" s="22" t="s">
        <v>113</v>
      </c>
      <c r="G47" s="7">
        <v>5000</v>
      </c>
      <c r="H47" s="12">
        <v>113</v>
      </c>
      <c r="I47" s="7">
        <v>5000</v>
      </c>
      <c r="J47" s="7"/>
      <c r="K47" s="7"/>
      <c r="L47" s="7"/>
      <c r="M47" s="7"/>
      <c r="N47" s="7"/>
      <c r="O47" s="7"/>
      <c r="P47" s="7"/>
      <c r="Q47" s="7"/>
      <c r="R47" s="7"/>
    </row>
    <row r="48" spans="3:23" ht="15.75" customHeight="1" x14ac:dyDescent="0.25">
      <c r="C48" s="10">
        <v>28</v>
      </c>
      <c r="D48" s="11">
        <v>45702</v>
      </c>
      <c r="E48" s="10" t="s">
        <v>818</v>
      </c>
      <c r="F48" s="22" t="s">
        <v>49</v>
      </c>
      <c r="G48" s="7">
        <v>1000</v>
      </c>
      <c r="H48" s="12">
        <v>166</v>
      </c>
      <c r="I48" s="7"/>
      <c r="J48" s="7">
        <v>1000</v>
      </c>
      <c r="K48" s="7"/>
      <c r="L48" s="7"/>
      <c r="M48" s="7"/>
      <c r="N48" s="7"/>
      <c r="O48" s="7"/>
      <c r="P48" s="7"/>
      <c r="Q48" s="7"/>
      <c r="R48" s="7"/>
      <c r="S48" s="1"/>
    </row>
    <row r="49" spans="3:19" ht="15.75" customHeight="1" x14ac:dyDescent="0.25">
      <c r="C49" s="10">
        <v>29</v>
      </c>
      <c r="D49" s="11">
        <v>45702</v>
      </c>
      <c r="E49" s="10" t="s">
        <v>819</v>
      </c>
      <c r="F49" s="22" t="s">
        <v>120</v>
      </c>
      <c r="G49" s="7">
        <v>1500</v>
      </c>
      <c r="H49" s="12">
        <v>179</v>
      </c>
      <c r="I49" s="7"/>
      <c r="J49" s="7"/>
      <c r="K49" s="7"/>
      <c r="L49" s="7"/>
      <c r="M49" s="7"/>
      <c r="N49" s="7"/>
      <c r="O49" s="7"/>
      <c r="P49" s="7"/>
      <c r="Q49" s="7">
        <v>1000</v>
      </c>
      <c r="R49" s="7"/>
      <c r="S49" s="1"/>
    </row>
    <row r="50" spans="3:19" ht="15.75" customHeight="1" x14ac:dyDescent="0.25">
      <c r="C50" s="10">
        <v>30</v>
      </c>
      <c r="D50" s="11">
        <v>45705</v>
      </c>
      <c r="E50" s="10">
        <v>421</v>
      </c>
      <c r="F50" s="22" t="s">
        <v>644</v>
      </c>
      <c r="G50" s="7">
        <v>2000</v>
      </c>
      <c r="H50" s="12">
        <v>105</v>
      </c>
      <c r="I50" s="7">
        <v>2000</v>
      </c>
      <c r="J50" s="7"/>
      <c r="K50" s="7"/>
      <c r="L50" s="7"/>
      <c r="M50" s="7"/>
      <c r="N50" s="7"/>
      <c r="O50" s="7"/>
      <c r="P50" s="7"/>
      <c r="Q50" s="7"/>
      <c r="R50" s="7"/>
      <c r="S50" s="1"/>
    </row>
    <row r="51" spans="3:19" ht="15.75" customHeight="1" x14ac:dyDescent="0.25">
      <c r="C51" s="10">
        <v>29</v>
      </c>
      <c r="D51" s="11">
        <v>45705</v>
      </c>
      <c r="E51" s="10" t="s">
        <v>820</v>
      </c>
      <c r="F51" s="22" t="s">
        <v>821</v>
      </c>
      <c r="G51" s="7">
        <v>1000</v>
      </c>
      <c r="H51" s="12">
        <v>193</v>
      </c>
      <c r="I51" s="7"/>
      <c r="J51" s="7"/>
      <c r="K51" s="7"/>
      <c r="L51" s="7"/>
      <c r="M51" s="7"/>
      <c r="N51" s="7"/>
      <c r="O51" s="7"/>
      <c r="P51" s="7"/>
      <c r="Q51" s="7">
        <v>1000</v>
      </c>
      <c r="R51" s="7"/>
      <c r="S51" s="1"/>
    </row>
    <row r="52" spans="3:19" ht="15.75" customHeight="1" x14ac:dyDescent="0.25">
      <c r="C52" s="10">
        <v>30</v>
      </c>
      <c r="D52" s="11">
        <v>45706</v>
      </c>
      <c r="E52" s="10" t="s">
        <v>822</v>
      </c>
      <c r="F52" s="22" t="s">
        <v>43</v>
      </c>
      <c r="G52" s="7">
        <v>4000</v>
      </c>
      <c r="H52" s="12">
        <v>187</v>
      </c>
      <c r="I52" s="7"/>
      <c r="J52" s="7"/>
      <c r="K52" s="7"/>
      <c r="L52" s="7"/>
      <c r="M52" s="7"/>
      <c r="N52" s="7"/>
      <c r="O52" s="7"/>
      <c r="P52" s="7"/>
      <c r="Q52" s="7">
        <v>4000</v>
      </c>
      <c r="R52" s="7"/>
      <c r="S52" s="1"/>
    </row>
    <row r="53" spans="3:19" ht="15.75" customHeight="1" x14ac:dyDescent="0.25">
      <c r="C53" s="10">
        <v>32</v>
      </c>
      <c r="D53" s="11">
        <v>45706</v>
      </c>
      <c r="E53" s="10">
        <v>422</v>
      </c>
      <c r="F53" s="22" t="s">
        <v>823</v>
      </c>
      <c r="G53" s="7">
        <v>1000</v>
      </c>
      <c r="H53" s="12">
        <v>205</v>
      </c>
      <c r="I53" s="7"/>
      <c r="J53" s="7"/>
      <c r="K53" s="7"/>
      <c r="L53" s="7"/>
      <c r="M53" s="7"/>
      <c r="N53" s="7"/>
      <c r="O53" s="7"/>
      <c r="P53" s="7"/>
      <c r="Q53" s="7">
        <v>1000</v>
      </c>
      <c r="R53" s="7"/>
      <c r="S53" s="1"/>
    </row>
    <row r="54" spans="3:19" ht="15.75" customHeight="1" x14ac:dyDescent="0.25">
      <c r="C54" s="10">
        <v>33</v>
      </c>
      <c r="D54" s="11">
        <v>45706</v>
      </c>
      <c r="E54" s="10">
        <v>424</v>
      </c>
      <c r="F54" s="22" t="s">
        <v>824</v>
      </c>
      <c r="G54" s="7">
        <v>200</v>
      </c>
      <c r="H54" s="12">
        <v>181</v>
      </c>
      <c r="I54" s="7"/>
      <c r="J54" s="7"/>
      <c r="K54" s="7"/>
      <c r="L54" s="7"/>
      <c r="M54" s="7"/>
      <c r="N54" s="7"/>
      <c r="O54" s="7"/>
      <c r="P54" s="7"/>
      <c r="Q54" s="7">
        <v>200</v>
      </c>
      <c r="R54" s="7"/>
      <c r="S54" s="1"/>
    </row>
    <row r="55" spans="3:19" ht="15.75" customHeight="1" x14ac:dyDescent="0.25">
      <c r="C55" s="10">
        <v>34</v>
      </c>
      <c r="D55" s="11">
        <v>45707</v>
      </c>
      <c r="E55" s="10">
        <v>425</v>
      </c>
      <c r="F55" s="22" t="s">
        <v>731</v>
      </c>
      <c r="G55" s="7">
        <v>500</v>
      </c>
      <c r="H55" s="12" t="s">
        <v>825</v>
      </c>
      <c r="I55" s="7">
        <v>300</v>
      </c>
      <c r="J55" s="7"/>
      <c r="K55" s="7">
        <v>200</v>
      </c>
      <c r="L55" s="7"/>
      <c r="M55" s="7"/>
      <c r="N55" s="7"/>
      <c r="O55" s="7"/>
      <c r="P55" s="7"/>
      <c r="Q55" s="7"/>
      <c r="R55" s="7"/>
      <c r="S55" s="1"/>
    </row>
    <row r="56" spans="3:19" ht="15.75" customHeight="1" x14ac:dyDescent="0.25">
      <c r="C56" s="10">
        <v>35</v>
      </c>
      <c r="D56" s="15">
        <v>45709</v>
      </c>
      <c r="E56" s="10">
        <v>429</v>
      </c>
      <c r="F56" s="22" t="s">
        <v>593</v>
      </c>
      <c r="G56" s="7">
        <v>1000</v>
      </c>
      <c r="H56" s="12">
        <v>114</v>
      </c>
      <c r="I56" s="7">
        <v>1000</v>
      </c>
      <c r="J56" s="7"/>
      <c r="K56" s="7"/>
      <c r="L56" s="7"/>
      <c r="M56" s="7"/>
      <c r="N56" s="7"/>
      <c r="O56" s="7"/>
      <c r="P56" s="7"/>
      <c r="Q56" s="7"/>
      <c r="R56" s="7"/>
      <c r="S56" s="1"/>
    </row>
    <row r="57" spans="3:19" ht="15.75" customHeight="1" x14ac:dyDescent="0.25">
      <c r="C57" s="10">
        <v>36</v>
      </c>
      <c r="D57" s="11">
        <v>45712</v>
      </c>
      <c r="E57" s="10">
        <v>431</v>
      </c>
      <c r="F57" s="90" t="s">
        <v>826</v>
      </c>
      <c r="G57" s="7">
        <v>200</v>
      </c>
      <c r="H57" s="12">
        <v>118</v>
      </c>
      <c r="I57" s="7">
        <v>200</v>
      </c>
      <c r="J57" s="7"/>
      <c r="K57" s="7"/>
      <c r="L57" s="7"/>
      <c r="M57" s="7"/>
      <c r="N57" s="7"/>
      <c r="O57" s="7"/>
      <c r="P57" s="7"/>
      <c r="Q57" s="7"/>
      <c r="R57" s="7"/>
      <c r="S57" s="1"/>
    </row>
    <row r="58" spans="3:19" ht="15.75" customHeight="1" x14ac:dyDescent="0.25">
      <c r="C58" s="10">
        <v>37</v>
      </c>
      <c r="D58" s="11">
        <v>45709</v>
      </c>
      <c r="E58" s="92" t="s">
        <v>828</v>
      </c>
      <c r="F58" s="90" t="s">
        <v>827</v>
      </c>
      <c r="G58" s="7">
        <v>400</v>
      </c>
      <c r="H58" s="91">
        <v>208</v>
      </c>
      <c r="I58" s="93"/>
      <c r="J58" s="7"/>
      <c r="K58" s="7"/>
      <c r="L58" s="7"/>
      <c r="M58" s="7"/>
      <c r="N58" s="7"/>
      <c r="O58" s="7"/>
      <c r="P58" s="7"/>
      <c r="Q58" s="7">
        <v>400</v>
      </c>
      <c r="R58" s="7"/>
      <c r="S58" s="1"/>
    </row>
    <row r="59" spans="3:19" ht="15.75" customHeight="1" x14ac:dyDescent="0.25">
      <c r="C59" s="10">
        <v>38</v>
      </c>
      <c r="D59" s="11">
        <v>45712</v>
      </c>
      <c r="E59" s="10" t="s">
        <v>829</v>
      </c>
      <c r="F59" s="90" t="s">
        <v>32</v>
      </c>
      <c r="G59" s="7">
        <v>1000</v>
      </c>
      <c r="H59" s="91">
        <v>197</v>
      </c>
      <c r="I59" s="7"/>
      <c r="J59" s="7"/>
      <c r="K59" s="7"/>
      <c r="L59" s="7"/>
      <c r="M59" s="7"/>
      <c r="N59" s="7"/>
      <c r="O59" s="7"/>
      <c r="P59" s="7"/>
      <c r="Q59" s="7">
        <v>1000</v>
      </c>
      <c r="R59" s="7"/>
      <c r="S59" s="1"/>
    </row>
    <row r="60" spans="3:19" ht="15.75" customHeight="1" x14ac:dyDescent="0.25">
      <c r="C60" s="10">
        <v>41</v>
      </c>
      <c r="D60" s="11">
        <v>45713</v>
      </c>
      <c r="E60" s="10">
        <v>432</v>
      </c>
      <c r="F60" s="90" t="s">
        <v>830</v>
      </c>
      <c r="G60" s="7">
        <v>500</v>
      </c>
      <c r="H60" s="31" t="s">
        <v>329</v>
      </c>
      <c r="I60" s="7"/>
      <c r="J60" s="7"/>
      <c r="K60" s="7"/>
      <c r="L60" s="7"/>
      <c r="M60" s="7"/>
      <c r="N60" s="7"/>
      <c r="O60" s="7"/>
      <c r="P60" s="7"/>
      <c r="Q60" s="7">
        <v>500</v>
      </c>
      <c r="R60" s="7"/>
      <c r="S60" s="1"/>
    </row>
    <row r="61" spans="3:19" ht="15.75" customHeight="1" x14ac:dyDescent="0.25">
      <c r="C61" s="10">
        <v>39</v>
      </c>
      <c r="D61" s="11">
        <v>45713</v>
      </c>
      <c r="E61" s="10">
        <v>433</v>
      </c>
      <c r="F61" s="90" t="s">
        <v>104</v>
      </c>
      <c r="G61" s="7">
        <v>85</v>
      </c>
      <c r="H61" s="12" t="s">
        <v>831</v>
      </c>
      <c r="I61" s="7">
        <v>60</v>
      </c>
      <c r="J61" s="7"/>
      <c r="K61" s="7">
        <v>25</v>
      </c>
      <c r="L61" s="7"/>
      <c r="M61" s="7"/>
      <c r="N61" s="7"/>
      <c r="O61" s="7"/>
      <c r="P61" s="7"/>
      <c r="Q61" s="7"/>
      <c r="R61" s="7"/>
      <c r="S61" s="1"/>
    </row>
    <row r="62" spans="3:19" ht="15.75" customHeight="1" x14ac:dyDescent="0.25">
      <c r="C62" s="10">
        <v>42</v>
      </c>
      <c r="D62" s="11">
        <v>45713</v>
      </c>
      <c r="E62" s="10">
        <v>434</v>
      </c>
      <c r="F62" s="90" t="s">
        <v>832</v>
      </c>
      <c r="G62" s="7">
        <v>100</v>
      </c>
      <c r="H62" s="12">
        <v>120</v>
      </c>
      <c r="I62" s="7">
        <v>100</v>
      </c>
      <c r="J62" s="7"/>
      <c r="K62" s="7"/>
      <c r="L62" s="7"/>
      <c r="M62" s="7"/>
      <c r="N62" s="7"/>
      <c r="O62" s="7"/>
      <c r="P62" s="7"/>
      <c r="Q62" s="7"/>
      <c r="R62" s="7"/>
      <c r="S62" s="1"/>
    </row>
    <row r="63" spans="3:19" ht="15.75" customHeight="1" x14ac:dyDescent="0.25">
      <c r="C63" s="10">
        <v>40</v>
      </c>
      <c r="D63" s="11">
        <v>45715</v>
      </c>
      <c r="E63" s="10">
        <v>435</v>
      </c>
      <c r="F63" s="90" t="s">
        <v>44</v>
      </c>
      <c r="G63" s="7">
        <v>2000</v>
      </c>
      <c r="H63" s="12">
        <v>175</v>
      </c>
      <c r="I63" s="7"/>
      <c r="J63" s="7">
        <v>2000</v>
      </c>
      <c r="K63" s="7"/>
      <c r="L63" s="7"/>
      <c r="M63" s="7"/>
      <c r="N63" s="7"/>
      <c r="O63" s="7"/>
      <c r="P63" s="7"/>
      <c r="Q63" s="7"/>
      <c r="R63" s="7"/>
      <c r="S63" s="1"/>
    </row>
    <row r="64" spans="3:19" ht="15.75" customHeight="1" x14ac:dyDescent="0.25">
      <c r="C64" s="10">
        <v>43</v>
      </c>
      <c r="D64" s="11">
        <v>45715</v>
      </c>
      <c r="E64" s="10">
        <v>436</v>
      </c>
      <c r="F64" s="90" t="s">
        <v>63</v>
      </c>
      <c r="G64" s="7">
        <v>4000</v>
      </c>
      <c r="H64" s="12">
        <v>110</v>
      </c>
      <c r="I64" s="7">
        <v>4000</v>
      </c>
      <c r="J64" s="7"/>
      <c r="K64" s="7"/>
      <c r="L64" s="7"/>
      <c r="M64" s="7"/>
      <c r="N64" s="7"/>
      <c r="O64" s="7"/>
      <c r="P64" s="7"/>
      <c r="Q64" s="7">
        <v>5000</v>
      </c>
      <c r="R64" s="7"/>
      <c r="S64" s="1"/>
    </row>
    <row r="65" spans="3:19" ht="15.75" customHeight="1" x14ac:dyDescent="0.25">
      <c r="C65" s="10">
        <v>44</v>
      </c>
      <c r="D65" s="11">
        <v>45715</v>
      </c>
      <c r="E65" s="10">
        <v>438</v>
      </c>
      <c r="F65" s="90" t="s">
        <v>833</v>
      </c>
      <c r="G65" s="7">
        <v>500</v>
      </c>
      <c r="H65" s="12">
        <v>194</v>
      </c>
      <c r="I65" s="7"/>
      <c r="J65" s="7"/>
      <c r="K65" s="7"/>
      <c r="L65" s="7"/>
      <c r="M65" s="7"/>
      <c r="N65" s="7"/>
      <c r="O65" s="7"/>
      <c r="P65" s="7"/>
      <c r="Q65" s="7">
        <v>500</v>
      </c>
      <c r="R65" s="7"/>
      <c r="S65" s="1"/>
    </row>
    <row r="66" spans="3:19" ht="15.75" customHeight="1" x14ac:dyDescent="0.25">
      <c r="C66" s="10">
        <v>45</v>
      </c>
      <c r="D66" s="11">
        <v>45716</v>
      </c>
      <c r="E66" s="10">
        <v>439</v>
      </c>
      <c r="F66" s="22" t="s">
        <v>614</v>
      </c>
      <c r="G66" s="7">
        <v>40</v>
      </c>
      <c r="H66" s="12">
        <v>110</v>
      </c>
      <c r="I66" s="7">
        <v>40</v>
      </c>
      <c r="J66" s="7"/>
      <c r="K66" s="7"/>
      <c r="L66" s="7"/>
      <c r="M66" s="7"/>
      <c r="N66" s="7"/>
      <c r="O66" s="7"/>
      <c r="P66" s="7"/>
      <c r="Q66" s="7"/>
      <c r="R66" s="7"/>
      <c r="S66" s="1"/>
    </row>
    <row r="67" spans="3:19" ht="15.75" customHeight="1" x14ac:dyDescent="0.25">
      <c r="C67" s="10">
        <v>46</v>
      </c>
      <c r="D67" s="11"/>
      <c r="E67" s="10">
        <v>372</v>
      </c>
      <c r="F67" s="22" t="s">
        <v>162</v>
      </c>
      <c r="G67" s="7"/>
      <c r="H67" s="12"/>
      <c r="I67" s="7"/>
      <c r="J67" s="7"/>
      <c r="K67" s="7"/>
      <c r="L67" s="7"/>
      <c r="M67" s="7"/>
      <c r="N67" s="7"/>
      <c r="O67" s="7"/>
      <c r="P67" s="7"/>
      <c r="Q67" s="7"/>
      <c r="R67" s="7"/>
      <c r="S67" s="1"/>
    </row>
    <row r="68" spans="3:19" ht="15.75" customHeight="1" x14ac:dyDescent="0.25">
      <c r="C68" s="10">
        <v>47</v>
      </c>
      <c r="D68" s="11"/>
      <c r="E68" s="10">
        <v>374</v>
      </c>
      <c r="F68" s="22" t="s">
        <v>775</v>
      </c>
      <c r="G68" s="7"/>
      <c r="H68" s="12"/>
      <c r="I68" s="7"/>
      <c r="J68" s="7"/>
      <c r="K68" s="7"/>
      <c r="L68" s="7"/>
      <c r="M68" s="7"/>
      <c r="N68" s="7"/>
      <c r="O68" s="7"/>
      <c r="P68" s="7"/>
      <c r="Q68" s="7"/>
      <c r="R68" s="7"/>
      <c r="S68" s="1"/>
    </row>
    <row r="69" spans="3:19" ht="15.75" customHeight="1" x14ac:dyDescent="0.25">
      <c r="C69" s="10">
        <v>48</v>
      </c>
      <c r="D69" s="11"/>
      <c r="E69" s="10">
        <v>375</v>
      </c>
      <c r="F69" s="22" t="s">
        <v>162</v>
      </c>
      <c r="G69" s="7"/>
      <c r="H69" s="12"/>
      <c r="I69" s="7"/>
      <c r="J69" s="7"/>
      <c r="K69" s="7"/>
      <c r="L69" s="7"/>
      <c r="M69" s="7"/>
      <c r="N69" s="7"/>
      <c r="O69" s="7"/>
      <c r="P69" s="7"/>
      <c r="Q69" s="7"/>
      <c r="R69" s="7"/>
      <c r="S69" s="1"/>
    </row>
    <row r="70" spans="3:19" ht="15.75" customHeight="1" x14ac:dyDescent="0.25">
      <c r="C70" s="10">
        <v>49</v>
      </c>
      <c r="D70" s="11"/>
      <c r="E70" s="10">
        <v>377</v>
      </c>
      <c r="F70" s="22" t="s">
        <v>758</v>
      </c>
      <c r="G70" s="7"/>
      <c r="H70" s="12"/>
      <c r="I70" s="7"/>
      <c r="J70" s="7"/>
      <c r="K70" s="7"/>
      <c r="L70" s="7"/>
      <c r="M70" s="7"/>
      <c r="N70" s="7"/>
      <c r="O70" s="7"/>
      <c r="P70" s="7"/>
      <c r="Q70" s="7"/>
      <c r="R70" s="7"/>
      <c r="S70" s="1"/>
    </row>
    <row r="71" spans="3:19" ht="15.75" customHeight="1" x14ac:dyDescent="0.25">
      <c r="C71" s="10">
        <v>50</v>
      </c>
      <c r="D71" s="11"/>
      <c r="E71" s="10">
        <v>378</v>
      </c>
      <c r="F71" s="22" t="s">
        <v>80</v>
      </c>
      <c r="G71" s="7"/>
      <c r="H71" s="12"/>
      <c r="I71" s="7"/>
      <c r="J71" s="7"/>
      <c r="K71" s="7"/>
      <c r="L71" s="7"/>
      <c r="M71" s="7"/>
      <c r="N71" s="7"/>
      <c r="O71" s="7"/>
      <c r="P71" s="7"/>
      <c r="Q71" s="7"/>
      <c r="R71" s="7"/>
      <c r="S71" s="1"/>
    </row>
    <row r="72" spans="3:19" ht="15.75" customHeight="1" x14ac:dyDescent="0.25">
      <c r="C72" s="10">
        <v>51</v>
      </c>
      <c r="D72" s="11"/>
      <c r="E72" s="10">
        <v>379</v>
      </c>
      <c r="F72" s="22" t="s">
        <v>614</v>
      </c>
      <c r="G72" s="7"/>
      <c r="H72" s="12"/>
      <c r="I72" s="7"/>
      <c r="J72" s="7"/>
      <c r="K72" s="7"/>
      <c r="L72" s="7"/>
      <c r="M72" s="7"/>
      <c r="N72" s="7"/>
      <c r="O72" s="7"/>
      <c r="P72" s="7"/>
      <c r="Q72" s="7"/>
      <c r="R72" s="7"/>
      <c r="S72" s="1"/>
    </row>
    <row r="73" spans="3:19" ht="15.75" customHeight="1" x14ac:dyDescent="0.25">
      <c r="C73" s="10">
        <v>52</v>
      </c>
      <c r="D73" s="11"/>
      <c r="E73" s="10">
        <v>380</v>
      </c>
      <c r="F73" s="22" t="s">
        <v>331</v>
      </c>
      <c r="G73" s="7"/>
      <c r="H73" s="31"/>
      <c r="I73" s="7"/>
      <c r="J73" s="7"/>
      <c r="K73" s="7"/>
      <c r="L73" s="7"/>
      <c r="M73" s="7"/>
      <c r="N73" s="7"/>
      <c r="O73" s="7"/>
      <c r="P73" s="7"/>
      <c r="Q73" s="7"/>
      <c r="R73" s="7"/>
      <c r="S73" s="1"/>
    </row>
    <row r="74" spans="3:19" ht="15.75" customHeight="1" x14ac:dyDescent="0.25">
      <c r="C74" s="10">
        <v>53</v>
      </c>
      <c r="D74" s="11"/>
      <c r="E74" s="10">
        <v>381</v>
      </c>
      <c r="F74" s="22" t="s">
        <v>614</v>
      </c>
      <c r="G74" s="7"/>
      <c r="H74" s="12"/>
      <c r="I74" s="7"/>
      <c r="J74" s="7"/>
      <c r="K74" s="7"/>
      <c r="L74" s="7"/>
      <c r="M74" s="7"/>
      <c r="N74" s="7"/>
      <c r="O74" s="7"/>
      <c r="P74" s="7"/>
      <c r="Q74" s="7"/>
      <c r="R74" s="7"/>
      <c r="S74" s="1"/>
    </row>
    <row r="75" spans="3:19" ht="15.75" customHeight="1" x14ac:dyDescent="0.25">
      <c r="C75" s="10">
        <v>54</v>
      </c>
      <c r="D75" s="11"/>
      <c r="E75" s="10">
        <v>382</v>
      </c>
      <c r="F75" s="22" t="s">
        <v>771</v>
      </c>
      <c r="G75" s="7"/>
      <c r="H75" s="12"/>
      <c r="I75" s="7"/>
      <c r="J75" s="7"/>
      <c r="K75" s="7"/>
      <c r="L75" s="7"/>
      <c r="M75" s="7"/>
      <c r="N75" s="7"/>
      <c r="O75" s="7"/>
      <c r="P75" s="7"/>
      <c r="Q75" s="7"/>
      <c r="R75" s="7"/>
      <c r="S75" s="1"/>
    </row>
    <row r="76" spans="3:19" ht="15.75" customHeight="1" x14ac:dyDescent="0.25">
      <c r="C76" s="10">
        <v>55</v>
      </c>
      <c r="D76" s="11"/>
      <c r="E76" s="10" t="s">
        <v>776</v>
      </c>
      <c r="F76" s="22" t="s">
        <v>777</v>
      </c>
      <c r="G76" s="7"/>
      <c r="H76" s="12"/>
      <c r="I76" s="7"/>
      <c r="J76" s="7"/>
      <c r="K76" s="7"/>
      <c r="L76" s="7"/>
      <c r="M76" s="7"/>
      <c r="N76" s="7"/>
      <c r="O76" s="7"/>
      <c r="P76" s="7"/>
      <c r="Q76" s="7"/>
      <c r="R76" s="7"/>
      <c r="S76" s="1"/>
    </row>
    <row r="77" spans="3:19" ht="15.75" customHeight="1" x14ac:dyDescent="0.25">
      <c r="C77" s="10">
        <v>56</v>
      </c>
      <c r="D77" s="11"/>
      <c r="E77" s="10">
        <v>384</v>
      </c>
      <c r="F77" s="22" t="s">
        <v>44</v>
      </c>
      <c r="G77" s="7"/>
      <c r="H77" s="12"/>
      <c r="I77" s="7"/>
      <c r="J77" s="7"/>
      <c r="K77" s="7"/>
      <c r="L77" s="7"/>
      <c r="M77" s="7"/>
      <c r="N77" s="7"/>
      <c r="O77" s="7"/>
      <c r="P77" s="7"/>
      <c r="Q77" s="7"/>
      <c r="R77" s="7"/>
      <c r="S77" s="1"/>
    </row>
    <row r="78" spans="3:19" ht="15.75" customHeight="1" x14ac:dyDescent="0.25">
      <c r="C78" s="10">
        <v>57</v>
      </c>
      <c r="D78" s="11"/>
      <c r="E78" s="10">
        <v>385</v>
      </c>
      <c r="F78" s="22" t="s">
        <v>482</v>
      </c>
      <c r="G78" s="7"/>
      <c r="H78" s="12"/>
      <c r="I78" s="7"/>
      <c r="J78" s="7"/>
      <c r="K78" s="7"/>
      <c r="L78" s="7"/>
      <c r="M78" s="7"/>
      <c r="N78" s="7"/>
      <c r="O78" s="7"/>
      <c r="P78" s="7"/>
      <c r="Q78" s="7"/>
      <c r="R78" s="7"/>
      <c r="S78" s="1"/>
    </row>
    <row r="79" spans="3:19" ht="15.75" customHeight="1" x14ac:dyDescent="0.25">
      <c r="C79" s="10">
        <v>58</v>
      </c>
      <c r="D79" s="11"/>
      <c r="E79" s="10">
        <v>388</v>
      </c>
      <c r="F79" s="22" t="s">
        <v>65</v>
      </c>
      <c r="G79" s="7"/>
      <c r="H79" s="12"/>
      <c r="I79" s="7"/>
      <c r="J79" s="7"/>
      <c r="K79" s="7"/>
      <c r="L79" s="7"/>
      <c r="M79" s="7"/>
      <c r="N79" s="7"/>
      <c r="O79" s="7"/>
      <c r="P79" s="7"/>
      <c r="Q79" s="7"/>
      <c r="R79" s="7"/>
      <c r="S79" s="1"/>
    </row>
    <row r="80" spans="3:19" ht="15.75" customHeight="1" x14ac:dyDescent="0.25">
      <c r="C80" s="10">
        <v>59</v>
      </c>
      <c r="D80" s="11"/>
      <c r="E80" s="10">
        <v>390</v>
      </c>
      <c r="F80" s="22" t="s">
        <v>175</v>
      </c>
      <c r="G80" s="7"/>
      <c r="H80" s="12"/>
      <c r="I80" s="7"/>
      <c r="J80" s="7"/>
      <c r="K80" s="7"/>
      <c r="L80" s="7"/>
      <c r="M80" s="7"/>
      <c r="N80" s="7"/>
      <c r="O80" s="7"/>
      <c r="P80" s="7"/>
      <c r="Q80" s="7"/>
      <c r="R80" s="7"/>
      <c r="S80" s="1"/>
    </row>
    <row r="81" spans="3:18" ht="15.75" customHeight="1" x14ac:dyDescent="0.25">
      <c r="C81" s="10">
        <v>60</v>
      </c>
      <c r="D81" s="11"/>
      <c r="E81" s="10">
        <v>391</v>
      </c>
      <c r="F81" s="22" t="s">
        <v>268</v>
      </c>
      <c r="G81" s="7"/>
      <c r="H81" s="12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3:18" ht="15.75" customHeight="1" x14ac:dyDescent="0.25">
      <c r="C82" s="10">
        <v>61</v>
      </c>
      <c r="D82" s="11"/>
      <c r="E82" s="10" t="s">
        <v>779</v>
      </c>
      <c r="F82" s="22" t="s">
        <v>80</v>
      </c>
      <c r="G82" s="7"/>
      <c r="H82" s="12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3:18" ht="15.75" customHeight="1" x14ac:dyDescent="0.25">
      <c r="C83" s="10">
        <v>62</v>
      </c>
      <c r="D83" s="11"/>
      <c r="E83" s="10" t="s">
        <v>780</v>
      </c>
      <c r="F83" s="22" t="s">
        <v>51</v>
      </c>
      <c r="G83" s="7"/>
      <c r="H83" s="12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3:18" ht="15.75" customHeight="1" x14ac:dyDescent="0.25">
      <c r="C84" s="10">
        <v>63</v>
      </c>
      <c r="D84" s="11"/>
      <c r="E84" s="10" t="s">
        <v>781</v>
      </c>
      <c r="F84" s="22" t="s">
        <v>673</v>
      </c>
      <c r="G84" s="7"/>
      <c r="H84" s="12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3:18" ht="15.75" customHeight="1" x14ac:dyDescent="0.25">
      <c r="C85" s="10">
        <v>64</v>
      </c>
      <c r="D85" s="11"/>
      <c r="E85" s="10" t="s">
        <v>782</v>
      </c>
      <c r="F85" s="22" t="s">
        <v>269</v>
      </c>
      <c r="G85" s="7"/>
      <c r="H85" s="12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3:18" ht="15.75" customHeight="1" x14ac:dyDescent="0.25">
      <c r="C86" s="10">
        <v>65</v>
      </c>
      <c r="D86" s="11"/>
      <c r="E86" s="10" t="s">
        <v>783</v>
      </c>
      <c r="F86" s="22" t="s">
        <v>269</v>
      </c>
      <c r="G86" s="7"/>
      <c r="H86" s="12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3:18" ht="15.75" customHeight="1" x14ac:dyDescent="0.25">
      <c r="C87" s="10">
        <v>66</v>
      </c>
      <c r="D87" s="11"/>
      <c r="E87" s="10" t="s">
        <v>784</v>
      </c>
      <c r="F87" s="22" t="s">
        <v>80</v>
      </c>
      <c r="G87" s="7"/>
      <c r="H87" s="12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3:18" ht="15.75" customHeight="1" x14ac:dyDescent="0.25">
      <c r="C88" s="10">
        <v>67</v>
      </c>
      <c r="D88" s="11"/>
      <c r="E88" s="10" t="s">
        <v>785</v>
      </c>
      <c r="F88" s="22" t="s">
        <v>32</v>
      </c>
      <c r="G88" s="7"/>
      <c r="H88" s="12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3:18" ht="15.75" customHeight="1" x14ac:dyDescent="0.25">
      <c r="C89" s="10">
        <v>68</v>
      </c>
      <c r="D89" s="11"/>
      <c r="E89" s="10">
        <v>393</v>
      </c>
      <c r="F89" s="22" t="s">
        <v>52</v>
      </c>
      <c r="G89" s="7"/>
      <c r="H89" s="12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3:18" ht="15.75" customHeight="1" x14ac:dyDescent="0.25">
      <c r="C90" s="10">
        <v>69</v>
      </c>
      <c r="D90" s="11"/>
      <c r="E90" s="10">
        <v>394</v>
      </c>
      <c r="F90" s="22" t="s">
        <v>52</v>
      </c>
      <c r="G90" s="7"/>
      <c r="H90" s="12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3:18" ht="15.75" customHeight="1" x14ac:dyDescent="0.25">
      <c r="C91" s="10">
        <v>70</v>
      </c>
      <c r="D91" s="11"/>
      <c r="E91" s="10">
        <v>397</v>
      </c>
      <c r="F91" s="22" t="s">
        <v>333</v>
      </c>
      <c r="G91" s="7"/>
      <c r="H91" s="12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3:18" ht="15.75" customHeight="1" x14ac:dyDescent="0.25">
      <c r="C92" s="10">
        <v>71</v>
      </c>
      <c r="D92" s="11"/>
      <c r="E92" s="10">
        <v>398</v>
      </c>
      <c r="F92" s="22" t="s">
        <v>57</v>
      </c>
      <c r="G92" s="7"/>
      <c r="H92" s="12"/>
      <c r="I92" s="7"/>
      <c r="J92" s="7"/>
      <c r="K92" s="7"/>
      <c r="L92" s="7"/>
      <c r="M92" s="7"/>
      <c r="N92" s="7"/>
      <c r="O92" s="7"/>
      <c r="P92" s="7"/>
      <c r="Q92" s="14"/>
      <c r="R92" s="7"/>
    </row>
    <row r="93" spans="3:18" ht="15.75" customHeight="1" x14ac:dyDescent="0.25">
      <c r="C93" s="10">
        <v>72</v>
      </c>
      <c r="D93" s="11"/>
      <c r="E93" s="10">
        <v>399</v>
      </c>
      <c r="F93" s="22" t="s">
        <v>162</v>
      </c>
      <c r="G93" s="7"/>
      <c r="H93" s="12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3:18" ht="15.75" customHeight="1" x14ac:dyDescent="0.25">
      <c r="C94" s="10">
        <v>73</v>
      </c>
      <c r="D94" s="11"/>
      <c r="E94" s="10" t="s">
        <v>787</v>
      </c>
      <c r="F94" s="22" t="s">
        <v>771</v>
      </c>
      <c r="G94" s="7"/>
      <c r="H94" s="12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3:18" ht="15.75" customHeight="1" x14ac:dyDescent="0.25">
      <c r="C95" s="10">
        <v>74</v>
      </c>
      <c r="D95" s="11"/>
      <c r="E95" s="10" t="s">
        <v>788</v>
      </c>
      <c r="F95" s="22" t="s">
        <v>789</v>
      </c>
      <c r="G95" s="7"/>
      <c r="H95" s="12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3:18" ht="15.75" customHeight="1" x14ac:dyDescent="0.25">
      <c r="C96" s="10">
        <v>75</v>
      </c>
      <c r="D96" s="11"/>
      <c r="E96" s="10"/>
      <c r="F96" s="22" t="s">
        <v>190</v>
      </c>
      <c r="G96" s="7"/>
      <c r="H96" s="12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3:18" ht="15.75" customHeight="1" x14ac:dyDescent="0.25">
      <c r="C97" s="10">
        <v>76</v>
      </c>
      <c r="D97" s="11"/>
      <c r="E97" s="10"/>
      <c r="F97" s="22" t="s">
        <v>331</v>
      </c>
      <c r="G97" s="7"/>
      <c r="H97" s="12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3:18" ht="15.75" customHeight="1" x14ac:dyDescent="0.25">
      <c r="C98" s="10">
        <v>77</v>
      </c>
      <c r="D98" s="11"/>
      <c r="E98" s="10"/>
      <c r="F98" s="22" t="s">
        <v>69</v>
      </c>
      <c r="G98" s="7"/>
      <c r="H98" s="12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3:18" ht="15.75" customHeight="1" x14ac:dyDescent="0.25">
      <c r="C99" s="10">
        <v>78</v>
      </c>
      <c r="D99" s="11"/>
      <c r="E99" s="10"/>
      <c r="F99" s="22" t="s">
        <v>52</v>
      </c>
      <c r="G99" s="7"/>
      <c r="H99" s="12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3:18" ht="15.75" customHeight="1" x14ac:dyDescent="0.25">
      <c r="C100" s="10">
        <v>79</v>
      </c>
      <c r="D100" s="11"/>
      <c r="E100" s="10"/>
      <c r="F100" s="22" t="s">
        <v>37</v>
      </c>
      <c r="G100" s="7"/>
      <c r="H100" s="12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3:18" ht="15.75" customHeight="1" x14ac:dyDescent="0.25">
      <c r="C101" s="10">
        <v>80</v>
      </c>
      <c r="D101" s="11"/>
      <c r="E101" s="10"/>
      <c r="F101" s="22" t="s">
        <v>220</v>
      </c>
      <c r="G101" s="7"/>
      <c r="H101" s="12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3:18" ht="15.75" customHeight="1" x14ac:dyDescent="0.25">
      <c r="C102" s="10">
        <v>81</v>
      </c>
      <c r="D102" s="11"/>
      <c r="E102" s="10"/>
      <c r="F102" s="22" t="s">
        <v>333</v>
      </c>
      <c r="G102" s="7"/>
      <c r="H102" s="12"/>
      <c r="I102" s="7"/>
      <c r="J102" s="7"/>
      <c r="K102" s="7"/>
      <c r="L102" s="7"/>
      <c r="M102" s="7"/>
      <c r="N102" s="7"/>
      <c r="O102" s="7"/>
      <c r="P102" s="7"/>
      <c r="Q102" s="7"/>
      <c r="R102" s="14"/>
    </row>
    <row r="103" spans="3:18" ht="15.75" customHeight="1" x14ac:dyDescent="0.25">
      <c r="C103" s="13" t="s">
        <v>3</v>
      </c>
      <c r="D103" s="88" t="s">
        <v>742</v>
      </c>
      <c r="E103" s="13"/>
      <c r="F103" s="25"/>
      <c r="G103" s="14">
        <f>SUM(G21:G102)</f>
        <v>46785</v>
      </c>
      <c r="H103" s="14"/>
      <c r="I103" s="14">
        <f t="shared" ref="I103:Q103" si="9">SUM(I21:I102)</f>
        <v>20260</v>
      </c>
      <c r="J103" s="14">
        <f t="shared" si="9"/>
        <v>5000</v>
      </c>
      <c r="K103" s="14">
        <f t="shared" si="9"/>
        <v>2425</v>
      </c>
      <c r="L103" s="14">
        <f t="shared" si="9"/>
        <v>0</v>
      </c>
      <c r="M103" s="14">
        <f t="shared" si="9"/>
        <v>1400</v>
      </c>
      <c r="N103" s="14">
        <f t="shared" si="9"/>
        <v>0</v>
      </c>
      <c r="O103" s="14">
        <f t="shared" si="9"/>
        <v>0</v>
      </c>
      <c r="P103" s="14">
        <f t="shared" si="9"/>
        <v>0</v>
      </c>
      <c r="Q103" s="14">
        <f t="shared" si="9"/>
        <v>22200</v>
      </c>
      <c r="R103" s="14"/>
    </row>
    <row r="104" spans="3:18" ht="15.75" customHeight="1" x14ac:dyDescent="0.25">
      <c r="C104" s="1"/>
      <c r="E104" s="1"/>
      <c r="F104" s="16"/>
    </row>
    <row r="105" spans="3:18" ht="15.75" customHeight="1" x14ac:dyDescent="0.25">
      <c r="C105" s="1"/>
      <c r="D105" s="89"/>
      <c r="E105" s="1"/>
      <c r="F105" s="16"/>
      <c r="I105" s="33">
        <f>SUM('Feb 25'!$I$103:'Feb 25'!$Q$103)</f>
        <v>51285</v>
      </c>
    </row>
    <row r="106" spans="3:18" ht="15.75" customHeight="1" x14ac:dyDescent="0.25">
      <c r="E106" s="1"/>
      <c r="F106" s="16"/>
    </row>
    <row r="107" spans="3:18" ht="15.75" customHeight="1" x14ac:dyDescent="0.25"/>
    <row r="108" spans="3:18" ht="15.75" customHeight="1" x14ac:dyDescent="0.25"/>
    <row r="109" spans="3:18" ht="15.75" customHeight="1" x14ac:dyDescent="0.25"/>
    <row r="110" spans="3:18" ht="15.75" customHeight="1" x14ac:dyDescent="0.25"/>
    <row r="111" spans="3:18" ht="15.75" customHeight="1" x14ac:dyDescent="0.25"/>
    <row r="112" spans="3:1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2">
    <mergeCell ref="T32:V32"/>
    <mergeCell ref="X32:Y32"/>
    <mergeCell ref="C11:D11"/>
    <mergeCell ref="C18:E18"/>
    <mergeCell ref="T20:W20"/>
    <mergeCell ref="T21:V21"/>
    <mergeCell ref="X31:Y31"/>
    <mergeCell ref="T33:V33"/>
    <mergeCell ref="T34:V34"/>
    <mergeCell ref="T35:V35"/>
    <mergeCell ref="T36:V36"/>
    <mergeCell ref="T37:V37"/>
  </mergeCells>
  <pageMargins left="0.7" right="0.7" top="0.75" bottom="0.75" header="0" footer="0"/>
  <pageSetup orientation="portrait" r:id="rId1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Z999"/>
  <sheetViews>
    <sheetView tabSelected="1" topLeftCell="A13" workbookViewId="0">
      <selection activeCell="O44" sqref="O44"/>
    </sheetView>
  </sheetViews>
  <sheetFormatPr defaultColWidth="14.42578125" defaultRowHeight="15" customHeight="1" x14ac:dyDescent="0.25"/>
  <cols>
    <col min="1" max="1" width="8.7109375" customWidth="1"/>
    <col min="2" max="2" width="8" customWidth="1"/>
    <col min="3" max="3" width="9.85546875" customWidth="1"/>
    <col min="4" max="4" width="12.7109375" style="81" customWidth="1"/>
    <col min="5" max="5" width="13.28515625" customWidth="1"/>
    <col min="6" max="6" width="9.42578125" customWidth="1"/>
    <col min="7" max="7" width="8.7109375" customWidth="1"/>
    <col min="8" max="8" width="12.28515625" customWidth="1"/>
    <col min="9" max="12" width="8.7109375" customWidth="1"/>
    <col min="13" max="13" width="11.140625" customWidth="1"/>
    <col min="14" max="14" width="10.85546875" customWidth="1"/>
    <col min="15" max="15" width="11.7109375" customWidth="1"/>
    <col min="16" max="16" width="11.42578125" customWidth="1"/>
    <col min="17" max="17" width="13.140625" customWidth="1"/>
    <col min="18" max="20" width="8.7109375" customWidth="1"/>
    <col min="21" max="21" width="10.7109375" customWidth="1"/>
    <col min="22" max="26" width="8.7109375" customWidth="1"/>
  </cols>
  <sheetData>
    <row r="2" spans="1:23" ht="15" customHeight="1" x14ac:dyDescent="0.25">
      <c r="E2">
        <v>177588</v>
      </c>
    </row>
    <row r="3" spans="1:23" x14ac:dyDescent="0.25">
      <c r="E3" s="12"/>
      <c r="F3" s="12"/>
      <c r="G3" s="12"/>
      <c r="H3" s="12"/>
      <c r="I3" s="12"/>
      <c r="J3" s="12"/>
      <c r="K3" s="12"/>
      <c r="L3" s="12"/>
      <c r="M3" s="12"/>
      <c r="N3" s="12"/>
    </row>
    <row r="4" spans="1:23" ht="15.75" x14ac:dyDescent="0.25">
      <c r="C4" s="1"/>
      <c r="D4" s="82" t="s">
        <v>836</v>
      </c>
      <c r="E4" s="17"/>
      <c r="F4" s="18"/>
      <c r="G4" s="2"/>
      <c r="H4" s="2"/>
      <c r="I4" s="2"/>
      <c r="J4" s="2"/>
      <c r="K4" s="8"/>
      <c r="L4" s="2"/>
      <c r="M4" s="3"/>
      <c r="N4" s="3"/>
      <c r="O4" s="65" t="s">
        <v>88</v>
      </c>
      <c r="P4" s="60" t="s">
        <v>2</v>
      </c>
      <c r="Q4" s="66" t="s">
        <v>117</v>
      </c>
    </row>
    <row r="5" spans="1:23" ht="16.5" thickBot="1" x14ac:dyDescent="0.3">
      <c r="C5" s="1"/>
      <c r="D5" s="83" t="s">
        <v>1</v>
      </c>
      <c r="E5" s="44" t="s">
        <v>2</v>
      </c>
      <c r="F5" s="45">
        <v>1799</v>
      </c>
      <c r="G5" s="46">
        <v>2699</v>
      </c>
      <c r="H5" s="46">
        <v>588</v>
      </c>
      <c r="I5" s="46">
        <v>2088</v>
      </c>
      <c r="J5" s="46">
        <v>2488</v>
      </c>
      <c r="K5" s="46">
        <v>2688</v>
      </c>
      <c r="L5" s="45" t="s">
        <v>678</v>
      </c>
      <c r="M5" s="96" t="s">
        <v>716</v>
      </c>
      <c r="N5" s="45" t="s">
        <v>3</v>
      </c>
      <c r="O5" s="47"/>
      <c r="P5" s="42"/>
      <c r="Q5" s="42"/>
    </row>
    <row r="6" spans="1:23" ht="18" thickBot="1" x14ac:dyDescent="0.35">
      <c r="A6" t="s">
        <v>835</v>
      </c>
      <c r="C6" s="1"/>
      <c r="D6" s="84" t="s">
        <v>259</v>
      </c>
      <c r="E6" s="94">
        <v>196285</v>
      </c>
      <c r="F6" s="95"/>
      <c r="G6" s="95">
        <v>1125</v>
      </c>
      <c r="H6" s="95"/>
      <c r="I6" s="95"/>
      <c r="J6" s="95"/>
      <c r="K6" s="95"/>
      <c r="L6" s="95">
        <v>220</v>
      </c>
      <c r="M6" s="95">
        <v>27700</v>
      </c>
      <c r="N6" s="95">
        <f>SUM(E6:M6)</f>
        <v>225330</v>
      </c>
      <c r="O6" s="55">
        <v>45925</v>
      </c>
      <c r="P6" s="56">
        <v>177004</v>
      </c>
      <c r="Q6" s="57">
        <v>222929</v>
      </c>
    </row>
    <row r="7" spans="1:23" ht="18.75" x14ac:dyDescent="0.3">
      <c r="C7" s="1"/>
      <c r="D7" s="84" t="s">
        <v>365</v>
      </c>
      <c r="E7" s="7">
        <f>W32</f>
        <v>151934</v>
      </c>
      <c r="F7" s="7">
        <f t="shared" ref="F7:M7" si="0">F18</f>
        <v>28000</v>
      </c>
      <c r="G7" s="7">
        <f t="shared" si="0"/>
        <v>0</v>
      </c>
      <c r="H7" s="7">
        <f t="shared" si="0"/>
        <v>0</v>
      </c>
      <c r="I7" s="7">
        <f t="shared" si="0"/>
        <v>0</v>
      </c>
      <c r="J7" s="7">
        <f t="shared" si="0"/>
        <v>0</v>
      </c>
      <c r="K7" s="7">
        <f t="shared" si="0"/>
        <v>0</v>
      </c>
      <c r="L7" s="7">
        <f t="shared" si="0"/>
        <v>0</v>
      </c>
      <c r="M7" s="7">
        <f t="shared" si="0"/>
        <v>0</v>
      </c>
      <c r="N7" s="7">
        <f t="shared" ref="N7" si="1">SUM(E7:M7)</f>
        <v>179934</v>
      </c>
      <c r="O7" s="68">
        <f t="shared" ref="O7:O9" si="2">SUM(F7:M7)</f>
        <v>28000</v>
      </c>
      <c r="P7" s="69">
        <f t="shared" ref="P7:P9" si="3">E7</f>
        <v>151934</v>
      </c>
      <c r="Q7" s="70">
        <f>O7+P7</f>
        <v>179934</v>
      </c>
    </row>
    <row r="8" spans="1:23" ht="21.75" thickBot="1" x14ac:dyDescent="0.4">
      <c r="C8" s="1"/>
      <c r="D8" s="85" t="s">
        <v>481</v>
      </c>
      <c r="E8" s="48">
        <f>I103</f>
        <v>74140</v>
      </c>
      <c r="F8" s="48"/>
      <c r="G8" s="49"/>
      <c r="H8" s="49"/>
      <c r="I8" s="49"/>
      <c r="J8" s="49"/>
      <c r="K8" s="49"/>
      <c r="L8" s="49"/>
      <c r="M8" s="49">
        <f>Q103</f>
        <v>9940</v>
      </c>
      <c r="N8" s="72"/>
      <c r="O8" s="73">
        <f t="shared" si="2"/>
        <v>9940</v>
      </c>
      <c r="P8" s="74">
        <f t="shared" si="3"/>
        <v>74140</v>
      </c>
      <c r="Q8" s="75">
        <f t="shared" ref="Q8:Q9" si="4">SUM(O8,P8)</f>
        <v>84080</v>
      </c>
    </row>
    <row r="9" spans="1:23" ht="17.25" x14ac:dyDescent="0.3">
      <c r="C9" s="1"/>
      <c r="D9" s="84" t="s">
        <v>261</v>
      </c>
      <c r="E9" s="12">
        <f>E6+E7-E8</f>
        <v>274079</v>
      </c>
      <c r="F9" s="12">
        <f t="shared" ref="F9:N9" si="5">F6+F7-F8</f>
        <v>28000</v>
      </c>
      <c r="G9" s="12">
        <f t="shared" si="5"/>
        <v>1125</v>
      </c>
      <c r="H9" s="12">
        <f t="shared" si="5"/>
        <v>0</v>
      </c>
      <c r="I9" s="12">
        <f t="shared" si="5"/>
        <v>0</v>
      </c>
      <c r="J9" s="12">
        <f t="shared" si="5"/>
        <v>0</v>
      </c>
      <c r="K9" s="12">
        <f t="shared" si="5"/>
        <v>0</v>
      </c>
      <c r="L9" s="12">
        <f t="shared" si="5"/>
        <v>220</v>
      </c>
      <c r="M9" s="12">
        <f t="shared" si="5"/>
        <v>17760</v>
      </c>
      <c r="N9" s="12">
        <f t="shared" si="5"/>
        <v>405264</v>
      </c>
      <c r="O9" s="55">
        <f t="shared" si="2"/>
        <v>47105</v>
      </c>
      <c r="P9" s="56">
        <f t="shared" si="3"/>
        <v>274079</v>
      </c>
      <c r="Q9" s="57">
        <f t="shared" si="4"/>
        <v>321184</v>
      </c>
    </row>
    <row r="10" spans="1:23" x14ac:dyDescent="0.25">
      <c r="C10" s="1"/>
      <c r="E10" s="1"/>
      <c r="F10" s="16"/>
    </row>
    <row r="11" spans="1:23" ht="15.75" x14ac:dyDescent="0.25">
      <c r="C11" s="103" t="s">
        <v>367</v>
      </c>
      <c r="D11" s="99"/>
      <c r="E11" s="21" t="s">
        <v>368</v>
      </c>
      <c r="F11" s="45">
        <v>1799</v>
      </c>
      <c r="G11" s="46">
        <v>2699</v>
      </c>
      <c r="H11" s="46">
        <v>588</v>
      </c>
      <c r="I11" s="46">
        <v>2088</v>
      </c>
      <c r="J11" s="46">
        <v>2488</v>
      </c>
      <c r="K11" s="46">
        <v>2688</v>
      </c>
      <c r="L11" s="45">
        <v>1788</v>
      </c>
      <c r="M11" s="62" t="s">
        <v>716</v>
      </c>
      <c r="N11" s="45" t="s">
        <v>3</v>
      </c>
      <c r="O11" s="76" t="s">
        <v>369</v>
      </c>
      <c r="P11" s="76" t="s">
        <v>370</v>
      </c>
    </row>
    <row r="12" spans="1:23" x14ac:dyDescent="0.25">
      <c r="C12" s="9" t="s">
        <v>371</v>
      </c>
      <c r="D12" s="86" t="s">
        <v>372</v>
      </c>
      <c r="E12" s="9" t="s">
        <v>373</v>
      </c>
      <c r="F12" s="22"/>
      <c r="G12" s="7"/>
      <c r="H12" s="7"/>
      <c r="I12" s="7"/>
      <c r="J12" s="7"/>
      <c r="K12" s="7"/>
      <c r="L12" s="7"/>
      <c r="M12" s="7"/>
      <c r="N12" s="7">
        <f t="shared" ref="N12:N18" si="6">SUM(F12:M12)</f>
        <v>0</v>
      </c>
      <c r="O12" s="10"/>
      <c r="P12" s="10"/>
      <c r="V12" t="s">
        <v>852</v>
      </c>
      <c r="W12">
        <v>82</v>
      </c>
    </row>
    <row r="13" spans="1:23" x14ac:dyDescent="0.25">
      <c r="C13" s="10">
        <v>1</v>
      </c>
      <c r="D13" s="11" t="s">
        <v>374</v>
      </c>
      <c r="E13" s="78"/>
      <c r="F13" s="10"/>
      <c r="G13" s="7"/>
      <c r="H13" s="7"/>
      <c r="I13" s="7"/>
      <c r="J13" s="7"/>
      <c r="K13" s="7"/>
      <c r="L13" s="7"/>
      <c r="M13" s="7"/>
      <c r="N13" s="7"/>
      <c r="O13" s="10"/>
      <c r="P13" s="10"/>
      <c r="V13" t="s">
        <v>843</v>
      </c>
      <c r="W13">
        <v>101</v>
      </c>
    </row>
    <row r="14" spans="1:23" x14ac:dyDescent="0.25">
      <c r="C14" s="10">
        <v>2</v>
      </c>
      <c r="D14" s="11" t="s">
        <v>376</v>
      </c>
      <c r="E14" s="78"/>
      <c r="F14" s="22"/>
      <c r="G14" s="7"/>
      <c r="H14" s="7"/>
      <c r="I14" s="7"/>
      <c r="J14" s="7"/>
      <c r="K14" s="7"/>
      <c r="L14" s="7"/>
      <c r="M14" s="7"/>
      <c r="N14" s="7"/>
      <c r="O14" s="10"/>
      <c r="P14" s="10"/>
      <c r="V14" t="s">
        <v>842</v>
      </c>
      <c r="W14">
        <v>70</v>
      </c>
    </row>
    <row r="15" spans="1:23" x14ac:dyDescent="0.25">
      <c r="C15" s="10">
        <v>3</v>
      </c>
      <c r="D15" s="11" t="s">
        <v>717</v>
      </c>
      <c r="E15" s="78"/>
      <c r="F15" s="22"/>
      <c r="G15" s="7"/>
      <c r="H15" s="7"/>
      <c r="I15" s="7"/>
      <c r="J15" s="7"/>
      <c r="K15" s="7"/>
      <c r="L15" s="7"/>
      <c r="M15" s="7"/>
      <c r="N15" s="7"/>
      <c r="O15" s="10"/>
      <c r="P15" s="10"/>
      <c r="V15" t="s">
        <v>791</v>
      </c>
      <c r="W15">
        <v>98</v>
      </c>
    </row>
    <row r="16" spans="1:23" x14ac:dyDescent="0.25">
      <c r="C16" s="10">
        <v>4</v>
      </c>
      <c r="D16" s="11" t="s">
        <v>374</v>
      </c>
      <c r="E16" s="78"/>
      <c r="F16" s="22"/>
      <c r="G16" s="7"/>
      <c r="H16" s="7"/>
      <c r="I16" s="7"/>
      <c r="J16" s="7"/>
      <c r="K16" s="7"/>
      <c r="L16" s="7"/>
      <c r="M16" s="7"/>
      <c r="N16" s="7"/>
      <c r="O16" s="10"/>
      <c r="P16" s="10"/>
      <c r="V16" t="s">
        <v>792</v>
      </c>
      <c r="W16">
        <v>78</v>
      </c>
    </row>
    <row r="17" spans="3:26" x14ac:dyDescent="0.25">
      <c r="C17" s="10">
        <v>5</v>
      </c>
      <c r="D17" s="11" t="s">
        <v>850</v>
      </c>
      <c r="E17" s="11">
        <v>45743</v>
      </c>
      <c r="F17" s="7">
        <v>28000</v>
      </c>
      <c r="G17" s="7"/>
      <c r="H17" s="7"/>
      <c r="I17" s="7"/>
      <c r="J17" s="7"/>
      <c r="K17" s="7"/>
      <c r="L17" s="7"/>
      <c r="M17" s="7"/>
      <c r="N17" s="7"/>
      <c r="O17" s="10" t="s">
        <v>851</v>
      </c>
      <c r="P17" s="10">
        <v>52</v>
      </c>
      <c r="V17" t="s">
        <v>794</v>
      </c>
      <c r="W17">
        <v>88</v>
      </c>
    </row>
    <row r="18" spans="3:26" x14ac:dyDescent="0.25">
      <c r="C18" s="104" t="s">
        <v>3</v>
      </c>
      <c r="D18" s="98"/>
      <c r="E18" s="99"/>
      <c r="F18" s="7">
        <f t="shared" ref="F18:M18" si="7">SUM(F12:F17)</f>
        <v>28000</v>
      </c>
      <c r="G18" s="7">
        <f t="shared" si="7"/>
        <v>0</v>
      </c>
      <c r="H18" s="7">
        <f t="shared" si="7"/>
        <v>0</v>
      </c>
      <c r="I18" s="7">
        <f t="shared" si="7"/>
        <v>0</v>
      </c>
      <c r="J18" s="7">
        <f t="shared" si="7"/>
        <v>0</v>
      </c>
      <c r="K18" s="7">
        <f t="shared" si="7"/>
        <v>0</v>
      </c>
      <c r="L18" s="7">
        <f t="shared" si="7"/>
        <v>0</v>
      </c>
      <c r="M18" s="7">
        <f t="shared" si="7"/>
        <v>0</v>
      </c>
      <c r="N18" s="7">
        <f t="shared" si="6"/>
        <v>28000</v>
      </c>
      <c r="O18" s="10"/>
      <c r="P18" s="10"/>
      <c r="V18" t="s">
        <v>795</v>
      </c>
      <c r="W18">
        <v>80</v>
      </c>
    </row>
    <row r="19" spans="3:26" x14ac:dyDescent="0.25">
      <c r="C19" s="1"/>
      <c r="E19" s="1"/>
      <c r="F19" s="16"/>
      <c r="V19" t="s">
        <v>796</v>
      </c>
      <c r="W19">
        <v>70</v>
      </c>
    </row>
    <row r="20" spans="3:26" ht="15.75" x14ac:dyDescent="0.25">
      <c r="C20" s="9" t="s">
        <v>8</v>
      </c>
      <c r="D20" s="87" t="s">
        <v>9</v>
      </c>
      <c r="E20" s="20" t="s">
        <v>10</v>
      </c>
      <c r="F20" s="20" t="s">
        <v>11</v>
      </c>
      <c r="G20" s="4" t="s">
        <v>4</v>
      </c>
      <c r="H20" s="4" t="s">
        <v>12</v>
      </c>
      <c r="I20" s="4" t="s">
        <v>2</v>
      </c>
      <c r="J20" s="4" t="s">
        <v>13</v>
      </c>
      <c r="K20" s="4" t="s">
        <v>15</v>
      </c>
      <c r="L20" s="4" t="s">
        <v>16</v>
      </c>
      <c r="M20" s="4" t="s">
        <v>17</v>
      </c>
      <c r="N20" s="4" t="s">
        <v>18</v>
      </c>
      <c r="O20" s="4" t="s">
        <v>19</v>
      </c>
      <c r="P20" s="39" t="s">
        <v>679</v>
      </c>
      <c r="Q20" s="63" t="s">
        <v>716</v>
      </c>
      <c r="R20" s="39" t="s">
        <v>717</v>
      </c>
      <c r="T20" s="101" t="s">
        <v>118</v>
      </c>
      <c r="U20" s="102"/>
      <c r="V20" s="102"/>
      <c r="W20" s="102"/>
    </row>
    <row r="21" spans="3:26" ht="15.75" customHeight="1" x14ac:dyDescent="0.25">
      <c r="C21" s="10">
        <v>1</v>
      </c>
      <c r="D21" s="11">
        <v>45719</v>
      </c>
      <c r="E21" s="10">
        <v>442</v>
      </c>
      <c r="F21" s="22" t="s">
        <v>647</v>
      </c>
      <c r="G21" s="7">
        <v>4500</v>
      </c>
      <c r="H21" s="12">
        <v>123</v>
      </c>
      <c r="I21" s="7">
        <v>4500</v>
      </c>
      <c r="J21" s="7"/>
      <c r="K21" s="7">
        <v>2000</v>
      </c>
      <c r="L21" s="7"/>
      <c r="M21" s="7"/>
      <c r="N21" s="7"/>
      <c r="O21" s="7"/>
      <c r="P21" s="7"/>
      <c r="Q21" s="40"/>
      <c r="R21" s="40"/>
      <c r="T21" s="97" t="s">
        <v>172</v>
      </c>
      <c r="U21" s="98"/>
      <c r="V21" s="98"/>
      <c r="W21" s="34"/>
    </row>
    <row r="22" spans="3:26" ht="15.75" customHeight="1" x14ac:dyDescent="0.25">
      <c r="C22" s="10">
        <v>2</v>
      </c>
      <c r="D22" s="11">
        <v>45780</v>
      </c>
      <c r="E22" s="10">
        <v>444</v>
      </c>
      <c r="F22" s="22" t="s">
        <v>175</v>
      </c>
      <c r="G22" s="7">
        <v>360</v>
      </c>
      <c r="H22" s="31">
        <v>118</v>
      </c>
      <c r="I22" s="7">
        <v>360</v>
      </c>
      <c r="J22" s="7"/>
      <c r="K22" s="7"/>
      <c r="L22" s="7"/>
      <c r="M22" s="7"/>
      <c r="N22" s="7"/>
      <c r="O22" s="7"/>
      <c r="P22" s="7"/>
      <c r="Q22" s="7"/>
      <c r="R22" s="7"/>
      <c r="T22" s="10" t="s">
        <v>121</v>
      </c>
      <c r="U22" s="7" t="s">
        <v>9</v>
      </c>
      <c r="V22" s="7" t="s">
        <v>122</v>
      </c>
      <c r="W22" s="7" t="s">
        <v>4</v>
      </c>
      <c r="X22" s="7" t="s">
        <v>549</v>
      </c>
      <c r="Y22" s="7" t="s">
        <v>576</v>
      </c>
      <c r="Z22" s="7" t="s">
        <v>577</v>
      </c>
    </row>
    <row r="23" spans="3:26" ht="15.75" customHeight="1" x14ac:dyDescent="0.25">
      <c r="C23" s="10">
        <v>3</v>
      </c>
      <c r="D23" s="11">
        <v>45780</v>
      </c>
      <c r="E23" s="10" t="s">
        <v>27</v>
      </c>
      <c r="F23" s="22" t="s">
        <v>837</v>
      </c>
      <c r="G23" s="7">
        <v>2000</v>
      </c>
      <c r="H23" s="12">
        <v>118</v>
      </c>
      <c r="I23" s="7">
        <v>2000</v>
      </c>
      <c r="J23" s="7"/>
      <c r="K23" s="7"/>
      <c r="L23" s="7"/>
      <c r="M23" s="7"/>
      <c r="N23" s="7"/>
      <c r="O23" s="7"/>
      <c r="P23" s="7"/>
      <c r="Q23" s="7"/>
      <c r="R23" s="7"/>
      <c r="T23" s="10">
        <v>1</v>
      </c>
      <c r="U23" s="41">
        <v>45728</v>
      </c>
      <c r="V23" s="7" t="s">
        <v>634</v>
      </c>
      <c r="W23" s="7">
        <v>11920</v>
      </c>
      <c r="X23" s="76">
        <v>70</v>
      </c>
      <c r="Y23" s="10"/>
      <c r="Z23" s="7">
        <f t="shared" ref="Z23:Z30" si="8">W23*X23</f>
        <v>834400</v>
      </c>
    </row>
    <row r="24" spans="3:26" ht="15.75" customHeight="1" x14ac:dyDescent="0.25">
      <c r="C24" s="10">
        <v>4</v>
      </c>
      <c r="D24" s="11">
        <v>45722</v>
      </c>
      <c r="E24" s="10">
        <v>445</v>
      </c>
      <c r="F24" s="22" t="s">
        <v>644</v>
      </c>
      <c r="G24" s="7">
        <v>2500</v>
      </c>
      <c r="H24" s="12">
        <v>105</v>
      </c>
      <c r="I24" s="7">
        <v>2500</v>
      </c>
      <c r="J24" s="7"/>
      <c r="K24" s="7"/>
      <c r="L24" s="7"/>
      <c r="M24" s="7"/>
      <c r="N24" s="7"/>
      <c r="O24" s="7"/>
      <c r="P24" s="7"/>
      <c r="Q24" s="7"/>
      <c r="R24" s="7"/>
      <c r="T24" s="10">
        <v>2</v>
      </c>
      <c r="U24" s="41">
        <v>45729</v>
      </c>
      <c r="V24" s="7" t="s">
        <v>646</v>
      </c>
      <c r="W24" s="7">
        <v>21659</v>
      </c>
      <c r="X24" s="76">
        <v>101</v>
      </c>
      <c r="Y24" s="10"/>
      <c r="Z24" s="7">
        <f t="shared" si="8"/>
        <v>2187559</v>
      </c>
    </row>
    <row r="25" spans="3:26" ht="15.75" customHeight="1" x14ac:dyDescent="0.25">
      <c r="C25" s="10">
        <v>5</v>
      </c>
      <c r="D25" s="11">
        <v>45722</v>
      </c>
      <c r="E25" s="10">
        <v>446</v>
      </c>
      <c r="F25" s="22" t="s">
        <v>832</v>
      </c>
      <c r="G25" s="7">
        <v>1700</v>
      </c>
      <c r="H25" s="12">
        <v>126</v>
      </c>
      <c r="I25" s="7">
        <v>1700</v>
      </c>
      <c r="J25" s="7"/>
      <c r="K25" s="7"/>
      <c r="L25" s="7"/>
      <c r="M25" s="7"/>
      <c r="N25" s="7"/>
      <c r="O25" s="7"/>
      <c r="P25" s="7"/>
      <c r="Q25" s="7"/>
      <c r="R25" s="7"/>
      <c r="T25" s="10">
        <v>3</v>
      </c>
      <c r="U25" s="41">
        <v>45729</v>
      </c>
      <c r="V25" s="7" t="s">
        <v>646</v>
      </c>
      <c r="W25" s="7">
        <v>19509</v>
      </c>
      <c r="X25" s="76">
        <v>101</v>
      </c>
      <c r="Y25" s="10"/>
      <c r="Z25" s="7">
        <f t="shared" si="8"/>
        <v>1970409</v>
      </c>
    </row>
    <row r="26" spans="3:26" ht="15.75" customHeight="1" x14ac:dyDescent="0.25">
      <c r="C26" s="10">
        <v>6</v>
      </c>
      <c r="D26" s="11">
        <v>45724</v>
      </c>
      <c r="E26" s="10">
        <v>448</v>
      </c>
      <c r="F26" s="22" t="s">
        <v>80</v>
      </c>
      <c r="G26" s="7">
        <v>100</v>
      </c>
      <c r="H26" s="12">
        <v>110</v>
      </c>
      <c r="I26" s="7">
        <v>100</v>
      </c>
      <c r="J26" s="7"/>
      <c r="K26" s="7"/>
      <c r="L26" s="7"/>
      <c r="M26" s="7"/>
      <c r="N26" s="7"/>
      <c r="O26" s="7"/>
      <c r="P26" s="7"/>
      <c r="Q26" s="7"/>
      <c r="R26" s="7"/>
      <c r="T26" s="10">
        <v>4</v>
      </c>
      <c r="U26" s="41">
        <v>45735</v>
      </c>
      <c r="V26" s="7" t="s">
        <v>646</v>
      </c>
      <c r="W26" s="7">
        <v>18888</v>
      </c>
      <c r="X26" s="76">
        <v>101</v>
      </c>
      <c r="Y26" s="10"/>
      <c r="Z26" s="7">
        <f t="shared" si="8"/>
        <v>1907688</v>
      </c>
    </row>
    <row r="27" spans="3:26" ht="15.75" customHeight="1" x14ac:dyDescent="0.25">
      <c r="C27" s="10">
        <v>7</v>
      </c>
      <c r="D27" s="11">
        <v>45721</v>
      </c>
      <c r="E27" s="10" t="s">
        <v>838</v>
      </c>
      <c r="F27" s="22" t="s">
        <v>80</v>
      </c>
      <c r="G27" s="7">
        <v>500</v>
      </c>
      <c r="H27" s="12">
        <v>194</v>
      </c>
      <c r="I27" s="7"/>
      <c r="J27" s="7"/>
      <c r="K27" s="7"/>
      <c r="L27" s="7"/>
      <c r="M27" s="7"/>
      <c r="N27" s="7"/>
      <c r="O27" s="7"/>
      <c r="P27" s="7"/>
      <c r="Q27" s="7">
        <v>500</v>
      </c>
      <c r="R27" s="7"/>
      <c r="T27" s="10">
        <v>5</v>
      </c>
      <c r="U27" s="41">
        <v>45737</v>
      </c>
      <c r="V27" s="7" t="s">
        <v>426</v>
      </c>
      <c r="W27" s="7">
        <v>21727</v>
      </c>
      <c r="X27" s="76">
        <v>82</v>
      </c>
      <c r="Y27" s="10"/>
      <c r="Z27" s="7">
        <f t="shared" si="8"/>
        <v>1781614</v>
      </c>
    </row>
    <row r="28" spans="3:26" ht="15.75" customHeight="1" x14ac:dyDescent="0.25">
      <c r="C28" s="10">
        <v>8</v>
      </c>
      <c r="D28" s="11">
        <v>45721</v>
      </c>
      <c r="E28" s="10" t="s">
        <v>839</v>
      </c>
      <c r="F28" s="22" t="s">
        <v>804</v>
      </c>
      <c r="G28" s="7">
        <v>200</v>
      </c>
      <c r="H28" s="12">
        <v>194</v>
      </c>
      <c r="I28" s="7"/>
      <c r="J28" s="7"/>
      <c r="K28" s="7"/>
      <c r="L28" s="7"/>
      <c r="M28" s="7"/>
      <c r="N28" s="7"/>
      <c r="O28" s="7"/>
      <c r="P28" s="7"/>
      <c r="Q28" s="7">
        <v>200</v>
      </c>
      <c r="R28" s="7"/>
      <c r="T28" s="10">
        <v>6</v>
      </c>
      <c r="U28" s="41">
        <v>45737</v>
      </c>
      <c r="V28" s="7" t="s">
        <v>646</v>
      </c>
      <c r="W28" s="7">
        <v>18761</v>
      </c>
      <c r="X28" s="76">
        <v>101</v>
      </c>
      <c r="Y28" s="7"/>
      <c r="Z28" s="7">
        <f t="shared" si="8"/>
        <v>1894861</v>
      </c>
    </row>
    <row r="29" spans="3:26" ht="15.75" customHeight="1" x14ac:dyDescent="0.25">
      <c r="C29" s="10">
        <v>9</v>
      </c>
      <c r="D29" s="11">
        <v>45722</v>
      </c>
      <c r="E29" s="10" t="s">
        <v>840</v>
      </c>
      <c r="F29" s="22" t="s">
        <v>268</v>
      </c>
      <c r="G29" s="7">
        <v>360</v>
      </c>
      <c r="H29" s="12">
        <v>198</v>
      </c>
      <c r="I29" s="7"/>
      <c r="J29" s="7"/>
      <c r="K29" s="7"/>
      <c r="L29" s="7"/>
      <c r="M29" s="7"/>
      <c r="N29" s="7"/>
      <c r="O29" s="7"/>
      <c r="P29" s="7"/>
      <c r="Q29" s="7">
        <v>360</v>
      </c>
      <c r="R29" s="7"/>
      <c r="T29" s="10">
        <v>7</v>
      </c>
      <c r="U29" s="41">
        <v>45742</v>
      </c>
      <c r="V29" s="7" t="s">
        <v>426</v>
      </c>
      <c r="W29" s="7">
        <v>19070</v>
      </c>
      <c r="X29" s="76">
        <v>82</v>
      </c>
      <c r="Y29" s="7"/>
      <c r="Z29" s="7">
        <f t="shared" si="8"/>
        <v>1563740</v>
      </c>
    </row>
    <row r="30" spans="3:26" ht="15.75" customHeight="1" x14ac:dyDescent="0.25">
      <c r="C30" s="10">
        <v>10</v>
      </c>
      <c r="D30" s="11">
        <v>45726</v>
      </c>
      <c r="E30" s="10">
        <v>449</v>
      </c>
      <c r="F30" s="22" t="s">
        <v>24</v>
      </c>
      <c r="G30" s="7">
        <v>1000</v>
      </c>
      <c r="H30" s="12">
        <v>111</v>
      </c>
      <c r="I30" s="7">
        <v>1000</v>
      </c>
      <c r="J30" s="7"/>
      <c r="K30" s="7"/>
      <c r="L30" s="7"/>
      <c r="M30" s="7"/>
      <c r="N30" s="7"/>
      <c r="O30" s="7"/>
      <c r="P30" s="7"/>
      <c r="Q30" s="7"/>
      <c r="R30" s="7"/>
      <c r="T30" s="10">
        <v>8</v>
      </c>
      <c r="U30" s="11">
        <v>45726</v>
      </c>
      <c r="V30" s="7" t="s">
        <v>853</v>
      </c>
      <c r="W30" s="7">
        <v>20400</v>
      </c>
      <c r="X30" s="76">
        <v>84</v>
      </c>
      <c r="Y30" s="7"/>
      <c r="Z30" s="7">
        <f t="shared" si="8"/>
        <v>1713600</v>
      </c>
    </row>
    <row r="31" spans="3:26" ht="15.75" customHeight="1" x14ac:dyDescent="0.25">
      <c r="C31" s="10">
        <v>11</v>
      </c>
      <c r="D31" s="11">
        <v>45727</v>
      </c>
      <c r="E31" s="10">
        <v>452</v>
      </c>
      <c r="F31" s="22" t="s">
        <v>333</v>
      </c>
      <c r="G31" s="7">
        <v>200</v>
      </c>
      <c r="H31" s="12">
        <v>115</v>
      </c>
      <c r="I31" s="7">
        <v>200</v>
      </c>
      <c r="J31" s="7"/>
      <c r="K31" s="7"/>
      <c r="L31" s="7"/>
      <c r="M31" s="7"/>
      <c r="N31" s="7"/>
      <c r="O31" s="7"/>
      <c r="P31" s="7"/>
      <c r="Q31" s="7"/>
      <c r="R31" s="7"/>
      <c r="T31" s="10"/>
      <c r="U31" s="7"/>
      <c r="V31" s="7"/>
      <c r="W31" s="7"/>
      <c r="X31" s="104" t="s">
        <v>581</v>
      </c>
      <c r="Y31" s="99"/>
      <c r="Z31" s="7">
        <f>SUM(Z23:Z30)</f>
        <v>13853871</v>
      </c>
    </row>
    <row r="32" spans="3:26" ht="15.75" customHeight="1" x14ac:dyDescent="0.25">
      <c r="C32" s="10">
        <v>12</v>
      </c>
      <c r="D32" s="11">
        <v>45728</v>
      </c>
      <c r="E32" s="10">
        <v>453</v>
      </c>
      <c r="F32" s="22" t="s">
        <v>844</v>
      </c>
      <c r="G32" s="7">
        <v>1000</v>
      </c>
      <c r="H32" s="12">
        <v>106</v>
      </c>
      <c r="I32" s="7">
        <v>10000</v>
      </c>
      <c r="J32" s="7"/>
      <c r="K32" s="7"/>
      <c r="L32" s="7"/>
      <c r="M32" s="7"/>
      <c r="N32" s="7"/>
      <c r="O32" s="7"/>
      <c r="P32" s="7"/>
      <c r="Q32" s="7"/>
      <c r="R32" s="7"/>
      <c r="T32" s="97" t="s">
        <v>181</v>
      </c>
      <c r="U32" s="98"/>
      <c r="V32" s="99"/>
      <c r="W32" s="7">
        <f>SUM(W23:W30)</f>
        <v>151934</v>
      </c>
      <c r="X32" s="104" t="s">
        <v>582</v>
      </c>
      <c r="Y32" s="99"/>
      <c r="Z32" s="7">
        <f>Z31/W32</f>
        <v>91.183480985164607</v>
      </c>
    </row>
    <row r="33" spans="3:23" ht="15.75" customHeight="1" x14ac:dyDescent="0.25">
      <c r="C33" s="10">
        <v>13</v>
      </c>
      <c r="D33" s="11">
        <v>45726</v>
      </c>
      <c r="E33" s="10" t="s">
        <v>845</v>
      </c>
      <c r="F33" s="22" t="s">
        <v>846</v>
      </c>
      <c r="G33" s="7">
        <v>400</v>
      </c>
      <c r="H33" s="12">
        <v>208</v>
      </c>
      <c r="I33" s="7"/>
      <c r="J33" s="7"/>
      <c r="K33" s="7"/>
      <c r="L33" s="7"/>
      <c r="M33" s="7"/>
      <c r="N33" s="7"/>
      <c r="O33" s="7"/>
      <c r="P33" s="7"/>
      <c r="Q33" s="7">
        <v>400</v>
      </c>
      <c r="R33" s="7"/>
      <c r="T33" s="97" t="s">
        <v>183</v>
      </c>
      <c r="U33" s="98"/>
      <c r="V33" s="99"/>
      <c r="W33" s="7">
        <v>196285</v>
      </c>
    </row>
    <row r="34" spans="3:23" ht="15.75" customHeight="1" x14ac:dyDescent="0.25">
      <c r="C34" s="10">
        <v>14</v>
      </c>
      <c r="D34" s="11">
        <v>45728</v>
      </c>
      <c r="E34" s="10">
        <v>453</v>
      </c>
      <c r="F34" s="22" t="s">
        <v>844</v>
      </c>
      <c r="G34" s="7">
        <v>10000</v>
      </c>
      <c r="H34" s="12">
        <v>106</v>
      </c>
      <c r="I34" s="7">
        <v>10000</v>
      </c>
      <c r="J34" s="7"/>
      <c r="K34" s="7"/>
      <c r="L34" s="7"/>
      <c r="M34" s="7"/>
      <c r="N34" s="7"/>
      <c r="O34" s="7"/>
      <c r="P34" s="7"/>
      <c r="Q34" s="7"/>
      <c r="R34" s="7"/>
      <c r="T34" s="97" t="s">
        <v>184</v>
      </c>
      <c r="U34" s="98"/>
      <c r="V34" s="99"/>
      <c r="W34" s="35">
        <f>SUM(W32,W33)</f>
        <v>348219</v>
      </c>
    </row>
    <row r="35" spans="3:23" ht="15.75" customHeight="1" x14ac:dyDescent="0.25">
      <c r="C35" s="10">
        <v>15</v>
      </c>
      <c r="D35" s="11">
        <v>45732</v>
      </c>
      <c r="E35" s="10">
        <v>454</v>
      </c>
      <c r="F35" s="22" t="s">
        <v>731</v>
      </c>
      <c r="G35" s="7">
        <v>1000</v>
      </c>
      <c r="H35" s="12">
        <v>120</v>
      </c>
      <c r="I35" s="7">
        <v>1000</v>
      </c>
      <c r="J35" s="7"/>
      <c r="K35" s="7"/>
      <c r="L35" s="7"/>
      <c r="M35" s="7"/>
      <c r="N35" s="7"/>
      <c r="O35" s="7"/>
      <c r="P35" s="7"/>
      <c r="Q35" s="7"/>
      <c r="R35" s="7"/>
      <c r="T35" s="97" t="s">
        <v>186</v>
      </c>
      <c r="U35" s="98"/>
      <c r="V35" s="99"/>
      <c r="W35" s="7">
        <f>'March 25'!$I$103</f>
        <v>74140</v>
      </c>
    </row>
    <row r="36" spans="3:23" ht="15.75" customHeight="1" x14ac:dyDescent="0.25">
      <c r="C36" s="10">
        <v>16</v>
      </c>
      <c r="D36" s="11">
        <v>45733</v>
      </c>
      <c r="E36" s="10">
        <v>455</v>
      </c>
      <c r="F36" s="22" t="s">
        <v>847</v>
      </c>
      <c r="G36" s="7">
        <v>5380</v>
      </c>
      <c r="H36" s="12">
        <v>106</v>
      </c>
      <c r="I36" s="7">
        <v>5380</v>
      </c>
      <c r="J36" s="7"/>
      <c r="K36" s="7"/>
      <c r="L36" s="7"/>
      <c r="M36" s="7"/>
      <c r="N36" s="7"/>
      <c r="O36" s="7"/>
      <c r="P36" s="7"/>
      <c r="Q36" s="7"/>
      <c r="R36" s="7"/>
      <c r="T36" s="97"/>
      <c r="U36" s="98"/>
      <c r="V36" s="99"/>
      <c r="W36" s="7"/>
    </row>
    <row r="37" spans="3:23" ht="15.75" customHeight="1" x14ac:dyDescent="0.25">
      <c r="C37" s="10">
        <v>17</v>
      </c>
      <c r="D37" s="11">
        <v>45733</v>
      </c>
      <c r="E37" s="10">
        <v>456</v>
      </c>
      <c r="F37" s="22" t="s">
        <v>848</v>
      </c>
      <c r="G37" s="7">
        <v>2000</v>
      </c>
      <c r="H37" s="12">
        <v>113</v>
      </c>
      <c r="I37" s="7">
        <v>2000</v>
      </c>
      <c r="J37" s="7"/>
      <c r="K37" s="7"/>
      <c r="L37" s="7"/>
      <c r="M37" s="7"/>
      <c r="N37" s="7"/>
      <c r="O37" s="7"/>
      <c r="P37" s="7"/>
      <c r="Q37" s="7"/>
      <c r="R37" s="7"/>
      <c r="T37" s="100" t="s">
        <v>188</v>
      </c>
      <c r="U37" s="98"/>
      <c r="V37" s="99"/>
      <c r="W37" s="36">
        <f>SUM(W34-W35)</f>
        <v>274079</v>
      </c>
    </row>
    <row r="38" spans="3:23" ht="15.75" customHeight="1" x14ac:dyDescent="0.25">
      <c r="C38" s="10">
        <v>18</v>
      </c>
      <c r="D38" s="11">
        <v>45735</v>
      </c>
      <c r="E38" s="10">
        <v>461</v>
      </c>
      <c r="F38" s="22" t="s">
        <v>771</v>
      </c>
      <c r="G38" s="7">
        <v>5000</v>
      </c>
      <c r="H38" s="12">
        <v>125</v>
      </c>
      <c r="I38" s="7">
        <v>5000</v>
      </c>
      <c r="J38" s="7"/>
      <c r="K38" s="7"/>
      <c r="L38" s="7"/>
      <c r="M38" s="7"/>
      <c r="N38" s="7"/>
      <c r="O38" s="7"/>
      <c r="P38" s="7"/>
      <c r="Q38" s="7"/>
      <c r="R38" s="7"/>
    </row>
    <row r="39" spans="3:23" ht="15.75" customHeight="1" x14ac:dyDescent="0.25">
      <c r="C39" s="10">
        <v>18</v>
      </c>
      <c r="D39" s="11">
        <v>45735</v>
      </c>
      <c r="E39" s="24">
        <v>464</v>
      </c>
      <c r="F39" s="22" t="s">
        <v>849</v>
      </c>
      <c r="G39" s="7">
        <v>425</v>
      </c>
      <c r="H39" s="12">
        <v>165</v>
      </c>
      <c r="I39" s="7"/>
      <c r="J39" s="7"/>
      <c r="K39" s="7">
        <v>425</v>
      </c>
      <c r="L39" s="7"/>
      <c r="M39" s="7"/>
      <c r="N39" s="7"/>
      <c r="O39" s="7"/>
      <c r="P39" s="7"/>
      <c r="Q39" s="7"/>
      <c r="R39" s="7"/>
    </row>
    <row r="40" spans="3:23" ht="15.75" customHeight="1" x14ac:dyDescent="0.25">
      <c r="C40" s="10">
        <v>19</v>
      </c>
      <c r="D40" s="11">
        <v>45735</v>
      </c>
      <c r="E40" s="10">
        <v>465</v>
      </c>
      <c r="F40" s="22" t="s">
        <v>817</v>
      </c>
      <c r="G40" s="7">
        <v>100</v>
      </c>
      <c r="H40" s="12">
        <v>118</v>
      </c>
      <c r="I40" s="7">
        <v>100</v>
      </c>
      <c r="J40" s="7"/>
      <c r="K40" s="7"/>
      <c r="L40" s="7"/>
      <c r="M40" s="7"/>
      <c r="N40" s="7"/>
      <c r="O40" s="7"/>
      <c r="P40" s="7"/>
      <c r="Q40" s="7"/>
      <c r="R40" s="7"/>
      <c r="T40" s="33" t="s">
        <v>730</v>
      </c>
    </row>
    <row r="41" spans="3:23" ht="15.75" customHeight="1" x14ac:dyDescent="0.25">
      <c r="C41" s="10">
        <v>20</v>
      </c>
      <c r="D41" s="11">
        <v>45736</v>
      </c>
      <c r="E41" s="10">
        <v>466</v>
      </c>
      <c r="F41" s="22" t="s">
        <v>832</v>
      </c>
      <c r="G41" s="7">
        <v>2000</v>
      </c>
      <c r="H41" s="12">
        <v>132</v>
      </c>
      <c r="I41" s="7">
        <v>2000</v>
      </c>
      <c r="J41" s="7"/>
      <c r="K41" s="7"/>
      <c r="L41" s="7"/>
      <c r="M41" s="7"/>
      <c r="N41" s="7"/>
      <c r="O41" s="7"/>
      <c r="P41" s="7"/>
      <c r="Q41" s="7"/>
      <c r="R41" s="7"/>
    </row>
    <row r="42" spans="3:23" ht="15.75" customHeight="1" x14ac:dyDescent="0.25">
      <c r="C42" s="10">
        <v>21</v>
      </c>
      <c r="D42" s="11">
        <v>45736</v>
      </c>
      <c r="E42" s="10">
        <v>467</v>
      </c>
      <c r="F42" s="22" t="s">
        <v>832</v>
      </c>
      <c r="G42" s="7">
        <v>1500</v>
      </c>
      <c r="H42" s="12">
        <v>132</v>
      </c>
      <c r="I42" s="7">
        <v>1500</v>
      </c>
      <c r="J42" s="7"/>
      <c r="K42" s="7"/>
      <c r="L42" s="7"/>
      <c r="M42" s="7"/>
      <c r="N42" s="7"/>
      <c r="O42" s="7"/>
      <c r="P42" s="7"/>
      <c r="Q42" s="7"/>
      <c r="R42" s="7"/>
    </row>
    <row r="43" spans="3:23" ht="15.75" customHeight="1" x14ac:dyDescent="0.25">
      <c r="C43" s="10">
        <v>22</v>
      </c>
      <c r="D43" s="11">
        <v>45737</v>
      </c>
      <c r="E43" s="10">
        <v>468</v>
      </c>
      <c r="F43" s="22" t="s">
        <v>844</v>
      </c>
      <c r="G43" s="7">
        <v>10000</v>
      </c>
      <c r="H43" s="12">
        <v>106</v>
      </c>
      <c r="I43" s="7">
        <v>10000</v>
      </c>
      <c r="J43" s="7"/>
      <c r="K43" s="7"/>
      <c r="L43" s="7"/>
      <c r="M43" s="7"/>
      <c r="N43" s="7"/>
      <c r="O43" s="7"/>
      <c r="P43" s="7"/>
      <c r="Q43" s="7"/>
      <c r="R43" s="7"/>
    </row>
    <row r="44" spans="3:23" ht="15.75" customHeight="1" x14ac:dyDescent="0.25">
      <c r="C44" s="10">
        <v>23</v>
      </c>
      <c r="D44" s="11">
        <v>45739</v>
      </c>
      <c r="E44" s="10">
        <v>471</v>
      </c>
      <c r="F44" s="22" t="s">
        <v>657</v>
      </c>
      <c r="G44" s="7">
        <v>1000</v>
      </c>
      <c r="H44" s="12">
        <v>118</v>
      </c>
      <c r="I44" s="7">
        <v>1000</v>
      </c>
      <c r="J44" s="7"/>
      <c r="K44" s="7"/>
      <c r="L44" s="7"/>
      <c r="M44" s="7"/>
      <c r="N44" s="7"/>
      <c r="O44" s="7"/>
      <c r="P44" s="7"/>
      <c r="Q44" s="7"/>
      <c r="R44" s="7"/>
    </row>
    <row r="45" spans="3:23" ht="15.75" customHeight="1" x14ac:dyDescent="0.25">
      <c r="C45" s="10">
        <v>24</v>
      </c>
      <c r="D45" s="11">
        <v>45740</v>
      </c>
      <c r="E45" s="10">
        <v>472</v>
      </c>
      <c r="F45" s="22" t="s">
        <v>60</v>
      </c>
      <c r="G45" s="7">
        <v>500</v>
      </c>
      <c r="H45" s="12">
        <v>125</v>
      </c>
      <c r="I45" s="7">
        <v>500</v>
      </c>
      <c r="J45" s="7"/>
      <c r="K45" s="7"/>
      <c r="L45" s="7"/>
      <c r="M45" s="7"/>
      <c r="N45" s="7"/>
      <c r="O45" s="7"/>
      <c r="P45" s="7"/>
      <c r="Q45" s="7"/>
      <c r="R45" s="7"/>
    </row>
    <row r="46" spans="3:23" ht="15.75" customHeight="1" x14ac:dyDescent="0.25">
      <c r="C46" s="10">
        <v>25</v>
      </c>
      <c r="D46" s="11">
        <v>45740</v>
      </c>
      <c r="E46" s="10">
        <v>474</v>
      </c>
      <c r="F46" s="22" t="s">
        <v>826</v>
      </c>
      <c r="G46" s="7">
        <v>200</v>
      </c>
      <c r="H46" s="12">
        <v>118</v>
      </c>
      <c r="I46" s="7">
        <v>200</v>
      </c>
      <c r="J46" s="7"/>
      <c r="K46" s="7"/>
      <c r="L46" s="7"/>
      <c r="M46" s="7"/>
      <c r="N46" s="7"/>
      <c r="O46" s="7"/>
      <c r="P46" s="7"/>
      <c r="Q46" s="7"/>
      <c r="R46" s="7"/>
    </row>
    <row r="47" spans="3:23" ht="15.75" customHeight="1" x14ac:dyDescent="0.25">
      <c r="C47" s="10">
        <v>26</v>
      </c>
      <c r="D47" s="11">
        <v>45742</v>
      </c>
      <c r="E47" s="10">
        <v>476</v>
      </c>
      <c r="F47" s="22" t="s">
        <v>832</v>
      </c>
      <c r="G47" s="7">
        <v>3000</v>
      </c>
      <c r="H47" s="12">
        <v>132</v>
      </c>
      <c r="I47" s="7">
        <v>3000</v>
      </c>
      <c r="J47" s="7"/>
      <c r="K47" s="7"/>
      <c r="L47" s="7"/>
      <c r="M47" s="7"/>
      <c r="N47" s="7"/>
      <c r="O47" s="7"/>
      <c r="P47" s="7"/>
      <c r="Q47" s="7"/>
      <c r="R47" s="7"/>
    </row>
    <row r="48" spans="3:23" ht="15.75" customHeight="1" x14ac:dyDescent="0.25">
      <c r="C48" s="10">
        <v>28</v>
      </c>
      <c r="D48" s="11">
        <v>45743</v>
      </c>
      <c r="E48" s="10">
        <v>477</v>
      </c>
      <c r="F48" s="22" t="s">
        <v>657</v>
      </c>
      <c r="G48" s="7">
        <v>1500</v>
      </c>
      <c r="H48" s="12">
        <v>155</v>
      </c>
      <c r="I48" s="7"/>
      <c r="J48" s="7">
        <v>1500</v>
      </c>
      <c r="K48" s="7"/>
      <c r="L48" s="7"/>
      <c r="M48" s="7"/>
      <c r="N48" s="7"/>
      <c r="O48" s="7"/>
      <c r="P48" s="7"/>
      <c r="Q48" s="7"/>
      <c r="R48" s="7"/>
      <c r="S48" s="1"/>
    </row>
    <row r="49" spans="3:19" ht="15.75" customHeight="1" x14ac:dyDescent="0.25">
      <c r="C49" s="10">
        <v>29</v>
      </c>
      <c r="D49" s="11">
        <v>45745</v>
      </c>
      <c r="E49" s="10">
        <v>480</v>
      </c>
      <c r="F49" s="22" t="s">
        <v>844</v>
      </c>
      <c r="G49" s="7">
        <v>10000</v>
      </c>
      <c r="H49" s="12">
        <v>106</v>
      </c>
      <c r="I49" s="7">
        <v>10000</v>
      </c>
      <c r="J49" s="7"/>
      <c r="K49" s="7"/>
      <c r="L49" s="7"/>
      <c r="M49" s="7"/>
      <c r="N49" s="7"/>
      <c r="O49" s="7"/>
      <c r="P49" s="7"/>
      <c r="Q49" s="7"/>
      <c r="R49" s="7"/>
      <c r="S49" s="1"/>
    </row>
    <row r="50" spans="3:19" ht="15.75" customHeight="1" x14ac:dyDescent="0.25">
      <c r="C50" s="10">
        <v>30</v>
      </c>
      <c r="D50" s="11">
        <v>45745</v>
      </c>
      <c r="E50" s="10">
        <v>481</v>
      </c>
      <c r="F50" s="22" t="s">
        <v>848</v>
      </c>
      <c r="G50" s="7">
        <v>100</v>
      </c>
      <c r="H50" s="12">
        <v>116</v>
      </c>
      <c r="I50" s="7">
        <v>100</v>
      </c>
      <c r="J50" s="7"/>
      <c r="K50" s="7"/>
      <c r="L50" s="7"/>
      <c r="M50" s="7"/>
      <c r="N50" s="7"/>
      <c r="O50" s="7"/>
      <c r="P50" s="7"/>
      <c r="Q50" s="7"/>
      <c r="R50" s="7"/>
      <c r="S50" s="1"/>
    </row>
    <row r="51" spans="3:19" ht="15.75" customHeight="1" x14ac:dyDescent="0.25">
      <c r="C51" s="10">
        <v>29</v>
      </c>
      <c r="D51" s="11">
        <v>45745</v>
      </c>
      <c r="E51" s="10">
        <v>482</v>
      </c>
      <c r="F51" s="22" t="s">
        <v>614</v>
      </c>
      <c r="G51" s="7">
        <v>3000</v>
      </c>
      <c r="H51" s="12">
        <v>157</v>
      </c>
      <c r="I51" s="7"/>
      <c r="J51" s="7">
        <v>3000</v>
      </c>
      <c r="K51" s="7"/>
      <c r="L51" s="7"/>
      <c r="M51" s="7"/>
      <c r="N51" s="7"/>
      <c r="O51" s="7"/>
      <c r="P51" s="7"/>
      <c r="Q51" s="7"/>
      <c r="R51" s="7"/>
      <c r="S51" s="1"/>
    </row>
    <row r="52" spans="3:19" ht="15.75" customHeight="1" x14ac:dyDescent="0.25">
      <c r="C52" s="10">
        <v>30</v>
      </c>
      <c r="D52" s="11">
        <v>45745</v>
      </c>
      <c r="E52" s="10">
        <v>483</v>
      </c>
      <c r="F52" s="22" t="s">
        <v>657</v>
      </c>
      <c r="G52" s="7">
        <v>1500</v>
      </c>
      <c r="H52" s="12">
        <v>155</v>
      </c>
      <c r="I52" s="7"/>
      <c r="J52" s="7">
        <v>1500</v>
      </c>
      <c r="K52" s="7"/>
      <c r="L52" s="7"/>
      <c r="M52" s="7"/>
      <c r="N52" s="7"/>
      <c r="O52" s="7"/>
      <c r="P52" s="7"/>
      <c r="Q52" s="7"/>
      <c r="R52" s="7"/>
      <c r="S52" s="1"/>
    </row>
    <row r="53" spans="3:19" ht="15.75" customHeight="1" x14ac:dyDescent="0.25">
      <c r="C53" s="10">
        <v>32</v>
      </c>
      <c r="D53" s="11">
        <v>45745</v>
      </c>
      <c r="E53" s="10">
        <v>484</v>
      </c>
      <c r="F53" s="22" t="s">
        <v>657</v>
      </c>
      <c r="G53" s="7">
        <v>1500</v>
      </c>
      <c r="H53" s="12">
        <v>155</v>
      </c>
      <c r="I53" s="7"/>
      <c r="J53" s="7">
        <v>1500</v>
      </c>
      <c r="K53" s="7"/>
      <c r="L53" s="7"/>
      <c r="M53" s="7"/>
      <c r="N53" s="7"/>
      <c r="O53" s="7"/>
      <c r="P53" s="7"/>
      <c r="Q53" s="7"/>
      <c r="R53" s="7"/>
      <c r="S53" s="1"/>
    </row>
    <row r="54" spans="3:19" ht="15.75" customHeight="1" x14ac:dyDescent="0.25">
      <c r="C54" s="10">
        <v>33</v>
      </c>
      <c r="D54" s="11">
        <v>45747</v>
      </c>
      <c r="E54" s="10">
        <v>485</v>
      </c>
      <c r="F54" s="22" t="s">
        <v>268</v>
      </c>
      <c r="G54" s="7">
        <v>500</v>
      </c>
      <c r="H54" s="12">
        <v>194</v>
      </c>
      <c r="I54" s="7"/>
      <c r="J54" s="7"/>
      <c r="K54" s="7"/>
      <c r="L54" s="7"/>
      <c r="M54" s="7"/>
      <c r="N54" s="7"/>
      <c r="O54" s="7"/>
      <c r="P54" s="7"/>
      <c r="Q54" s="7">
        <v>500</v>
      </c>
      <c r="R54" s="7"/>
      <c r="S54" s="1"/>
    </row>
    <row r="55" spans="3:19" ht="15.75" customHeight="1" x14ac:dyDescent="0.25">
      <c r="C55" s="10">
        <v>34</v>
      </c>
      <c r="D55" s="11">
        <v>45734</v>
      </c>
      <c r="E55" s="10" t="s">
        <v>854</v>
      </c>
      <c r="F55" s="22" t="s">
        <v>49</v>
      </c>
      <c r="G55" s="7">
        <v>500</v>
      </c>
      <c r="H55" s="12">
        <v>164</v>
      </c>
      <c r="I55" s="7"/>
      <c r="J55" s="7"/>
      <c r="K55" s="7">
        <v>500</v>
      </c>
      <c r="L55" s="7"/>
      <c r="M55" s="7"/>
      <c r="N55" s="7"/>
      <c r="O55" s="7"/>
      <c r="P55" s="7"/>
      <c r="Q55" s="7"/>
      <c r="R55" s="7"/>
      <c r="S55" s="1"/>
    </row>
    <row r="56" spans="3:19" ht="15.75" customHeight="1" x14ac:dyDescent="0.25">
      <c r="C56" s="10">
        <v>35</v>
      </c>
      <c r="D56" s="15">
        <v>45734</v>
      </c>
      <c r="E56" s="10" t="s">
        <v>854</v>
      </c>
      <c r="F56" s="22" t="s">
        <v>49</v>
      </c>
      <c r="G56" s="7">
        <v>400</v>
      </c>
      <c r="H56" s="12">
        <v>183</v>
      </c>
      <c r="I56" s="7"/>
      <c r="J56" s="7"/>
      <c r="K56" s="7"/>
      <c r="L56" s="7"/>
      <c r="M56" s="7"/>
      <c r="N56" s="7"/>
      <c r="O56" s="7"/>
      <c r="P56" s="7"/>
      <c r="Q56" s="7">
        <v>4000</v>
      </c>
      <c r="R56" s="7"/>
      <c r="S56" s="1"/>
    </row>
    <row r="57" spans="3:19" ht="15.75" customHeight="1" x14ac:dyDescent="0.25">
      <c r="C57" s="10">
        <v>36</v>
      </c>
      <c r="D57" s="11">
        <v>45734</v>
      </c>
      <c r="E57" s="10" t="s">
        <v>855</v>
      </c>
      <c r="F57" s="90" t="s">
        <v>49</v>
      </c>
      <c r="G57" s="7">
        <v>3000</v>
      </c>
      <c r="H57" s="12">
        <v>184</v>
      </c>
      <c r="I57" s="7"/>
      <c r="J57" s="7"/>
      <c r="K57" s="7"/>
      <c r="L57" s="7"/>
      <c r="M57" s="7"/>
      <c r="N57" s="7"/>
      <c r="O57" s="7"/>
      <c r="P57" s="7"/>
      <c r="Q57" s="7">
        <v>3000</v>
      </c>
      <c r="R57" s="7"/>
      <c r="S57" s="1"/>
    </row>
    <row r="58" spans="3:19" ht="15.75" customHeight="1" x14ac:dyDescent="0.25">
      <c r="C58" s="10">
        <v>37</v>
      </c>
      <c r="D58" s="11">
        <v>45734</v>
      </c>
      <c r="E58" s="92" t="s">
        <v>856</v>
      </c>
      <c r="F58" s="90" t="s">
        <v>187</v>
      </c>
      <c r="G58" s="7">
        <v>200</v>
      </c>
      <c r="H58" s="91">
        <v>187</v>
      </c>
      <c r="I58" s="93"/>
      <c r="J58" s="7"/>
      <c r="K58" s="7"/>
      <c r="L58" s="7"/>
      <c r="M58" s="7"/>
      <c r="N58" s="7"/>
      <c r="O58" s="7"/>
      <c r="P58" s="7"/>
      <c r="Q58" s="7">
        <v>200</v>
      </c>
      <c r="R58" s="7"/>
      <c r="S58" s="1"/>
    </row>
    <row r="59" spans="3:19" ht="15.75" customHeight="1" x14ac:dyDescent="0.25">
      <c r="C59" s="10">
        <v>38</v>
      </c>
      <c r="D59" s="11">
        <v>45740</v>
      </c>
      <c r="E59" s="10" t="s">
        <v>857</v>
      </c>
      <c r="F59" s="90" t="s">
        <v>846</v>
      </c>
      <c r="G59" s="7">
        <v>140</v>
      </c>
      <c r="H59" s="91">
        <v>208</v>
      </c>
      <c r="I59" s="7"/>
      <c r="J59" s="7"/>
      <c r="K59" s="7"/>
      <c r="L59" s="7"/>
      <c r="M59" s="7"/>
      <c r="N59" s="7"/>
      <c r="O59" s="7"/>
      <c r="P59" s="7"/>
      <c r="Q59" s="7">
        <v>140</v>
      </c>
      <c r="R59" s="7"/>
      <c r="S59" s="1"/>
    </row>
    <row r="60" spans="3:19" ht="15.75" customHeight="1" x14ac:dyDescent="0.25">
      <c r="C60" s="10">
        <v>41</v>
      </c>
      <c r="D60" s="11">
        <v>45742</v>
      </c>
      <c r="E60" s="10" t="s">
        <v>858</v>
      </c>
      <c r="F60" s="90" t="s">
        <v>32</v>
      </c>
      <c r="G60" s="7">
        <v>640</v>
      </c>
      <c r="H60" s="31"/>
      <c r="I60" s="7"/>
      <c r="J60" s="7"/>
      <c r="K60" s="7"/>
      <c r="L60" s="7"/>
      <c r="M60" s="7"/>
      <c r="N60" s="7"/>
      <c r="O60" s="7"/>
      <c r="P60" s="7"/>
      <c r="Q60" s="7">
        <v>640</v>
      </c>
      <c r="R60" s="7"/>
      <c r="S60" s="1"/>
    </row>
    <row r="61" spans="3:19" ht="15.75" customHeight="1" x14ac:dyDescent="0.25">
      <c r="C61" s="10">
        <v>39</v>
      </c>
      <c r="D61" s="11"/>
      <c r="E61" s="10"/>
      <c r="F61" s="90" t="s">
        <v>104</v>
      </c>
      <c r="G61" s="7"/>
      <c r="H61" s="12"/>
      <c r="I61" s="7"/>
      <c r="J61" s="7"/>
      <c r="K61" s="7"/>
      <c r="L61" s="7"/>
      <c r="M61" s="7"/>
      <c r="N61" s="7"/>
      <c r="O61" s="7"/>
      <c r="P61" s="7"/>
      <c r="Q61" s="7"/>
      <c r="R61" s="7"/>
      <c r="S61" s="1"/>
    </row>
    <row r="62" spans="3:19" ht="15.75" customHeight="1" x14ac:dyDescent="0.25">
      <c r="C62" s="10">
        <v>42</v>
      </c>
      <c r="D62" s="11"/>
      <c r="E62" s="10"/>
      <c r="F62" s="90" t="s">
        <v>832</v>
      </c>
      <c r="G62" s="7"/>
      <c r="H62" s="12"/>
      <c r="I62" s="7"/>
      <c r="J62" s="7"/>
      <c r="K62" s="7"/>
      <c r="L62" s="7"/>
      <c r="M62" s="7"/>
      <c r="N62" s="7"/>
      <c r="O62" s="7"/>
      <c r="P62" s="7"/>
      <c r="Q62" s="7"/>
      <c r="R62" s="7"/>
      <c r="S62" s="1"/>
    </row>
    <row r="63" spans="3:19" ht="15.75" customHeight="1" x14ac:dyDescent="0.25">
      <c r="C63" s="10">
        <v>40</v>
      </c>
      <c r="D63" s="11"/>
      <c r="E63" s="10"/>
      <c r="F63" s="90" t="s">
        <v>44</v>
      </c>
      <c r="G63" s="7"/>
      <c r="H63" s="12"/>
      <c r="I63" s="7"/>
      <c r="J63" s="7"/>
      <c r="K63" s="7"/>
      <c r="L63" s="7"/>
      <c r="M63" s="7"/>
      <c r="N63" s="7"/>
      <c r="O63" s="7"/>
      <c r="P63" s="7"/>
      <c r="Q63" s="7"/>
      <c r="R63" s="7"/>
      <c r="S63" s="1"/>
    </row>
    <row r="64" spans="3:19" ht="15.75" customHeight="1" x14ac:dyDescent="0.25">
      <c r="C64" s="10">
        <v>43</v>
      </c>
      <c r="D64" s="11"/>
      <c r="E64" s="10"/>
      <c r="F64" s="90" t="s">
        <v>63</v>
      </c>
      <c r="G64" s="7"/>
      <c r="H64" s="12"/>
      <c r="I64" s="7"/>
      <c r="J64" s="7"/>
      <c r="K64" s="7"/>
      <c r="L64" s="7"/>
      <c r="M64" s="7"/>
      <c r="N64" s="7"/>
      <c r="O64" s="7"/>
      <c r="P64" s="7"/>
      <c r="Q64" s="7"/>
      <c r="R64" s="7"/>
      <c r="S64" s="1"/>
    </row>
    <row r="65" spans="3:19" ht="15.75" customHeight="1" x14ac:dyDescent="0.25">
      <c r="C65" s="10">
        <v>44</v>
      </c>
      <c r="D65" s="11"/>
      <c r="E65" s="10"/>
      <c r="F65" s="90" t="s">
        <v>833</v>
      </c>
      <c r="G65" s="7"/>
      <c r="H65" s="12"/>
      <c r="I65" s="7"/>
      <c r="J65" s="7"/>
      <c r="K65" s="7"/>
      <c r="L65" s="7"/>
      <c r="M65" s="7"/>
      <c r="N65" s="7"/>
      <c r="O65" s="7"/>
      <c r="P65" s="7"/>
      <c r="Q65" s="7"/>
      <c r="R65" s="7"/>
      <c r="S65" s="1"/>
    </row>
    <row r="66" spans="3:19" ht="15.75" customHeight="1" x14ac:dyDescent="0.25">
      <c r="C66" s="10">
        <v>45</v>
      </c>
      <c r="D66" s="11"/>
      <c r="E66" s="10"/>
      <c r="F66" s="22" t="s">
        <v>614</v>
      </c>
      <c r="G66" s="7"/>
      <c r="H66" s="12"/>
      <c r="I66" s="7"/>
      <c r="J66" s="7"/>
      <c r="K66" s="7"/>
      <c r="L66" s="7"/>
      <c r="M66" s="7"/>
      <c r="N66" s="7"/>
      <c r="O66" s="7"/>
      <c r="P66" s="7"/>
      <c r="Q66" s="7"/>
      <c r="R66" s="7"/>
      <c r="S66" s="1"/>
    </row>
    <row r="67" spans="3:19" ht="15.75" customHeight="1" x14ac:dyDescent="0.25">
      <c r="C67" s="10">
        <v>46</v>
      </c>
      <c r="D67" s="11"/>
      <c r="E67" s="10"/>
      <c r="F67" s="22" t="s">
        <v>162</v>
      </c>
      <c r="G67" s="7"/>
      <c r="H67" s="12"/>
      <c r="I67" s="7"/>
      <c r="J67" s="7"/>
      <c r="K67" s="7"/>
      <c r="L67" s="7"/>
      <c r="M67" s="7"/>
      <c r="N67" s="7"/>
      <c r="O67" s="7"/>
      <c r="P67" s="7"/>
      <c r="Q67" s="7"/>
      <c r="R67" s="7"/>
      <c r="S67" s="1"/>
    </row>
    <row r="68" spans="3:19" ht="15.75" customHeight="1" x14ac:dyDescent="0.25">
      <c r="C68" s="10">
        <v>47</v>
      </c>
      <c r="D68" s="11"/>
      <c r="E68" s="10"/>
      <c r="F68" s="22" t="s">
        <v>775</v>
      </c>
      <c r="G68" s="7"/>
      <c r="H68" s="12"/>
      <c r="I68" s="7"/>
      <c r="J68" s="7"/>
      <c r="K68" s="7"/>
      <c r="L68" s="7"/>
      <c r="M68" s="7"/>
      <c r="N68" s="7"/>
      <c r="O68" s="7"/>
      <c r="P68" s="7"/>
      <c r="Q68" s="7"/>
      <c r="R68" s="7"/>
      <c r="S68" s="1"/>
    </row>
    <row r="69" spans="3:19" ht="15.75" customHeight="1" x14ac:dyDescent="0.25">
      <c r="C69" s="10">
        <v>48</v>
      </c>
      <c r="D69" s="11"/>
      <c r="E69" s="10"/>
      <c r="F69" s="22" t="s">
        <v>162</v>
      </c>
      <c r="G69" s="7"/>
      <c r="H69" s="12"/>
      <c r="I69" s="7"/>
      <c r="J69" s="7"/>
      <c r="K69" s="7"/>
      <c r="L69" s="7"/>
      <c r="M69" s="7"/>
      <c r="N69" s="7"/>
      <c r="O69" s="7"/>
      <c r="P69" s="7"/>
      <c r="Q69" s="7"/>
      <c r="R69" s="7"/>
      <c r="S69" s="1"/>
    </row>
    <row r="70" spans="3:19" ht="15.75" customHeight="1" x14ac:dyDescent="0.25">
      <c r="C70" s="10">
        <v>49</v>
      </c>
      <c r="D70" s="11"/>
      <c r="E70" s="10"/>
      <c r="F70" s="22" t="s">
        <v>758</v>
      </c>
      <c r="G70" s="7"/>
      <c r="H70" s="12"/>
      <c r="I70" s="7"/>
      <c r="J70" s="7"/>
      <c r="K70" s="7"/>
      <c r="L70" s="7"/>
      <c r="M70" s="7"/>
      <c r="N70" s="7"/>
      <c r="O70" s="7"/>
      <c r="P70" s="7"/>
      <c r="Q70" s="7"/>
      <c r="R70" s="7"/>
      <c r="S70" s="1"/>
    </row>
    <row r="71" spans="3:19" ht="15.75" customHeight="1" x14ac:dyDescent="0.25">
      <c r="C71" s="10">
        <v>50</v>
      </c>
      <c r="D71" s="11"/>
      <c r="E71" s="10"/>
      <c r="F71" s="22" t="s">
        <v>80</v>
      </c>
      <c r="G71" s="7"/>
      <c r="H71" s="12"/>
      <c r="I71" s="7"/>
      <c r="J71" s="7"/>
      <c r="K71" s="7"/>
      <c r="L71" s="7"/>
      <c r="M71" s="7"/>
      <c r="N71" s="7"/>
      <c r="O71" s="7"/>
      <c r="P71" s="7"/>
      <c r="Q71" s="7"/>
      <c r="R71" s="7"/>
      <c r="S71" s="1"/>
    </row>
    <row r="72" spans="3:19" ht="15.75" customHeight="1" x14ac:dyDescent="0.25">
      <c r="C72" s="10">
        <v>51</v>
      </c>
      <c r="D72" s="11"/>
      <c r="E72" s="10"/>
      <c r="F72" s="22" t="s">
        <v>614</v>
      </c>
      <c r="G72" s="7"/>
      <c r="H72" s="12"/>
      <c r="I72" s="7"/>
      <c r="J72" s="7"/>
      <c r="K72" s="7"/>
      <c r="L72" s="7"/>
      <c r="M72" s="7"/>
      <c r="N72" s="7"/>
      <c r="O72" s="7"/>
      <c r="P72" s="7"/>
      <c r="Q72" s="7"/>
      <c r="R72" s="7"/>
      <c r="S72" s="1"/>
    </row>
    <row r="73" spans="3:19" ht="15.75" customHeight="1" x14ac:dyDescent="0.25">
      <c r="C73" s="10">
        <v>52</v>
      </c>
      <c r="D73" s="11"/>
      <c r="E73" s="10"/>
      <c r="F73" s="22" t="s">
        <v>331</v>
      </c>
      <c r="G73" s="7"/>
      <c r="H73" s="31"/>
      <c r="I73" s="7"/>
      <c r="J73" s="7"/>
      <c r="K73" s="7"/>
      <c r="L73" s="7"/>
      <c r="M73" s="7"/>
      <c r="N73" s="7"/>
      <c r="O73" s="7"/>
      <c r="P73" s="7"/>
      <c r="Q73" s="7"/>
      <c r="R73" s="7"/>
      <c r="S73" s="1"/>
    </row>
    <row r="74" spans="3:19" ht="15.75" customHeight="1" x14ac:dyDescent="0.25">
      <c r="C74" s="10">
        <v>53</v>
      </c>
      <c r="D74" s="11"/>
      <c r="E74" s="10"/>
      <c r="F74" s="22" t="s">
        <v>614</v>
      </c>
      <c r="G74" s="7"/>
      <c r="H74" s="12"/>
      <c r="I74" s="7"/>
      <c r="J74" s="7"/>
      <c r="K74" s="7"/>
      <c r="L74" s="7"/>
      <c r="M74" s="7"/>
      <c r="N74" s="7"/>
      <c r="O74" s="7"/>
      <c r="P74" s="7"/>
      <c r="Q74" s="7"/>
      <c r="R74" s="7"/>
      <c r="S74" s="1"/>
    </row>
    <row r="75" spans="3:19" ht="15.75" customHeight="1" x14ac:dyDescent="0.25">
      <c r="C75" s="10">
        <v>54</v>
      </c>
      <c r="D75" s="11"/>
      <c r="E75" s="10"/>
      <c r="F75" s="22" t="s">
        <v>771</v>
      </c>
      <c r="G75" s="7"/>
      <c r="H75" s="12"/>
      <c r="I75" s="7"/>
      <c r="J75" s="7"/>
      <c r="K75" s="7"/>
      <c r="L75" s="7"/>
      <c r="M75" s="7"/>
      <c r="N75" s="7"/>
      <c r="O75" s="7"/>
      <c r="P75" s="7"/>
      <c r="Q75" s="7"/>
      <c r="R75" s="7"/>
      <c r="S75" s="1"/>
    </row>
    <row r="76" spans="3:19" ht="15.75" customHeight="1" x14ac:dyDescent="0.25">
      <c r="C76" s="10">
        <v>55</v>
      </c>
      <c r="D76" s="11"/>
      <c r="E76" s="10"/>
      <c r="F76" s="22" t="s">
        <v>777</v>
      </c>
      <c r="G76" s="7"/>
      <c r="H76" s="12"/>
      <c r="I76" s="7"/>
      <c r="J76" s="7"/>
      <c r="K76" s="7"/>
      <c r="L76" s="7"/>
      <c r="M76" s="7"/>
      <c r="N76" s="7"/>
      <c r="O76" s="7"/>
      <c r="P76" s="7"/>
      <c r="Q76" s="7"/>
      <c r="R76" s="7"/>
      <c r="S76" s="1"/>
    </row>
    <row r="77" spans="3:19" ht="15.75" customHeight="1" x14ac:dyDescent="0.25">
      <c r="C77" s="10">
        <v>56</v>
      </c>
      <c r="D77" s="11"/>
      <c r="E77" s="10"/>
      <c r="F77" s="22" t="s">
        <v>44</v>
      </c>
      <c r="G77" s="7"/>
      <c r="H77" s="12"/>
      <c r="I77" s="7"/>
      <c r="J77" s="7"/>
      <c r="K77" s="7"/>
      <c r="L77" s="7"/>
      <c r="M77" s="7"/>
      <c r="N77" s="7"/>
      <c r="O77" s="7"/>
      <c r="P77" s="7"/>
      <c r="Q77" s="7"/>
      <c r="R77" s="7"/>
      <c r="S77" s="1"/>
    </row>
    <row r="78" spans="3:19" ht="15.75" customHeight="1" x14ac:dyDescent="0.25">
      <c r="C78" s="10">
        <v>57</v>
      </c>
      <c r="D78" s="11"/>
      <c r="E78" s="10"/>
      <c r="F78" s="22" t="s">
        <v>482</v>
      </c>
      <c r="G78" s="7"/>
      <c r="H78" s="12"/>
      <c r="I78" s="7"/>
      <c r="J78" s="7"/>
      <c r="K78" s="7"/>
      <c r="L78" s="7"/>
      <c r="M78" s="7"/>
      <c r="N78" s="7"/>
      <c r="O78" s="7"/>
      <c r="P78" s="7"/>
      <c r="Q78" s="7"/>
      <c r="R78" s="7"/>
      <c r="S78" s="1"/>
    </row>
    <row r="79" spans="3:19" ht="15.75" customHeight="1" x14ac:dyDescent="0.25">
      <c r="C79" s="10">
        <v>58</v>
      </c>
      <c r="D79" s="11"/>
      <c r="E79" s="10"/>
      <c r="F79" s="22" t="s">
        <v>65</v>
      </c>
      <c r="G79" s="7"/>
      <c r="H79" s="12"/>
      <c r="I79" s="7"/>
      <c r="J79" s="7"/>
      <c r="K79" s="7"/>
      <c r="L79" s="7"/>
      <c r="M79" s="7"/>
      <c r="N79" s="7"/>
      <c r="O79" s="7"/>
      <c r="P79" s="7"/>
      <c r="Q79" s="7"/>
      <c r="R79" s="7"/>
      <c r="S79" s="1"/>
    </row>
    <row r="80" spans="3:19" ht="15.75" customHeight="1" x14ac:dyDescent="0.25">
      <c r="C80" s="10">
        <v>59</v>
      </c>
      <c r="D80" s="11"/>
      <c r="E80" s="10"/>
      <c r="F80" s="22" t="s">
        <v>175</v>
      </c>
      <c r="G80" s="7"/>
      <c r="H80" s="12"/>
      <c r="I80" s="7"/>
      <c r="J80" s="7"/>
      <c r="K80" s="7"/>
      <c r="L80" s="7"/>
      <c r="M80" s="7"/>
      <c r="N80" s="7"/>
      <c r="O80" s="7"/>
      <c r="P80" s="7"/>
      <c r="Q80" s="7"/>
      <c r="R80" s="7"/>
      <c r="S80" s="1"/>
    </row>
    <row r="81" spans="3:18" ht="15.75" customHeight="1" x14ac:dyDescent="0.25">
      <c r="C81" s="10">
        <v>60</v>
      </c>
      <c r="D81" s="11"/>
      <c r="E81" s="10"/>
      <c r="F81" s="22" t="s">
        <v>268</v>
      </c>
      <c r="G81" s="7"/>
      <c r="H81" s="12"/>
      <c r="I81" s="7"/>
      <c r="J81" s="7"/>
      <c r="K81" s="7"/>
      <c r="L81" s="7"/>
      <c r="M81" s="7"/>
      <c r="N81" s="7"/>
      <c r="O81" s="7"/>
      <c r="P81" s="7"/>
      <c r="Q81" s="7"/>
      <c r="R81" s="7"/>
    </row>
    <row r="82" spans="3:18" ht="15.75" customHeight="1" x14ac:dyDescent="0.25">
      <c r="C82" s="10">
        <v>61</v>
      </c>
      <c r="D82" s="11"/>
      <c r="E82" s="10"/>
      <c r="F82" s="22" t="s">
        <v>80</v>
      </c>
      <c r="G82" s="7"/>
      <c r="H82" s="12"/>
      <c r="I82" s="7"/>
      <c r="J82" s="7"/>
      <c r="K82" s="7"/>
      <c r="L82" s="7"/>
      <c r="M82" s="7"/>
      <c r="N82" s="7"/>
      <c r="O82" s="7"/>
      <c r="P82" s="7"/>
      <c r="Q82" s="7"/>
      <c r="R82" s="7"/>
    </row>
    <row r="83" spans="3:18" ht="15.75" customHeight="1" x14ac:dyDescent="0.25">
      <c r="C83" s="10">
        <v>62</v>
      </c>
      <c r="D83" s="11"/>
      <c r="E83" s="10"/>
      <c r="F83" s="22" t="s">
        <v>51</v>
      </c>
      <c r="G83" s="7"/>
      <c r="H83" s="12"/>
      <c r="I83" s="7"/>
      <c r="J83" s="7"/>
      <c r="K83" s="7"/>
      <c r="L83" s="7"/>
      <c r="M83" s="7"/>
      <c r="N83" s="7"/>
      <c r="O83" s="7"/>
      <c r="P83" s="7"/>
      <c r="Q83" s="7"/>
      <c r="R83" s="7"/>
    </row>
    <row r="84" spans="3:18" ht="15.75" customHeight="1" x14ac:dyDescent="0.25">
      <c r="C84" s="10">
        <v>63</v>
      </c>
      <c r="D84" s="11"/>
      <c r="E84" s="10"/>
      <c r="F84" s="22" t="s">
        <v>673</v>
      </c>
      <c r="G84" s="7"/>
      <c r="H84" s="12"/>
      <c r="I84" s="7"/>
      <c r="J84" s="7"/>
      <c r="K84" s="7"/>
      <c r="L84" s="7"/>
      <c r="M84" s="7"/>
      <c r="N84" s="7"/>
      <c r="O84" s="7"/>
      <c r="P84" s="7"/>
      <c r="Q84" s="7"/>
      <c r="R84" s="7"/>
    </row>
    <row r="85" spans="3:18" ht="15.75" customHeight="1" x14ac:dyDescent="0.25">
      <c r="C85" s="10">
        <v>64</v>
      </c>
      <c r="D85" s="11"/>
      <c r="E85" s="10"/>
      <c r="F85" s="22" t="s">
        <v>269</v>
      </c>
      <c r="G85" s="7"/>
      <c r="H85" s="12"/>
      <c r="I85" s="7"/>
      <c r="J85" s="7"/>
      <c r="K85" s="7"/>
      <c r="L85" s="7"/>
      <c r="M85" s="7"/>
      <c r="N85" s="7"/>
      <c r="O85" s="7"/>
      <c r="P85" s="7"/>
      <c r="Q85" s="7"/>
      <c r="R85" s="7"/>
    </row>
    <row r="86" spans="3:18" ht="15.75" customHeight="1" x14ac:dyDescent="0.25">
      <c r="C86" s="10">
        <v>65</v>
      </c>
      <c r="D86" s="11"/>
      <c r="E86" s="10"/>
      <c r="F86" s="22" t="s">
        <v>269</v>
      </c>
      <c r="G86" s="7"/>
      <c r="H86" s="12"/>
      <c r="I86" s="7"/>
      <c r="J86" s="7"/>
      <c r="K86" s="7"/>
      <c r="L86" s="7"/>
      <c r="M86" s="7"/>
      <c r="N86" s="7"/>
      <c r="O86" s="7"/>
      <c r="P86" s="7"/>
      <c r="Q86" s="7"/>
      <c r="R86" s="7"/>
    </row>
    <row r="87" spans="3:18" ht="15.75" customHeight="1" x14ac:dyDescent="0.25">
      <c r="C87" s="10">
        <v>66</v>
      </c>
      <c r="D87" s="11"/>
      <c r="E87" s="10"/>
      <c r="F87" s="22" t="s">
        <v>80</v>
      </c>
      <c r="G87" s="7"/>
      <c r="H87" s="12"/>
      <c r="I87" s="7"/>
      <c r="J87" s="7"/>
      <c r="K87" s="7"/>
      <c r="L87" s="7"/>
      <c r="M87" s="7"/>
      <c r="N87" s="7"/>
      <c r="O87" s="7"/>
      <c r="P87" s="7"/>
      <c r="Q87" s="7"/>
      <c r="R87" s="7"/>
    </row>
    <row r="88" spans="3:18" ht="15.75" customHeight="1" x14ac:dyDescent="0.25">
      <c r="C88" s="10">
        <v>67</v>
      </c>
      <c r="D88" s="11"/>
      <c r="E88" s="10"/>
      <c r="F88" s="22" t="s">
        <v>32</v>
      </c>
      <c r="G88" s="7"/>
      <c r="H88" s="12"/>
      <c r="I88" s="7"/>
      <c r="J88" s="7"/>
      <c r="K88" s="7"/>
      <c r="L88" s="7"/>
      <c r="M88" s="7"/>
      <c r="N88" s="7"/>
      <c r="O88" s="7"/>
      <c r="P88" s="7"/>
      <c r="Q88" s="7"/>
      <c r="R88" s="7"/>
    </row>
    <row r="89" spans="3:18" ht="15.75" customHeight="1" x14ac:dyDescent="0.25">
      <c r="C89" s="10">
        <v>68</v>
      </c>
      <c r="D89" s="11"/>
      <c r="E89" s="10"/>
      <c r="F89" s="22" t="s">
        <v>52</v>
      </c>
      <c r="G89" s="7"/>
      <c r="H89" s="12"/>
      <c r="I89" s="7"/>
      <c r="J89" s="7"/>
      <c r="K89" s="7"/>
      <c r="L89" s="7"/>
      <c r="M89" s="7"/>
      <c r="N89" s="7"/>
      <c r="O89" s="7"/>
      <c r="P89" s="7"/>
      <c r="Q89" s="7"/>
      <c r="R89" s="7"/>
    </row>
    <row r="90" spans="3:18" ht="15.75" customHeight="1" x14ac:dyDescent="0.25">
      <c r="C90" s="10">
        <v>69</v>
      </c>
      <c r="D90" s="11"/>
      <c r="E90" s="10"/>
      <c r="F90" s="22" t="s">
        <v>52</v>
      </c>
      <c r="G90" s="7"/>
      <c r="H90" s="12"/>
      <c r="I90" s="7"/>
      <c r="J90" s="7"/>
      <c r="K90" s="7"/>
      <c r="L90" s="7"/>
      <c r="M90" s="7"/>
      <c r="N90" s="7"/>
      <c r="O90" s="7"/>
      <c r="P90" s="7"/>
      <c r="Q90" s="7"/>
      <c r="R90" s="7"/>
    </row>
    <row r="91" spans="3:18" ht="15.75" customHeight="1" x14ac:dyDescent="0.25">
      <c r="C91" s="10">
        <v>70</v>
      </c>
      <c r="D91" s="11"/>
      <c r="E91" s="10"/>
      <c r="F91" s="22" t="s">
        <v>333</v>
      </c>
      <c r="G91" s="7"/>
      <c r="H91" s="12"/>
      <c r="I91" s="7"/>
      <c r="J91" s="7"/>
      <c r="K91" s="7"/>
      <c r="L91" s="7"/>
      <c r="M91" s="7"/>
      <c r="N91" s="7"/>
      <c r="O91" s="7"/>
      <c r="P91" s="7"/>
      <c r="Q91" s="7"/>
      <c r="R91" s="7"/>
    </row>
    <row r="92" spans="3:18" ht="15.75" customHeight="1" x14ac:dyDescent="0.25">
      <c r="C92" s="10">
        <v>71</v>
      </c>
      <c r="D92" s="11"/>
      <c r="E92" s="10"/>
      <c r="F92" s="22" t="s">
        <v>57</v>
      </c>
      <c r="G92" s="7"/>
      <c r="H92" s="12"/>
      <c r="I92" s="7"/>
      <c r="J92" s="7"/>
      <c r="K92" s="7"/>
      <c r="L92" s="7"/>
      <c r="M92" s="7"/>
      <c r="N92" s="7"/>
      <c r="O92" s="7"/>
      <c r="P92" s="7"/>
      <c r="Q92" s="14"/>
      <c r="R92" s="7"/>
    </row>
    <row r="93" spans="3:18" ht="15.75" customHeight="1" x14ac:dyDescent="0.25">
      <c r="C93" s="10">
        <v>72</v>
      </c>
      <c r="D93" s="11"/>
      <c r="E93" s="10"/>
      <c r="F93" s="22" t="s">
        <v>162</v>
      </c>
      <c r="G93" s="7"/>
      <c r="H93" s="12"/>
      <c r="I93" s="7"/>
      <c r="J93" s="7"/>
      <c r="K93" s="7"/>
      <c r="L93" s="7"/>
      <c r="M93" s="7"/>
      <c r="N93" s="7"/>
      <c r="O93" s="7"/>
      <c r="P93" s="7"/>
      <c r="Q93" s="7"/>
      <c r="R93" s="7"/>
    </row>
    <row r="94" spans="3:18" ht="15.75" customHeight="1" x14ac:dyDescent="0.25">
      <c r="C94" s="10">
        <v>73</v>
      </c>
      <c r="D94" s="11"/>
      <c r="E94" s="10"/>
      <c r="F94" s="22" t="s">
        <v>771</v>
      </c>
      <c r="G94" s="7"/>
      <c r="H94" s="12"/>
      <c r="I94" s="7"/>
      <c r="J94" s="7"/>
      <c r="K94" s="7"/>
      <c r="L94" s="7"/>
      <c r="M94" s="7"/>
      <c r="N94" s="7"/>
      <c r="O94" s="7"/>
      <c r="P94" s="7"/>
      <c r="Q94" s="7"/>
      <c r="R94" s="7"/>
    </row>
    <row r="95" spans="3:18" ht="15.75" customHeight="1" x14ac:dyDescent="0.25">
      <c r="C95" s="10">
        <v>74</v>
      </c>
      <c r="D95" s="11"/>
      <c r="E95" s="10"/>
      <c r="F95" s="22" t="s">
        <v>789</v>
      </c>
      <c r="G95" s="7"/>
      <c r="H95" s="12"/>
      <c r="I95" s="7"/>
      <c r="J95" s="7"/>
      <c r="K95" s="7"/>
      <c r="L95" s="7"/>
      <c r="M95" s="7"/>
      <c r="N95" s="7"/>
      <c r="O95" s="7"/>
      <c r="P95" s="7"/>
      <c r="Q95" s="7"/>
      <c r="R95" s="7"/>
    </row>
    <row r="96" spans="3:18" ht="15.75" customHeight="1" x14ac:dyDescent="0.25">
      <c r="C96" s="10">
        <v>75</v>
      </c>
      <c r="D96" s="11"/>
      <c r="E96" s="10"/>
      <c r="F96" s="22" t="s">
        <v>190</v>
      </c>
      <c r="G96" s="7"/>
      <c r="H96" s="12"/>
      <c r="I96" s="7"/>
      <c r="J96" s="7"/>
      <c r="K96" s="7"/>
      <c r="L96" s="7"/>
      <c r="M96" s="7"/>
      <c r="N96" s="7"/>
      <c r="O96" s="7"/>
      <c r="P96" s="7"/>
      <c r="Q96" s="7"/>
      <c r="R96" s="7"/>
    </row>
    <row r="97" spans="3:18" ht="15.75" customHeight="1" x14ac:dyDescent="0.25">
      <c r="C97" s="10">
        <v>76</v>
      </c>
      <c r="D97" s="11"/>
      <c r="E97" s="10"/>
      <c r="F97" s="22" t="s">
        <v>331</v>
      </c>
      <c r="G97" s="7"/>
      <c r="H97" s="12"/>
      <c r="I97" s="7"/>
      <c r="J97" s="7"/>
      <c r="K97" s="7"/>
      <c r="L97" s="7"/>
      <c r="M97" s="7"/>
      <c r="N97" s="7"/>
      <c r="O97" s="7"/>
      <c r="P97" s="7"/>
      <c r="Q97" s="7"/>
      <c r="R97" s="7"/>
    </row>
    <row r="98" spans="3:18" ht="15.75" customHeight="1" x14ac:dyDescent="0.25">
      <c r="C98" s="10">
        <v>77</v>
      </c>
      <c r="D98" s="11"/>
      <c r="E98" s="10"/>
      <c r="F98" s="22" t="s">
        <v>69</v>
      </c>
      <c r="G98" s="7"/>
      <c r="H98" s="12"/>
      <c r="I98" s="7"/>
      <c r="J98" s="7"/>
      <c r="K98" s="7"/>
      <c r="L98" s="7"/>
      <c r="M98" s="7"/>
      <c r="N98" s="7"/>
      <c r="O98" s="7"/>
      <c r="P98" s="7"/>
      <c r="Q98" s="7"/>
      <c r="R98" s="7"/>
    </row>
    <row r="99" spans="3:18" ht="15.75" customHeight="1" x14ac:dyDescent="0.25">
      <c r="C99" s="10">
        <v>78</v>
      </c>
      <c r="D99" s="11"/>
      <c r="E99" s="10"/>
      <c r="F99" s="22" t="s">
        <v>52</v>
      </c>
      <c r="G99" s="7"/>
      <c r="H99" s="12"/>
      <c r="I99" s="7"/>
      <c r="J99" s="7"/>
      <c r="K99" s="7"/>
      <c r="L99" s="7"/>
      <c r="M99" s="7"/>
      <c r="N99" s="7"/>
      <c r="O99" s="7"/>
      <c r="P99" s="7"/>
      <c r="Q99" s="7"/>
      <c r="R99" s="7"/>
    </row>
    <row r="100" spans="3:18" ht="15.75" customHeight="1" x14ac:dyDescent="0.25">
      <c r="C100" s="10">
        <v>79</v>
      </c>
      <c r="D100" s="11"/>
      <c r="E100" s="10"/>
      <c r="F100" s="22" t="s">
        <v>37</v>
      </c>
      <c r="G100" s="7"/>
      <c r="H100" s="12"/>
      <c r="I100" s="7"/>
      <c r="J100" s="7"/>
      <c r="K100" s="7"/>
      <c r="L100" s="7"/>
      <c r="M100" s="7"/>
      <c r="N100" s="7"/>
      <c r="O100" s="7"/>
      <c r="P100" s="7"/>
      <c r="Q100" s="7"/>
      <c r="R100" s="7"/>
    </row>
    <row r="101" spans="3:18" ht="15.75" customHeight="1" x14ac:dyDescent="0.25">
      <c r="C101" s="10">
        <v>80</v>
      </c>
      <c r="D101" s="11"/>
      <c r="E101" s="10"/>
      <c r="F101" s="22" t="s">
        <v>220</v>
      </c>
      <c r="G101" s="7"/>
      <c r="H101" s="12"/>
      <c r="I101" s="7"/>
      <c r="J101" s="7"/>
      <c r="K101" s="7"/>
      <c r="L101" s="7"/>
      <c r="M101" s="7"/>
      <c r="N101" s="7"/>
      <c r="O101" s="7"/>
      <c r="P101" s="7"/>
      <c r="Q101" s="7"/>
      <c r="R101" s="7"/>
    </row>
    <row r="102" spans="3:18" ht="15.75" customHeight="1" x14ac:dyDescent="0.25">
      <c r="C102" s="10">
        <v>81</v>
      </c>
      <c r="D102" s="11"/>
      <c r="E102" s="10"/>
      <c r="F102" s="22" t="s">
        <v>333</v>
      </c>
      <c r="G102" s="7"/>
      <c r="H102" s="12"/>
      <c r="I102" s="7"/>
      <c r="J102" s="7"/>
      <c r="K102" s="7"/>
      <c r="L102" s="7"/>
      <c r="M102" s="7"/>
      <c r="N102" s="7"/>
      <c r="O102" s="7"/>
      <c r="P102" s="7"/>
      <c r="Q102" s="7"/>
      <c r="R102" s="14"/>
    </row>
    <row r="103" spans="3:18" ht="15.75" customHeight="1" x14ac:dyDescent="0.25">
      <c r="C103" s="13" t="s">
        <v>3</v>
      </c>
      <c r="D103" s="88" t="s">
        <v>742</v>
      </c>
      <c r="E103" s="13"/>
      <c r="F103" s="25"/>
      <c r="G103" s="14">
        <f>SUM(G21:G102)</f>
        <v>79905</v>
      </c>
      <c r="H103" s="14"/>
      <c r="I103" s="14">
        <f t="shared" ref="I103:Q103" si="9">SUM(I21:I102)</f>
        <v>74140</v>
      </c>
      <c r="J103" s="14">
        <f t="shared" si="9"/>
        <v>7500</v>
      </c>
      <c r="K103" s="14">
        <f t="shared" si="9"/>
        <v>2925</v>
      </c>
      <c r="L103" s="14">
        <f t="shared" si="9"/>
        <v>0</v>
      </c>
      <c r="M103" s="14">
        <f t="shared" si="9"/>
        <v>0</v>
      </c>
      <c r="N103" s="14">
        <f t="shared" si="9"/>
        <v>0</v>
      </c>
      <c r="O103" s="14">
        <f t="shared" si="9"/>
        <v>0</v>
      </c>
      <c r="P103" s="14">
        <f t="shared" si="9"/>
        <v>0</v>
      </c>
      <c r="Q103" s="14">
        <f t="shared" si="9"/>
        <v>9940</v>
      </c>
      <c r="R103" s="14"/>
    </row>
    <row r="104" spans="3:18" ht="15.75" customHeight="1" x14ac:dyDescent="0.25">
      <c r="C104" s="1"/>
      <c r="E104" s="1"/>
      <c r="F104" s="16"/>
    </row>
    <row r="105" spans="3:18" ht="15.75" customHeight="1" x14ac:dyDescent="0.25">
      <c r="C105" s="1"/>
      <c r="D105" s="89"/>
      <c r="E105" s="1"/>
      <c r="F105" s="16"/>
      <c r="I105" s="33">
        <f>SUM('March 25'!$I$103:'March 25'!$Q$103)</f>
        <v>94505</v>
      </c>
    </row>
    <row r="106" spans="3:18" ht="15.75" customHeight="1" x14ac:dyDescent="0.25">
      <c r="E106" s="1"/>
      <c r="F106" s="16"/>
    </row>
    <row r="107" spans="3:18" ht="15.75" customHeight="1" x14ac:dyDescent="0.25"/>
    <row r="108" spans="3:18" ht="15.75" customHeight="1" x14ac:dyDescent="0.25"/>
    <row r="109" spans="3:18" ht="15.75" customHeight="1" x14ac:dyDescent="0.25"/>
    <row r="110" spans="3:18" ht="15.75" customHeight="1" x14ac:dyDescent="0.25"/>
    <row r="111" spans="3:18" ht="15.75" customHeight="1" x14ac:dyDescent="0.25"/>
    <row r="112" spans="3:18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</sheetData>
  <mergeCells count="12">
    <mergeCell ref="T33:V33"/>
    <mergeCell ref="T34:V34"/>
    <mergeCell ref="T35:V35"/>
    <mergeCell ref="T36:V36"/>
    <mergeCell ref="T37:V37"/>
    <mergeCell ref="T32:V32"/>
    <mergeCell ref="X32:Y32"/>
    <mergeCell ref="C11:D11"/>
    <mergeCell ref="C18:E18"/>
    <mergeCell ref="T20:W20"/>
    <mergeCell ref="T21:V21"/>
    <mergeCell ref="X31:Y31"/>
  </mergeCells>
  <pageMargins left="0.7" right="0.7" top="0.75" bottom="0.75" header="0" footer="0"/>
  <pageSetup orientation="portrait" r:id="rId1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"/>
  <sheetViews>
    <sheetView workbookViewId="0">
      <selection activeCell="E3" sqref="E3:N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Jan 2023</vt:lpstr>
      <vt:lpstr>Feb 2023</vt:lpstr>
      <vt:lpstr>March 2023</vt:lpstr>
      <vt:lpstr>April 2023</vt:lpstr>
      <vt:lpstr>May 2023</vt:lpstr>
      <vt:lpstr>June 2023</vt:lpstr>
      <vt:lpstr>July 2023</vt:lpstr>
      <vt:lpstr>Aug 2023</vt:lpstr>
      <vt:lpstr>Sept 2023</vt:lpstr>
      <vt:lpstr>Oct 2023</vt:lpstr>
      <vt:lpstr>Nov 2023</vt:lpstr>
      <vt:lpstr>Dec 2023</vt:lpstr>
      <vt:lpstr>Jan 2024</vt:lpstr>
      <vt:lpstr>Feb 24</vt:lpstr>
      <vt:lpstr>Mar 24</vt:lpstr>
      <vt:lpstr>April 24</vt:lpstr>
      <vt:lpstr>May 2024</vt:lpstr>
      <vt:lpstr>June 24</vt:lpstr>
      <vt:lpstr>July 24</vt:lpstr>
      <vt:lpstr>Aug 24</vt:lpstr>
      <vt:lpstr>Sept 24</vt:lpstr>
      <vt:lpstr>Oct 24</vt:lpstr>
      <vt:lpstr>Nov 24</vt:lpstr>
      <vt:lpstr>Dec 24</vt:lpstr>
      <vt:lpstr>Jan 25</vt:lpstr>
      <vt:lpstr>Feb 25</vt:lpstr>
      <vt:lpstr>March 25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Manish Agarwal</cp:lastModifiedBy>
  <dcterms:created xsi:type="dcterms:W3CDTF">2006-09-16T00:00:00Z</dcterms:created>
  <dcterms:modified xsi:type="dcterms:W3CDTF">2026-03-08T08:05:35Z</dcterms:modified>
</cp:coreProperties>
</file>