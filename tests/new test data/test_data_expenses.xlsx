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a\Downloads\"/>
    </mc:Choice>
  </mc:AlternateContent>
  <xr:revisionPtr revIDLastSave="0" documentId="8_{A36950E9-47C6-4E83-92D0-2E08E2F28E9E}" xr6:coauthVersionLast="47" xr6:coauthVersionMax="47" xr10:uidLastSave="{00000000-0000-0000-0000-000000000000}"/>
  <bookViews>
    <workbookView xWindow="2964" yWindow="2964" windowWidth="17280" windowHeight="8880" xr2:uid="{4278B5DE-84C1-4ACF-A4EE-26A99C7C171C}"/>
  </bookViews>
  <sheets>
    <sheet name="Expens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F32" i="1"/>
  <c r="G32" i="1"/>
</calcChain>
</file>

<file path=xl/sharedStrings.xml><?xml version="1.0" encoding="utf-8"?>
<sst xmlns="http://schemas.openxmlformats.org/spreadsheetml/2006/main" count="194" uniqueCount="88">
  <si>
    <t>TOTALS</t>
  </si>
  <si>
    <t>Approved</t>
  </si>
  <si>
    <t>2026-02-26</t>
  </si>
  <si>
    <t>Yes</t>
  </si>
  <si>
    <t>Professional Fees</t>
  </si>
  <si>
    <t>Suresh Reddy</t>
  </si>
  <si>
    <t>EXP-530</t>
  </si>
  <si>
    <t>2026-01-20</t>
  </si>
  <si>
    <t>Courier &amp; Freight</t>
  </si>
  <si>
    <t>Priya Kapoor</t>
  </si>
  <si>
    <t>EXP-529</t>
  </si>
  <si>
    <t>2026-02-16</t>
  </si>
  <si>
    <t>Office Supplies</t>
  </si>
  <si>
    <t>Karan Mehta</t>
  </si>
  <si>
    <t>EXP-528</t>
  </si>
  <si>
    <t>⚠ FLAGGED</t>
  </si>
  <si>
    <t>Pending Review</t>
  </si>
  <si>
    <t>2026-02-20</t>
  </si>
  <si>
    <t>Vijay Bose</t>
  </si>
  <si>
    <t>EXP-527</t>
  </si>
  <si>
    <t>2026-01-05</t>
  </si>
  <si>
    <t>Travel &amp; Conveyance</t>
  </si>
  <si>
    <t>EXP-526</t>
  </si>
  <si>
    <t>2026-01-29</t>
  </si>
  <si>
    <t>Maintenance &amp; Repairs</t>
  </si>
  <si>
    <t>Sneha Patil</t>
  </si>
  <si>
    <t>EXP-525</t>
  </si>
  <si>
    <t>2026-03-11</t>
  </si>
  <si>
    <t>Pooja Iyer</t>
  </si>
  <si>
    <t>EXP-524</t>
  </si>
  <si>
    <t>2026-03-01</t>
  </si>
  <si>
    <t>Ravi Kumar</t>
  </si>
  <si>
    <t>EXP-523</t>
  </si>
  <si>
    <t>2026-02-07</t>
  </si>
  <si>
    <t>Miscellaneous</t>
  </si>
  <si>
    <t>Amit Sharma</t>
  </si>
  <si>
    <t>EXP-522</t>
  </si>
  <si>
    <t>EXP-521</t>
  </si>
  <si>
    <t>2026-03-14</t>
  </si>
  <si>
    <t>EXP-520</t>
  </si>
  <si>
    <t>2026-02-09</t>
  </si>
  <si>
    <t>Marketing &amp; Ads</t>
  </si>
  <si>
    <t>EXP-519</t>
  </si>
  <si>
    <t>2026-02-25</t>
  </si>
  <si>
    <t>Deepa Nair</t>
  </si>
  <si>
    <t>EXP-518</t>
  </si>
  <si>
    <t>2026-02-03</t>
  </si>
  <si>
    <t>No</t>
  </si>
  <si>
    <t>Utilities</t>
  </si>
  <si>
    <t>EXP-517</t>
  </si>
  <si>
    <t>2026-02-02</t>
  </si>
  <si>
    <t>EXP-516</t>
  </si>
  <si>
    <t>2026-01-18</t>
  </si>
  <si>
    <t>Staff Meals</t>
  </si>
  <si>
    <t>EXP-515</t>
  </si>
  <si>
    <t>EXP-514</t>
  </si>
  <si>
    <t>2026-01-27</t>
  </si>
  <si>
    <t>Software Subscriptions</t>
  </si>
  <si>
    <t>EXP-513</t>
  </si>
  <si>
    <t>2026-01-24</t>
  </si>
  <si>
    <t>EXP-512</t>
  </si>
  <si>
    <t>EXP-511</t>
  </si>
  <si>
    <t>2026-01-10</t>
  </si>
  <si>
    <t>EXP-510</t>
  </si>
  <si>
    <t>EXP-509</t>
  </si>
  <si>
    <t>2026-03-20</t>
  </si>
  <si>
    <t>EXP-508</t>
  </si>
  <si>
    <t>EXP-507</t>
  </si>
  <si>
    <t>2026-02-28</t>
  </si>
  <si>
    <t>EXP-506</t>
  </si>
  <si>
    <t>EXP-505</t>
  </si>
  <si>
    <t>EXP-504</t>
  </si>
  <si>
    <t>2026-01-11</t>
  </si>
  <si>
    <t>EXP-503</t>
  </si>
  <si>
    <t>2026-01-31</t>
  </si>
  <si>
    <t>EXP-502</t>
  </si>
  <si>
    <t>2026-02-10</t>
  </si>
  <si>
    <t>EXP-501</t>
  </si>
  <si>
    <t>Anomaly Flag</t>
  </si>
  <si>
    <t>Approval Status</t>
  </si>
  <si>
    <t>Date</t>
  </si>
  <si>
    <t>ITC Eligible</t>
  </si>
  <si>
    <t>Total (₹)</t>
  </si>
  <si>
    <t>GST Amount (₹)</t>
  </si>
  <si>
    <t>GST %</t>
  </si>
  <si>
    <t>Amount (₹)</t>
  </si>
  <si>
    <t>Category</t>
  </si>
  <si>
    <t>Submitted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</si>
</sst>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CC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BF2FF"/>
      </patternFill>
    </fill>
    <fill>
      <patternFill patternType="solid">
        <fgColor rgb="FFEBF2FF"/>
        <bgColor rgb="FFFFFFFF"/>
      </patternFill>
    </fill>
    <fill>
      <patternFill patternType="solid">
        <fgColor rgb="FFFFD7D7"/>
        <bgColor rgb="FFFFF3C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1" fillId="2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D789-DFDA-424A-9B5B-3F5BA9F4619D}">
  <dimension ref="A1:K32"/>
  <sheetViews>
    <sheetView tabSelected="1" zoomScaleNormal="100" workbookViewId="0">
      <pane ySplit="1" topLeftCell="A4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0" customWidth="1"/>
    <col min="3" max="3" width="26" customWidth="1"/>
    <col min="4" max="4" width="16" customWidth="1"/>
    <col min="5" max="5" width="8" customWidth="1"/>
    <col min="6" max="7" width="16" customWidth="1"/>
    <col min="8" max="9" width="14" customWidth="1"/>
    <col min="10" max="10" width="18" customWidth="1"/>
    <col min="11" max="11" width="16" customWidth="1"/>
  </cols>
  <sheetData>
    <row r="1" spans="1:11" ht="27.6" x14ac:dyDescent="0.3">
      <c r="A1" s="13"/>
      <c r="B1" s="13" t="s">
        <v>87</v>
      </c>
      <c r="C1" s="13" t="s">
        <v>86</v>
      </c>
      <c r="D1" s="13" t="s">
        <v>85</v>
      </c>
      <c r="E1" s="13" t="s">
        <v>84</v>
      </c>
      <c r="F1" s="13" t="s">
        <v>83</v>
      </c>
      <c r="G1" s="13" t="s">
        <v>82</v>
      </c>
      <c r="H1" s="13" t="s">
        <v>81</v>
      </c>
      <c r="I1" s="13" t="s">
        <v>80</v>
      </c>
      <c r="J1" s="13" t="s">
        <v>79</v>
      </c>
      <c r="K1" s="13" t="s">
        <v>78</v>
      </c>
    </row>
    <row r="2" spans="1:11" x14ac:dyDescent="0.3">
      <c r="A2" s="6" t="s">
        <v>77</v>
      </c>
      <c r="B2" s="8" t="s">
        <v>25</v>
      </c>
      <c r="C2" s="6" t="s">
        <v>4</v>
      </c>
      <c r="D2" s="7">
        <v>29326</v>
      </c>
      <c r="E2" s="6">
        <v>18</v>
      </c>
      <c r="F2" s="7">
        <v>5278.68</v>
      </c>
      <c r="G2" s="7">
        <v>34604.68</v>
      </c>
      <c r="H2" s="6" t="s">
        <v>3</v>
      </c>
      <c r="I2" s="6" t="s">
        <v>76</v>
      </c>
      <c r="J2" s="6" t="s">
        <v>1</v>
      </c>
      <c r="K2" s="6"/>
    </row>
    <row r="3" spans="1:11" x14ac:dyDescent="0.3">
      <c r="A3" s="3" t="s">
        <v>75</v>
      </c>
      <c r="B3" s="5" t="s">
        <v>9</v>
      </c>
      <c r="C3" s="3" t="s">
        <v>53</v>
      </c>
      <c r="D3" s="4">
        <v>6305</v>
      </c>
      <c r="E3" s="3">
        <v>5</v>
      </c>
      <c r="F3" s="4">
        <v>315.25</v>
      </c>
      <c r="G3" s="4">
        <v>6620.25</v>
      </c>
      <c r="H3" s="3" t="s">
        <v>3</v>
      </c>
      <c r="I3" s="3" t="s">
        <v>74</v>
      </c>
      <c r="J3" s="3" t="s">
        <v>1</v>
      </c>
      <c r="K3" s="3"/>
    </row>
    <row r="4" spans="1:11" x14ac:dyDescent="0.3">
      <c r="A4" s="6" t="s">
        <v>73</v>
      </c>
      <c r="B4" s="8" t="s">
        <v>5</v>
      </c>
      <c r="C4" s="6" t="s">
        <v>4</v>
      </c>
      <c r="D4" s="7">
        <v>49311</v>
      </c>
      <c r="E4" s="6">
        <v>18</v>
      </c>
      <c r="F4" s="7">
        <v>8875.98</v>
      </c>
      <c r="G4" s="7">
        <v>58186.98</v>
      </c>
      <c r="H4" s="6" t="s">
        <v>3</v>
      </c>
      <c r="I4" s="6" t="s">
        <v>72</v>
      </c>
      <c r="J4" s="6" t="s">
        <v>1</v>
      </c>
      <c r="K4" s="6"/>
    </row>
    <row r="5" spans="1:11" x14ac:dyDescent="0.3">
      <c r="A5" s="3" t="s">
        <v>71</v>
      </c>
      <c r="B5" s="5" t="s">
        <v>25</v>
      </c>
      <c r="C5" s="3" t="s">
        <v>24</v>
      </c>
      <c r="D5" s="4">
        <v>16742</v>
      </c>
      <c r="E5" s="3">
        <v>18</v>
      </c>
      <c r="F5" s="4">
        <v>3013.56</v>
      </c>
      <c r="G5" s="4">
        <v>19755.560000000001</v>
      </c>
      <c r="H5" s="3" t="s">
        <v>3</v>
      </c>
      <c r="I5" s="3" t="s">
        <v>62</v>
      </c>
      <c r="J5" s="3" t="s">
        <v>1</v>
      </c>
      <c r="K5" s="3"/>
    </row>
    <row r="6" spans="1:11" x14ac:dyDescent="0.3">
      <c r="A6" s="6" t="s">
        <v>70</v>
      </c>
      <c r="B6" s="8" t="s">
        <v>31</v>
      </c>
      <c r="C6" s="6" t="s">
        <v>8</v>
      </c>
      <c r="D6" s="7">
        <v>7952</v>
      </c>
      <c r="E6" s="6">
        <v>18</v>
      </c>
      <c r="F6" s="7">
        <v>1431.36</v>
      </c>
      <c r="G6" s="7">
        <v>9383.36</v>
      </c>
      <c r="H6" s="6" t="s">
        <v>3</v>
      </c>
      <c r="I6" s="6" t="s">
        <v>33</v>
      </c>
      <c r="J6" s="6" t="s">
        <v>1</v>
      </c>
      <c r="K6" s="6"/>
    </row>
    <row r="7" spans="1:11" x14ac:dyDescent="0.3">
      <c r="A7" s="3" t="s">
        <v>69</v>
      </c>
      <c r="B7" s="5" t="s">
        <v>35</v>
      </c>
      <c r="C7" s="3" t="s">
        <v>48</v>
      </c>
      <c r="D7" s="4">
        <v>21240</v>
      </c>
      <c r="E7" s="3">
        <v>0</v>
      </c>
      <c r="F7" s="4">
        <v>0</v>
      </c>
      <c r="G7" s="4">
        <v>21240</v>
      </c>
      <c r="H7" s="3" t="s">
        <v>47</v>
      </c>
      <c r="I7" s="3" t="s">
        <v>68</v>
      </c>
      <c r="J7" s="3" t="s">
        <v>1</v>
      </c>
      <c r="K7" s="3"/>
    </row>
    <row r="8" spans="1:11" x14ac:dyDescent="0.3">
      <c r="A8" s="6" t="s">
        <v>67</v>
      </c>
      <c r="B8" s="8" t="s">
        <v>18</v>
      </c>
      <c r="C8" s="6" t="s">
        <v>21</v>
      </c>
      <c r="D8" s="7">
        <v>8013</v>
      </c>
      <c r="E8" s="6">
        <v>18</v>
      </c>
      <c r="F8" s="7">
        <v>1442.34</v>
      </c>
      <c r="G8" s="7">
        <v>9455.34</v>
      </c>
      <c r="H8" s="6" t="s">
        <v>3</v>
      </c>
      <c r="I8" s="6" t="s">
        <v>59</v>
      </c>
      <c r="J8" s="6" t="s">
        <v>1</v>
      </c>
      <c r="K8" s="6"/>
    </row>
    <row r="9" spans="1:11" x14ac:dyDescent="0.3">
      <c r="A9" s="3" t="s">
        <v>66</v>
      </c>
      <c r="B9" s="5" t="s">
        <v>18</v>
      </c>
      <c r="C9" s="3" t="s">
        <v>21</v>
      </c>
      <c r="D9" s="4">
        <v>21022</v>
      </c>
      <c r="E9" s="3">
        <v>18</v>
      </c>
      <c r="F9" s="4">
        <v>3783.96</v>
      </c>
      <c r="G9" s="4">
        <v>24805.96</v>
      </c>
      <c r="H9" s="3" t="s">
        <v>3</v>
      </c>
      <c r="I9" s="3" t="s">
        <v>65</v>
      </c>
      <c r="J9" s="3" t="s">
        <v>1</v>
      </c>
      <c r="K9" s="3"/>
    </row>
    <row r="10" spans="1:11" x14ac:dyDescent="0.3">
      <c r="A10" s="6" t="s">
        <v>64</v>
      </c>
      <c r="B10" s="8" t="s">
        <v>18</v>
      </c>
      <c r="C10" s="6" t="s">
        <v>57</v>
      </c>
      <c r="D10" s="7">
        <v>22893</v>
      </c>
      <c r="E10" s="6">
        <v>18</v>
      </c>
      <c r="F10" s="7">
        <v>4120.74</v>
      </c>
      <c r="G10" s="7">
        <v>27013.74</v>
      </c>
      <c r="H10" s="6" t="s">
        <v>3</v>
      </c>
      <c r="I10" s="6" t="s">
        <v>62</v>
      </c>
      <c r="J10" s="6" t="s">
        <v>1</v>
      </c>
      <c r="K10" s="6"/>
    </row>
    <row r="11" spans="1:11" x14ac:dyDescent="0.3">
      <c r="A11" s="3" t="s">
        <v>63</v>
      </c>
      <c r="B11" s="5" t="s">
        <v>5</v>
      </c>
      <c r="C11" s="3" t="s">
        <v>8</v>
      </c>
      <c r="D11" s="4">
        <v>8872</v>
      </c>
      <c r="E11" s="3">
        <v>18</v>
      </c>
      <c r="F11" s="4">
        <v>1596.96</v>
      </c>
      <c r="G11" s="4">
        <v>10468.959999999999</v>
      </c>
      <c r="H11" s="3" t="s">
        <v>3</v>
      </c>
      <c r="I11" s="3" t="s">
        <v>62</v>
      </c>
      <c r="J11" s="3" t="s">
        <v>1</v>
      </c>
      <c r="K11" s="3"/>
    </row>
    <row r="12" spans="1:11" x14ac:dyDescent="0.3">
      <c r="A12" s="6" t="s">
        <v>61</v>
      </c>
      <c r="B12" s="8" t="s">
        <v>28</v>
      </c>
      <c r="C12" s="6" t="s">
        <v>53</v>
      </c>
      <c r="D12" s="7">
        <v>6092</v>
      </c>
      <c r="E12" s="6">
        <v>5</v>
      </c>
      <c r="F12" s="7">
        <v>304.60000000000002</v>
      </c>
      <c r="G12" s="7">
        <v>6396.6</v>
      </c>
      <c r="H12" s="6" t="s">
        <v>3</v>
      </c>
      <c r="I12" s="6" t="s">
        <v>52</v>
      </c>
      <c r="J12" s="6" t="s">
        <v>1</v>
      </c>
      <c r="K12" s="6"/>
    </row>
    <row r="13" spans="1:11" x14ac:dyDescent="0.3">
      <c r="A13" s="10" t="s">
        <v>60</v>
      </c>
      <c r="B13" s="12" t="s">
        <v>28</v>
      </c>
      <c r="C13" s="10" t="s">
        <v>4</v>
      </c>
      <c r="D13" s="11">
        <v>550000</v>
      </c>
      <c r="E13" s="10">
        <v>18</v>
      </c>
      <c r="F13" s="11">
        <v>99000</v>
      </c>
      <c r="G13" s="11">
        <v>649000</v>
      </c>
      <c r="H13" s="10" t="s">
        <v>3</v>
      </c>
      <c r="I13" s="10" t="s">
        <v>59</v>
      </c>
      <c r="J13" s="10" t="s">
        <v>16</v>
      </c>
      <c r="K13" s="9" t="s">
        <v>15</v>
      </c>
    </row>
    <row r="14" spans="1:11" x14ac:dyDescent="0.3">
      <c r="A14" s="6" t="s">
        <v>58</v>
      </c>
      <c r="B14" s="8" t="s">
        <v>44</v>
      </c>
      <c r="C14" s="6" t="s">
        <v>57</v>
      </c>
      <c r="D14" s="7">
        <v>39286</v>
      </c>
      <c r="E14" s="6">
        <v>18</v>
      </c>
      <c r="F14" s="7">
        <v>7071.48</v>
      </c>
      <c r="G14" s="7">
        <v>46357.48</v>
      </c>
      <c r="H14" s="6" t="s">
        <v>3</v>
      </c>
      <c r="I14" s="6" t="s">
        <v>56</v>
      </c>
      <c r="J14" s="6" t="s">
        <v>1</v>
      </c>
      <c r="K14" s="6"/>
    </row>
    <row r="15" spans="1:11" x14ac:dyDescent="0.3">
      <c r="A15" s="3" t="s">
        <v>55</v>
      </c>
      <c r="B15" s="5" t="s">
        <v>13</v>
      </c>
      <c r="C15" s="3" t="s">
        <v>21</v>
      </c>
      <c r="D15" s="4">
        <v>9228</v>
      </c>
      <c r="E15" s="3">
        <v>18</v>
      </c>
      <c r="F15" s="4">
        <v>1661.04</v>
      </c>
      <c r="G15" s="4">
        <v>10889.04</v>
      </c>
      <c r="H15" s="3" t="s">
        <v>3</v>
      </c>
      <c r="I15" s="3" t="s">
        <v>11</v>
      </c>
      <c r="J15" s="3" t="s">
        <v>1</v>
      </c>
      <c r="K15" s="3"/>
    </row>
    <row r="16" spans="1:11" x14ac:dyDescent="0.3">
      <c r="A16" s="6" t="s">
        <v>54</v>
      </c>
      <c r="B16" s="8" t="s">
        <v>13</v>
      </c>
      <c r="C16" s="6" t="s">
        <v>53</v>
      </c>
      <c r="D16" s="7">
        <v>3600</v>
      </c>
      <c r="E16" s="6">
        <v>5</v>
      </c>
      <c r="F16" s="7">
        <v>180</v>
      </c>
      <c r="G16" s="7">
        <v>3780</v>
      </c>
      <c r="H16" s="6" t="s">
        <v>3</v>
      </c>
      <c r="I16" s="6" t="s">
        <v>52</v>
      </c>
      <c r="J16" s="6" t="s">
        <v>1</v>
      </c>
      <c r="K16" s="6"/>
    </row>
    <row r="17" spans="1:11" x14ac:dyDescent="0.3">
      <c r="A17" s="3" t="s">
        <v>51</v>
      </c>
      <c r="B17" s="5" t="s">
        <v>13</v>
      </c>
      <c r="C17" s="3" t="s">
        <v>21</v>
      </c>
      <c r="D17" s="4">
        <v>21454</v>
      </c>
      <c r="E17" s="3">
        <v>18</v>
      </c>
      <c r="F17" s="4">
        <v>3861.72</v>
      </c>
      <c r="G17" s="4">
        <v>25315.72</v>
      </c>
      <c r="H17" s="3" t="s">
        <v>3</v>
      </c>
      <c r="I17" s="3" t="s">
        <v>50</v>
      </c>
      <c r="J17" s="3" t="s">
        <v>1</v>
      </c>
      <c r="K17" s="3"/>
    </row>
    <row r="18" spans="1:11" x14ac:dyDescent="0.3">
      <c r="A18" s="6" t="s">
        <v>49</v>
      </c>
      <c r="B18" s="8" t="s">
        <v>44</v>
      </c>
      <c r="C18" s="6" t="s">
        <v>48</v>
      </c>
      <c r="D18" s="7">
        <v>16391</v>
      </c>
      <c r="E18" s="6">
        <v>0</v>
      </c>
      <c r="F18" s="7">
        <v>0</v>
      </c>
      <c r="G18" s="7">
        <v>16391</v>
      </c>
      <c r="H18" s="6" t="s">
        <v>47</v>
      </c>
      <c r="I18" s="6" t="s">
        <v>46</v>
      </c>
      <c r="J18" s="6" t="s">
        <v>1</v>
      </c>
      <c r="K18" s="6"/>
    </row>
    <row r="19" spans="1:11" x14ac:dyDescent="0.3">
      <c r="A19" s="3" t="s">
        <v>45</v>
      </c>
      <c r="B19" s="5" t="s">
        <v>44</v>
      </c>
      <c r="C19" s="3" t="s">
        <v>21</v>
      </c>
      <c r="D19" s="4">
        <v>17880</v>
      </c>
      <c r="E19" s="3">
        <v>18</v>
      </c>
      <c r="F19" s="4">
        <v>3218.4</v>
      </c>
      <c r="G19" s="4">
        <v>21098.400000000001</v>
      </c>
      <c r="H19" s="3" t="s">
        <v>3</v>
      </c>
      <c r="I19" s="3" t="s">
        <v>43</v>
      </c>
      <c r="J19" s="3" t="s">
        <v>1</v>
      </c>
      <c r="K19" s="3"/>
    </row>
    <row r="20" spans="1:11" x14ac:dyDescent="0.3">
      <c r="A20" s="6" t="s">
        <v>42</v>
      </c>
      <c r="B20" s="8" t="s">
        <v>28</v>
      </c>
      <c r="C20" s="6" t="s">
        <v>41</v>
      </c>
      <c r="D20" s="7">
        <v>57488</v>
      </c>
      <c r="E20" s="6">
        <v>18</v>
      </c>
      <c r="F20" s="7">
        <v>10347.84</v>
      </c>
      <c r="G20" s="7">
        <v>67835.839999999997</v>
      </c>
      <c r="H20" s="6" t="s">
        <v>3</v>
      </c>
      <c r="I20" s="6" t="s">
        <v>40</v>
      </c>
      <c r="J20" s="6" t="s">
        <v>1</v>
      </c>
      <c r="K20" s="6"/>
    </row>
    <row r="21" spans="1:11" x14ac:dyDescent="0.3">
      <c r="A21" s="3" t="s">
        <v>39</v>
      </c>
      <c r="B21" s="5" t="s">
        <v>28</v>
      </c>
      <c r="C21" s="3" t="s">
        <v>4</v>
      </c>
      <c r="D21" s="4">
        <v>43980</v>
      </c>
      <c r="E21" s="3">
        <v>18</v>
      </c>
      <c r="F21" s="4">
        <v>7916.4</v>
      </c>
      <c r="G21" s="4">
        <v>51896.4</v>
      </c>
      <c r="H21" s="3" t="s">
        <v>3</v>
      </c>
      <c r="I21" s="3" t="s">
        <v>38</v>
      </c>
      <c r="J21" s="3" t="s">
        <v>1</v>
      </c>
      <c r="K21" s="3"/>
    </row>
    <row r="22" spans="1:11" x14ac:dyDescent="0.3">
      <c r="A22" s="6" t="s">
        <v>37</v>
      </c>
      <c r="B22" s="8" t="s">
        <v>28</v>
      </c>
      <c r="C22" s="6" t="s">
        <v>21</v>
      </c>
      <c r="D22" s="7">
        <v>8076</v>
      </c>
      <c r="E22" s="6">
        <v>18</v>
      </c>
      <c r="F22" s="7">
        <v>1453.68</v>
      </c>
      <c r="G22" s="7">
        <v>9529.68</v>
      </c>
      <c r="H22" s="6" t="s">
        <v>3</v>
      </c>
      <c r="I22" s="6" t="s">
        <v>33</v>
      </c>
      <c r="J22" s="6" t="s">
        <v>1</v>
      </c>
      <c r="K22" s="6"/>
    </row>
    <row r="23" spans="1:11" x14ac:dyDescent="0.3">
      <c r="A23" s="3" t="s">
        <v>36</v>
      </c>
      <c r="B23" s="5" t="s">
        <v>35</v>
      </c>
      <c r="C23" s="3" t="s">
        <v>34</v>
      </c>
      <c r="D23" s="4">
        <v>4665</v>
      </c>
      <c r="E23" s="3">
        <v>18</v>
      </c>
      <c r="F23" s="4">
        <v>839.7</v>
      </c>
      <c r="G23" s="4">
        <v>5504.7</v>
      </c>
      <c r="H23" s="3" t="s">
        <v>3</v>
      </c>
      <c r="I23" s="3" t="s">
        <v>33</v>
      </c>
      <c r="J23" s="3" t="s">
        <v>1</v>
      </c>
      <c r="K23" s="3"/>
    </row>
    <row r="24" spans="1:11" x14ac:dyDescent="0.3">
      <c r="A24" s="10" t="s">
        <v>32</v>
      </c>
      <c r="B24" s="12" t="s">
        <v>31</v>
      </c>
      <c r="C24" s="10" t="s">
        <v>12</v>
      </c>
      <c r="D24" s="11">
        <v>96000</v>
      </c>
      <c r="E24" s="10">
        <v>18</v>
      </c>
      <c r="F24" s="11">
        <v>17280</v>
      </c>
      <c r="G24" s="11">
        <v>113280</v>
      </c>
      <c r="H24" s="10" t="s">
        <v>3</v>
      </c>
      <c r="I24" s="10" t="s">
        <v>30</v>
      </c>
      <c r="J24" s="10" t="s">
        <v>16</v>
      </c>
      <c r="K24" s="9" t="s">
        <v>15</v>
      </c>
    </row>
    <row r="25" spans="1:11" x14ac:dyDescent="0.3">
      <c r="A25" s="3" t="s">
        <v>29</v>
      </c>
      <c r="B25" s="5" t="s">
        <v>28</v>
      </c>
      <c r="C25" s="3" t="s">
        <v>8</v>
      </c>
      <c r="D25" s="4">
        <v>5542</v>
      </c>
      <c r="E25" s="3">
        <v>18</v>
      </c>
      <c r="F25" s="4">
        <v>997.56</v>
      </c>
      <c r="G25" s="4">
        <v>6539.56</v>
      </c>
      <c r="H25" s="3" t="s">
        <v>3</v>
      </c>
      <c r="I25" s="3" t="s">
        <v>27</v>
      </c>
      <c r="J25" s="3" t="s">
        <v>1</v>
      </c>
      <c r="K25" s="3"/>
    </row>
    <row r="26" spans="1:11" x14ac:dyDescent="0.3">
      <c r="A26" s="6" t="s">
        <v>26</v>
      </c>
      <c r="B26" s="8" t="s">
        <v>25</v>
      </c>
      <c r="C26" s="6" t="s">
        <v>24</v>
      </c>
      <c r="D26" s="7">
        <v>17752</v>
      </c>
      <c r="E26" s="6">
        <v>18</v>
      </c>
      <c r="F26" s="7">
        <v>3195.36</v>
      </c>
      <c r="G26" s="7">
        <v>20947.36</v>
      </c>
      <c r="H26" s="6" t="s">
        <v>3</v>
      </c>
      <c r="I26" s="6" t="s">
        <v>23</v>
      </c>
      <c r="J26" s="6" t="s">
        <v>1</v>
      </c>
      <c r="K26" s="6"/>
    </row>
    <row r="27" spans="1:11" x14ac:dyDescent="0.3">
      <c r="A27" s="3" t="s">
        <v>22</v>
      </c>
      <c r="B27" s="5" t="s">
        <v>5</v>
      </c>
      <c r="C27" s="3" t="s">
        <v>21</v>
      </c>
      <c r="D27" s="4">
        <v>18758</v>
      </c>
      <c r="E27" s="3">
        <v>18</v>
      </c>
      <c r="F27" s="4">
        <v>3376.44</v>
      </c>
      <c r="G27" s="4">
        <v>22134.44</v>
      </c>
      <c r="H27" s="3" t="s">
        <v>3</v>
      </c>
      <c r="I27" s="3" t="s">
        <v>20</v>
      </c>
      <c r="J27" s="3" t="s">
        <v>1</v>
      </c>
      <c r="K27" s="3"/>
    </row>
    <row r="28" spans="1:11" x14ac:dyDescent="0.3">
      <c r="A28" s="10" t="s">
        <v>19</v>
      </c>
      <c r="B28" s="12" t="s">
        <v>18</v>
      </c>
      <c r="C28" s="10" t="s">
        <v>4</v>
      </c>
      <c r="D28" s="11">
        <v>450000</v>
      </c>
      <c r="E28" s="10">
        <v>18</v>
      </c>
      <c r="F28" s="11">
        <v>81000</v>
      </c>
      <c r="G28" s="11">
        <v>531000</v>
      </c>
      <c r="H28" s="10" t="s">
        <v>3</v>
      </c>
      <c r="I28" s="10" t="s">
        <v>17</v>
      </c>
      <c r="J28" s="10" t="s">
        <v>16</v>
      </c>
      <c r="K28" s="9" t="s">
        <v>15</v>
      </c>
    </row>
    <row r="29" spans="1:11" x14ac:dyDescent="0.3">
      <c r="A29" s="3" t="s">
        <v>14</v>
      </c>
      <c r="B29" s="5" t="s">
        <v>13</v>
      </c>
      <c r="C29" s="3" t="s">
        <v>12</v>
      </c>
      <c r="D29" s="4">
        <v>12309</v>
      </c>
      <c r="E29" s="3">
        <v>18</v>
      </c>
      <c r="F29" s="4">
        <v>2215.62</v>
      </c>
      <c r="G29" s="4">
        <v>14524.62</v>
      </c>
      <c r="H29" s="3" t="s">
        <v>3</v>
      </c>
      <c r="I29" s="3" t="s">
        <v>11</v>
      </c>
      <c r="J29" s="3" t="s">
        <v>1</v>
      </c>
      <c r="K29" s="3"/>
    </row>
    <row r="30" spans="1:11" x14ac:dyDescent="0.3">
      <c r="A30" s="6" t="s">
        <v>10</v>
      </c>
      <c r="B30" s="8" t="s">
        <v>9</v>
      </c>
      <c r="C30" s="6" t="s">
        <v>8</v>
      </c>
      <c r="D30" s="7">
        <v>7176</v>
      </c>
      <c r="E30" s="6">
        <v>18</v>
      </c>
      <c r="F30" s="7">
        <v>1291.68</v>
      </c>
      <c r="G30" s="7">
        <v>8467.68</v>
      </c>
      <c r="H30" s="6" t="s">
        <v>3</v>
      </c>
      <c r="I30" s="6" t="s">
        <v>7</v>
      </c>
      <c r="J30" s="6" t="s">
        <v>1</v>
      </c>
      <c r="K30" s="6"/>
    </row>
    <row r="31" spans="1:11" x14ac:dyDescent="0.3">
      <c r="A31" s="3" t="s">
        <v>6</v>
      </c>
      <c r="B31" s="5" t="s">
        <v>5</v>
      </c>
      <c r="C31" s="3" t="s">
        <v>4</v>
      </c>
      <c r="D31" s="4">
        <v>38557</v>
      </c>
      <c r="E31" s="3">
        <v>18</v>
      </c>
      <c r="F31" s="4">
        <v>6940.26</v>
      </c>
      <c r="G31" s="4">
        <v>45497.26</v>
      </c>
      <c r="H31" s="3" t="s">
        <v>3</v>
      </c>
      <c r="I31" s="3" t="s">
        <v>2</v>
      </c>
      <c r="J31" s="3" t="s">
        <v>1</v>
      </c>
      <c r="K31" s="3"/>
    </row>
    <row r="32" spans="1:11" x14ac:dyDescent="0.3">
      <c r="A32" s="2" t="s">
        <v>0</v>
      </c>
      <c r="D32" s="1">
        <f>SUM(D2:D31)</f>
        <v>1615910</v>
      </c>
      <c r="F32" s="1">
        <f>SUM(F2:F31)</f>
        <v>282010.61</v>
      </c>
      <c r="G32" s="1">
        <f>SUM(G2:G31)</f>
        <v>1897920.6099999999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 Agarwal</dc:creator>
  <cp:lastModifiedBy>Maadhav Agarwal</cp:lastModifiedBy>
  <dcterms:created xsi:type="dcterms:W3CDTF">2026-03-29T12:39:18Z</dcterms:created>
  <dcterms:modified xsi:type="dcterms:W3CDTF">2026-03-29T12:44:10Z</dcterms:modified>
</cp:coreProperties>
</file>