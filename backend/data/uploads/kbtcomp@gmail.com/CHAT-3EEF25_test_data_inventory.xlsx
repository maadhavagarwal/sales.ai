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ha\Downloads\"/>
    </mc:Choice>
  </mc:AlternateContent>
  <xr:revisionPtr revIDLastSave="0" documentId="8_{3E947A53-0A56-4AF5-A89B-AD94AB9B49A5}" xr6:coauthVersionLast="47" xr6:coauthVersionMax="47" xr10:uidLastSave="{00000000-0000-0000-0000-000000000000}"/>
  <bookViews>
    <workbookView xWindow="3312" yWindow="3312" windowWidth="17280" windowHeight="8880" xr2:uid="{25A75D93-63B1-467E-BF45-BF2046843079}"/>
  </bookViews>
  <sheets>
    <sheet name="Inventory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1" l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<sst xmlns="http://schemas.openxmlformats.org/spreadsheetml/2006/main" count="162" uniqueCount="90">
  <si>
    <t>Product Name</t>
  </si>
  <si>
    <t>Category</t>
  </si>
  <si>
    <t>Qty on Hand</t>
  </si>
  <si>
    <t>Reorder Point</t>
  </si>
  <si>
    <t>Unit Cost (₹)</t>
  </si>
  <si>
    <t>Selling Price (₹)</t>
  </si>
  <si>
    <t>Days to Stockout</t>
  </si>
  <si>
    <t>Valuation</t>
  </si>
  <si>
    <t>Location</t>
  </si>
  <si>
    <t>Stock Value (₹)</t>
  </si>
  <si>
    <t>Margin %</t>
  </si>
  <si>
    <t>Status</t>
  </si>
  <si>
    <t>SKU001</t>
  </si>
  <si>
    <t>Industrial Steel Rods (6m)</t>
  </si>
  <si>
    <t>Steel</t>
  </si>
  <si>
    <t>FIFO</t>
  </si>
  <si>
    <t>Warehouse A</t>
  </si>
  <si>
    <t>🟢 OK</t>
  </si>
  <si>
    <t>SKU002</t>
  </si>
  <si>
    <t>Cotton Yarn Grade A</t>
  </si>
  <si>
    <t>Textiles</t>
  </si>
  <si>
    <t>WAA</t>
  </si>
  <si>
    <t>Warehouse B</t>
  </si>
  <si>
    <t>SKU003</t>
  </si>
  <si>
    <t>Electronic PCB Boards</t>
  </si>
  <si>
    <t>Electronics</t>
  </si>
  <si>
    <t>🟡 LOW</t>
  </si>
  <si>
    <t>SKU004</t>
  </si>
  <si>
    <t>Pharma API - Paracetamol</t>
  </si>
  <si>
    <t>Pharma</t>
  </si>
  <si>
    <t>Cold Store</t>
  </si>
  <si>
    <t>SKU005</t>
  </si>
  <si>
    <t>Solar Panels (400W)</t>
  </si>
  <si>
    <t>Energy</t>
  </si>
  <si>
    <t>Yard</t>
  </si>
  <si>
    <t>SKU006</t>
  </si>
  <si>
    <t>Auto Gear Assemblies</t>
  </si>
  <si>
    <t>Automobile</t>
  </si>
  <si>
    <t>SKU007</t>
  </si>
  <si>
    <t>Food Grade Carton Boxes</t>
  </si>
  <si>
    <t>Packaging</t>
  </si>
  <si>
    <t>Warehouse C</t>
  </si>
  <si>
    <t>SKU008</t>
  </si>
  <si>
    <t>PVC Pipes (3m)</t>
  </si>
  <si>
    <t>Plastics</t>
  </si>
  <si>
    <t>SKU009</t>
  </si>
  <si>
    <t>Machine Lubricant (20L)</t>
  </si>
  <si>
    <t>Chemicals</t>
  </si>
  <si>
    <t>SKU010</t>
  </si>
  <si>
    <t>Kraft Paper Roll</t>
  </si>
  <si>
    <t>Paper</t>
  </si>
  <si>
    <t>SKU011</t>
  </si>
  <si>
    <t>LED Driver Modules</t>
  </si>
  <si>
    <t>🔴 CRITICAL</t>
  </si>
  <si>
    <t>SKU012</t>
  </si>
  <si>
    <t>Surgical Gloves (box/100)</t>
  </si>
  <si>
    <t>Healthcare</t>
  </si>
  <si>
    <t>SKU013</t>
  </si>
  <si>
    <t>Copper Wires (1mm, 100m)</t>
  </si>
  <si>
    <t>Electrical</t>
  </si>
  <si>
    <t>SKU014</t>
  </si>
  <si>
    <t>Rice Bran Oil (15L tin)</t>
  </si>
  <si>
    <t>Food</t>
  </si>
  <si>
    <t>SKU015</t>
  </si>
  <si>
    <t>Hydraulic Press Parts</t>
  </si>
  <si>
    <t>Engineering</t>
  </si>
  <si>
    <t>SKU016</t>
  </si>
  <si>
    <t>Ceramic Floor Tiles (sq m)</t>
  </si>
  <si>
    <t>Construction</t>
  </si>
  <si>
    <t>SKU017</t>
  </si>
  <si>
    <t>Gold Alloy Wire (10g)</t>
  </si>
  <si>
    <t>Jewellery</t>
  </si>
  <si>
    <t>Vault</t>
  </si>
  <si>
    <t>SKU018</t>
  </si>
  <si>
    <t>PP Woven Sacks</t>
  </si>
  <si>
    <t>SKU019</t>
  </si>
  <si>
    <t>Network Switch 24-Port</t>
  </si>
  <si>
    <t>IT Hardware</t>
  </si>
  <si>
    <t>SKU020</t>
  </si>
  <si>
    <t>Solvent Based Adhesive 5L</t>
  </si>
  <si>
    <t>SKU021</t>
  </si>
  <si>
    <t>Corrugated Box (Large)</t>
  </si>
  <si>
    <t>SKU022</t>
  </si>
  <si>
    <t>Stainless Steel Sheet</t>
  </si>
  <si>
    <t>SKU023</t>
  </si>
  <si>
    <t>Organic Turmeric Powder</t>
  </si>
  <si>
    <t>SKU024</t>
  </si>
  <si>
    <t>Rubber Gaskets (pack/50)</t>
  </si>
  <si>
    <t>SKU025</t>
  </si>
  <si>
    <t>3-Phase Motor 5HP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</si>
</sst>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2FF"/>
        <bgColor rgb="FFFFFFFF"/>
      </patternFill>
    </fill>
    <fill>
      <patternFill patternType="solid">
        <fgColor rgb="FFD4EDDA"/>
        <bgColor rgb="FFEBF2FF"/>
      </patternFill>
    </fill>
    <fill>
      <patternFill patternType="solid">
        <fgColor rgb="FFFFFFFF"/>
        <bgColor rgb="FFEBF2FF"/>
      </patternFill>
    </fill>
    <fill>
      <patternFill patternType="solid">
        <fgColor rgb="FFFFF3CD"/>
        <bgColor rgb="FFFFFFFF"/>
      </patternFill>
    </fill>
    <fill>
      <patternFill patternType="solid">
        <fgColor rgb="FFFFD7D7"/>
        <bgColor rgb="FFFFF3C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A44B-1519-4F6D-879F-CCDC3E735640}">
  <dimension ref="A1:M26"/>
  <sheetViews>
    <sheetView tabSelected="1" zoomScaleNormal="100" workbookViewId="0">
      <pane ySplit="1" topLeftCell="A2" activePane="bottomLeft" state="frozen"/>
      <selection pane="bottomLeft" activeCell="H6" sqref="H6"/>
    </sheetView>
  </sheetViews>
  <sheetFormatPr defaultColWidth="8.6640625" defaultRowHeight="14.4" x14ac:dyDescent="0.3"/>
  <cols>
    <col min="1" max="1" width="10" customWidth="1"/>
    <col min="2" max="2" width="30" customWidth="1"/>
    <col min="3" max="3" width="16" customWidth="1"/>
    <col min="4" max="5" width="14" customWidth="1"/>
    <col min="6" max="6" width="16" customWidth="1"/>
    <col min="7" max="7" width="18" customWidth="1"/>
    <col min="8" max="8" width="16" customWidth="1"/>
    <col min="9" max="9" width="12" customWidth="1"/>
    <col min="10" max="10" width="14" customWidth="1"/>
    <col min="11" max="11" width="16" customWidth="1"/>
    <col min="12" max="12" width="10" customWidth="1"/>
    <col min="13" max="13" width="14" customWidth="1"/>
  </cols>
  <sheetData>
    <row r="1" spans="1:13" ht="27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12</v>
      </c>
      <c r="B2" s="3" t="s">
        <v>13</v>
      </c>
      <c r="C2" s="2" t="s">
        <v>14</v>
      </c>
      <c r="D2" s="2">
        <v>320</v>
      </c>
      <c r="E2" s="2">
        <v>100</v>
      </c>
      <c r="F2" s="4">
        <v>850</v>
      </c>
      <c r="G2" s="4">
        <v>1200</v>
      </c>
      <c r="H2" s="2">
        <v>38</v>
      </c>
      <c r="I2" s="2" t="s">
        <v>15</v>
      </c>
      <c r="J2" s="2" t="s">
        <v>16</v>
      </c>
      <c r="K2" s="4">
        <f t="shared" ref="K2:K26" si="0">D2*F2</f>
        <v>272000</v>
      </c>
      <c r="L2" s="5">
        <f t="shared" ref="L2:L26" si="1">(G2-F2)/G2</f>
        <v>0.29166666666666669</v>
      </c>
      <c r="M2" s="6" t="s">
        <v>17</v>
      </c>
    </row>
    <row r="3" spans="1:13" x14ac:dyDescent="0.3">
      <c r="A3" s="7" t="s">
        <v>18</v>
      </c>
      <c r="B3" s="8" t="s">
        <v>19</v>
      </c>
      <c r="C3" s="7" t="s">
        <v>20</v>
      </c>
      <c r="D3" s="7">
        <v>180</v>
      </c>
      <c r="E3" s="7">
        <v>50</v>
      </c>
      <c r="F3" s="9">
        <v>220</v>
      </c>
      <c r="G3" s="9">
        <v>380</v>
      </c>
      <c r="H3" s="7">
        <v>22</v>
      </c>
      <c r="I3" s="7" t="s">
        <v>21</v>
      </c>
      <c r="J3" s="7" t="s">
        <v>22</v>
      </c>
      <c r="K3" s="9">
        <f t="shared" si="0"/>
        <v>39600</v>
      </c>
      <c r="L3" s="10">
        <f t="shared" si="1"/>
        <v>0.42105263157894735</v>
      </c>
      <c r="M3" s="6" t="s">
        <v>17</v>
      </c>
    </row>
    <row r="4" spans="1:13" x14ac:dyDescent="0.3">
      <c r="A4" s="2" t="s">
        <v>23</v>
      </c>
      <c r="B4" s="3" t="s">
        <v>24</v>
      </c>
      <c r="C4" s="2" t="s">
        <v>25</v>
      </c>
      <c r="D4" s="2">
        <v>95</v>
      </c>
      <c r="E4" s="2">
        <v>30</v>
      </c>
      <c r="F4" s="4">
        <v>1200</v>
      </c>
      <c r="G4" s="4">
        <v>1800</v>
      </c>
      <c r="H4" s="2">
        <v>19</v>
      </c>
      <c r="I4" s="2" t="s">
        <v>15</v>
      </c>
      <c r="J4" s="2" t="s">
        <v>16</v>
      </c>
      <c r="K4" s="4">
        <f t="shared" si="0"/>
        <v>114000</v>
      </c>
      <c r="L4" s="5">
        <f t="shared" si="1"/>
        <v>0.33333333333333331</v>
      </c>
      <c r="M4" s="11" t="s">
        <v>26</v>
      </c>
    </row>
    <row r="5" spans="1:13" x14ac:dyDescent="0.3">
      <c r="A5" s="7" t="s">
        <v>27</v>
      </c>
      <c r="B5" s="8" t="s">
        <v>28</v>
      </c>
      <c r="C5" s="7" t="s">
        <v>29</v>
      </c>
      <c r="D5" s="7">
        <v>440</v>
      </c>
      <c r="E5" s="7">
        <v>150</v>
      </c>
      <c r="F5" s="9">
        <v>580</v>
      </c>
      <c r="G5" s="9">
        <v>920</v>
      </c>
      <c r="H5" s="7">
        <v>51</v>
      </c>
      <c r="I5" s="7" t="s">
        <v>15</v>
      </c>
      <c r="J5" s="7" t="s">
        <v>30</v>
      </c>
      <c r="K5" s="9">
        <f t="shared" si="0"/>
        <v>255200</v>
      </c>
      <c r="L5" s="10">
        <f t="shared" si="1"/>
        <v>0.36956521739130432</v>
      </c>
      <c r="M5" s="6" t="s">
        <v>17</v>
      </c>
    </row>
    <row r="6" spans="1:13" x14ac:dyDescent="0.3">
      <c r="A6" s="2" t="s">
        <v>31</v>
      </c>
      <c r="B6" s="3" t="s">
        <v>32</v>
      </c>
      <c r="C6" s="2" t="s">
        <v>33</v>
      </c>
      <c r="D6" s="2">
        <v>62</v>
      </c>
      <c r="E6" s="2">
        <v>20</v>
      </c>
      <c r="F6" s="4">
        <v>9500</v>
      </c>
      <c r="G6" s="4">
        <v>14000</v>
      </c>
      <c r="H6" s="2">
        <v>28</v>
      </c>
      <c r="I6" s="2" t="s">
        <v>15</v>
      </c>
      <c r="J6" s="2" t="s">
        <v>34</v>
      </c>
      <c r="K6" s="4">
        <f t="shared" si="0"/>
        <v>589000</v>
      </c>
      <c r="L6" s="5">
        <f t="shared" si="1"/>
        <v>0.32142857142857145</v>
      </c>
      <c r="M6" s="6" t="s">
        <v>17</v>
      </c>
    </row>
    <row r="7" spans="1:13" x14ac:dyDescent="0.3">
      <c r="A7" s="7" t="s">
        <v>35</v>
      </c>
      <c r="B7" s="8" t="s">
        <v>36</v>
      </c>
      <c r="C7" s="7" t="s">
        <v>37</v>
      </c>
      <c r="D7" s="7">
        <v>128</v>
      </c>
      <c r="E7" s="7">
        <v>40</v>
      </c>
      <c r="F7" s="9">
        <v>3400</v>
      </c>
      <c r="G7" s="9">
        <v>4800</v>
      </c>
      <c r="H7" s="7">
        <v>33</v>
      </c>
      <c r="I7" s="7" t="s">
        <v>15</v>
      </c>
      <c r="J7" s="7" t="s">
        <v>16</v>
      </c>
      <c r="K7" s="9">
        <f t="shared" si="0"/>
        <v>435200</v>
      </c>
      <c r="L7" s="10">
        <f t="shared" si="1"/>
        <v>0.29166666666666669</v>
      </c>
      <c r="M7" s="6" t="s">
        <v>17</v>
      </c>
    </row>
    <row r="8" spans="1:13" x14ac:dyDescent="0.3">
      <c r="A8" s="2" t="s">
        <v>38</v>
      </c>
      <c r="B8" s="3" t="s">
        <v>39</v>
      </c>
      <c r="C8" s="2" t="s">
        <v>40</v>
      </c>
      <c r="D8" s="2">
        <v>2400</v>
      </c>
      <c r="E8" s="2">
        <v>500</v>
      </c>
      <c r="F8" s="4">
        <v>18</v>
      </c>
      <c r="G8" s="4">
        <v>32</v>
      </c>
      <c r="H8" s="2">
        <v>58</v>
      </c>
      <c r="I8" s="2" t="s">
        <v>21</v>
      </c>
      <c r="J8" s="2" t="s">
        <v>41</v>
      </c>
      <c r="K8" s="4">
        <f t="shared" si="0"/>
        <v>43200</v>
      </c>
      <c r="L8" s="5">
        <f t="shared" si="1"/>
        <v>0.4375</v>
      </c>
      <c r="M8" s="6" t="s">
        <v>17</v>
      </c>
    </row>
    <row r="9" spans="1:13" x14ac:dyDescent="0.3">
      <c r="A9" s="7" t="s">
        <v>42</v>
      </c>
      <c r="B9" s="8" t="s">
        <v>43</v>
      </c>
      <c r="C9" s="7" t="s">
        <v>44</v>
      </c>
      <c r="D9" s="7">
        <v>870</v>
      </c>
      <c r="E9" s="7">
        <v>200</v>
      </c>
      <c r="F9" s="9">
        <v>95</v>
      </c>
      <c r="G9" s="9">
        <v>160</v>
      </c>
      <c r="H9" s="7">
        <v>61</v>
      </c>
      <c r="I9" s="7" t="s">
        <v>21</v>
      </c>
      <c r="J9" s="7" t="s">
        <v>34</v>
      </c>
      <c r="K9" s="9">
        <f t="shared" si="0"/>
        <v>82650</v>
      </c>
      <c r="L9" s="10">
        <f t="shared" si="1"/>
        <v>0.40625</v>
      </c>
      <c r="M9" s="6" t="s">
        <v>17</v>
      </c>
    </row>
    <row r="10" spans="1:13" x14ac:dyDescent="0.3">
      <c r="A10" s="2" t="s">
        <v>45</v>
      </c>
      <c r="B10" s="3" t="s">
        <v>46</v>
      </c>
      <c r="C10" s="2" t="s">
        <v>47</v>
      </c>
      <c r="D10" s="2">
        <v>155</v>
      </c>
      <c r="E10" s="2">
        <v>60</v>
      </c>
      <c r="F10" s="4">
        <v>640</v>
      </c>
      <c r="G10" s="4">
        <v>980</v>
      </c>
      <c r="H10" s="2">
        <v>36</v>
      </c>
      <c r="I10" s="2" t="s">
        <v>15</v>
      </c>
      <c r="J10" s="2" t="s">
        <v>22</v>
      </c>
      <c r="K10" s="4">
        <f t="shared" si="0"/>
        <v>99200</v>
      </c>
      <c r="L10" s="5">
        <f t="shared" si="1"/>
        <v>0.34693877551020408</v>
      </c>
      <c r="M10" s="6" t="s">
        <v>17</v>
      </c>
    </row>
    <row r="11" spans="1:13" x14ac:dyDescent="0.3">
      <c r="A11" s="7" t="s">
        <v>48</v>
      </c>
      <c r="B11" s="8" t="s">
        <v>49</v>
      </c>
      <c r="C11" s="7" t="s">
        <v>50</v>
      </c>
      <c r="D11" s="7">
        <v>290</v>
      </c>
      <c r="E11" s="7">
        <v>80</v>
      </c>
      <c r="F11" s="9">
        <v>280</v>
      </c>
      <c r="G11" s="9">
        <v>420</v>
      </c>
      <c r="H11" s="7">
        <v>50</v>
      </c>
      <c r="I11" s="7" t="s">
        <v>21</v>
      </c>
      <c r="J11" s="7" t="s">
        <v>41</v>
      </c>
      <c r="K11" s="9">
        <f t="shared" si="0"/>
        <v>81200</v>
      </c>
      <c r="L11" s="10">
        <f t="shared" si="1"/>
        <v>0.33333333333333331</v>
      </c>
      <c r="M11" s="6" t="s">
        <v>17</v>
      </c>
    </row>
    <row r="12" spans="1:13" x14ac:dyDescent="0.3">
      <c r="A12" s="2" t="s">
        <v>51</v>
      </c>
      <c r="B12" s="3" t="s">
        <v>52</v>
      </c>
      <c r="C12" s="2" t="s">
        <v>25</v>
      </c>
      <c r="D12" s="2">
        <v>8</v>
      </c>
      <c r="E12" s="2">
        <v>25</v>
      </c>
      <c r="F12" s="4">
        <v>2200</v>
      </c>
      <c r="G12" s="4">
        <v>3100</v>
      </c>
      <c r="H12" s="2">
        <v>4</v>
      </c>
      <c r="I12" s="2" t="s">
        <v>15</v>
      </c>
      <c r="J12" s="2" t="s">
        <v>16</v>
      </c>
      <c r="K12" s="4">
        <f t="shared" si="0"/>
        <v>17600</v>
      </c>
      <c r="L12" s="5">
        <f t="shared" si="1"/>
        <v>0.29032258064516131</v>
      </c>
      <c r="M12" s="12" t="s">
        <v>53</v>
      </c>
    </row>
    <row r="13" spans="1:13" x14ac:dyDescent="0.3">
      <c r="A13" s="7" t="s">
        <v>54</v>
      </c>
      <c r="B13" s="8" t="s">
        <v>55</v>
      </c>
      <c r="C13" s="7" t="s">
        <v>56</v>
      </c>
      <c r="D13" s="7">
        <v>310</v>
      </c>
      <c r="E13" s="7">
        <v>100</v>
      </c>
      <c r="F13" s="9">
        <v>320</v>
      </c>
      <c r="G13" s="9">
        <v>480</v>
      </c>
      <c r="H13" s="7">
        <v>43</v>
      </c>
      <c r="I13" s="7" t="s">
        <v>15</v>
      </c>
      <c r="J13" s="7" t="s">
        <v>30</v>
      </c>
      <c r="K13" s="9">
        <f t="shared" si="0"/>
        <v>99200</v>
      </c>
      <c r="L13" s="10">
        <f t="shared" si="1"/>
        <v>0.33333333333333331</v>
      </c>
      <c r="M13" s="6" t="s">
        <v>17</v>
      </c>
    </row>
    <row r="14" spans="1:13" x14ac:dyDescent="0.3">
      <c r="A14" s="2" t="s">
        <v>57</v>
      </c>
      <c r="B14" s="3" t="s">
        <v>58</v>
      </c>
      <c r="C14" s="2" t="s">
        <v>59</v>
      </c>
      <c r="D14" s="2">
        <v>74</v>
      </c>
      <c r="E14" s="2">
        <v>30</v>
      </c>
      <c r="F14" s="4">
        <v>1800</v>
      </c>
      <c r="G14" s="4">
        <v>2500</v>
      </c>
      <c r="H14" s="2">
        <v>27</v>
      </c>
      <c r="I14" s="2" t="s">
        <v>15</v>
      </c>
      <c r="J14" s="2" t="s">
        <v>16</v>
      </c>
      <c r="K14" s="4">
        <f t="shared" si="0"/>
        <v>133200</v>
      </c>
      <c r="L14" s="5">
        <f t="shared" si="1"/>
        <v>0.28000000000000003</v>
      </c>
      <c r="M14" s="6" t="s">
        <v>17</v>
      </c>
    </row>
    <row r="15" spans="1:13" x14ac:dyDescent="0.3">
      <c r="A15" s="7" t="s">
        <v>60</v>
      </c>
      <c r="B15" s="8" t="s">
        <v>61</v>
      </c>
      <c r="C15" s="7" t="s">
        <v>62</v>
      </c>
      <c r="D15" s="7">
        <v>195</v>
      </c>
      <c r="E15" s="7">
        <v>60</v>
      </c>
      <c r="F15" s="9">
        <v>1100</v>
      </c>
      <c r="G15" s="9">
        <v>1550</v>
      </c>
      <c r="H15" s="7">
        <v>45</v>
      </c>
      <c r="I15" s="7" t="s">
        <v>21</v>
      </c>
      <c r="J15" s="7" t="s">
        <v>41</v>
      </c>
      <c r="K15" s="9">
        <f t="shared" si="0"/>
        <v>214500</v>
      </c>
      <c r="L15" s="10">
        <f t="shared" si="1"/>
        <v>0.29032258064516131</v>
      </c>
      <c r="M15" s="6" t="s">
        <v>17</v>
      </c>
    </row>
    <row r="16" spans="1:13" x14ac:dyDescent="0.3">
      <c r="A16" s="2" t="s">
        <v>63</v>
      </c>
      <c r="B16" s="3" t="s">
        <v>64</v>
      </c>
      <c r="C16" s="2" t="s">
        <v>65</v>
      </c>
      <c r="D16" s="2">
        <v>33</v>
      </c>
      <c r="E16" s="2">
        <v>15</v>
      </c>
      <c r="F16" s="4">
        <v>8500</v>
      </c>
      <c r="G16" s="4">
        <v>12000</v>
      </c>
      <c r="H16" s="2">
        <v>30</v>
      </c>
      <c r="I16" s="2" t="s">
        <v>15</v>
      </c>
      <c r="J16" s="2" t="s">
        <v>22</v>
      </c>
      <c r="K16" s="4">
        <f t="shared" si="0"/>
        <v>280500</v>
      </c>
      <c r="L16" s="5">
        <f t="shared" si="1"/>
        <v>0.29166666666666669</v>
      </c>
      <c r="M16" s="6" t="s">
        <v>17</v>
      </c>
    </row>
    <row r="17" spans="1:13" x14ac:dyDescent="0.3">
      <c r="A17" s="7" t="s">
        <v>66</v>
      </c>
      <c r="B17" s="8" t="s">
        <v>67</v>
      </c>
      <c r="C17" s="7" t="s">
        <v>68</v>
      </c>
      <c r="D17" s="7">
        <v>620</v>
      </c>
      <c r="E17" s="7">
        <v>200</v>
      </c>
      <c r="F17" s="9">
        <v>380</v>
      </c>
      <c r="G17" s="9">
        <v>580</v>
      </c>
      <c r="H17" s="7">
        <v>43</v>
      </c>
      <c r="I17" s="7" t="s">
        <v>21</v>
      </c>
      <c r="J17" s="7" t="s">
        <v>34</v>
      </c>
      <c r="K17" s="9">
        <f t="shared" si="0"/>
        <v>235600</v>
      </c>
      <c r="L17" s="10">
        <f t="shared" si="1"/>
        <v>0.34482758620689657</v>
      </c>
      <c r="M17" s="6" t="s">
        <v>17</v>
      </c>
    </row>
    <row r="18" spans="1:13" x14ac:dyDescent="0.3">
      <c r="A18" s="2" t="s">
        <v>69</v>
      </c>
      <c r="B18" s="3" t="s">
        <v>70</v>
      </c>
      <c r="C18" s="2" t="s">
        <v>71</v>
      </c>
      <c r="D18" s="2">
        <v>48</v>
      </c>
      <c r="E18" s="2">
        <v>20</v>
      </c>
      <c r="F18" s="4">
        <v>54000</v>
      </c>
      <c r="G18" s="4">
        <v>62000</v>
      </c>
      <c r="H18" s="2">
        <v>55</v>
      </c>
      <c r="I18" s="2" t="s">
        <v>15</v>
      </c>
      <c r="J18" s="2" t="s">
        <v>72</v>
      </c>
      <c r="K18" s="4">
        <f t="shared" si="0"/>
        <v>2592000</v>
      </c>
      <c r="L18" s="5">
        <f t="shared" si="1"/>
        <v>0.12903225806451613</v>
      </c>
      <c r="M18" s="6" t="s">
        <v>17</v>
      </c>
    </row>
    <row r="19" spans="1:13" x14ac:dyDescent="0.3">
      <c r="A19" s="7" t="s">
        <v>73</v>
      </c>
      <c r="B19" s="8" t="s">
        <v>74</v>
      </c>
      <c r="C19" s="7" t="s">
        <v>40</v>
      </c>
      <c r="D19" s="7">
        <v>1800</v>
      </c>
      <c r="E19" s="7">
        <v>400</v>
      </c>
      <c r="F19" s="9">
        <v>12</v>
      </c>
      <c r="G19" s="9">
        <v>22</v>
      </c>
      <c r="H19" s="7">
        <v>62</v>
      </c>
      <c r="I19" s="7" t="s">
        <v>21</v>
      </c>
      <c r="J19" s="7" t="s">
        <v>41</v>
      </c>
      <c r="K19" s="9">
        <f t="shared" si="0"/>
        <v>21600</v>
      </c>
      <c r="L19" s="10">
        <f t="shared" si="1"/>
        <v>0.45454545454545453</v>
      </c>
      <c r="M19" s="6" t="s">
        <v>17</v>
      </c>
    </row>
    <row r="20" spans="1:13" x14ac:dyDescent="0.3">
      <c r="A20" s="2" t="s">
        <v>75</v>
      </c>
      <c r="B20" s="3" t="s">
        <v>76</v>
      </c>
      <c r="C20" s="2" t="s">
        <v>77</v>
      </c>
      <c r="D20" s="2">
        <v>14</v>
      </c>
      <c r="E20" s="2">
        <v>10</v>
      </c>
      <c r="F20" s="4">
        <v>7200</v>
      </c>
      <c r="G20" s="4">
        <v>9800</v>
      </c>
      <c r="H20" s="2">
        <v>20</v>
      </c>
      <c r="I20" s="2" t="s">
        <v>15</v>
      </c>
      <c r="J20" s="2" t="s">
        <v>16</v>
      </c>
      <c r="K20" s="4">
        <f t="shared" si="0"/>
        <v>100800</v>
      </c>
      <c r="L20" s="5">
        <f t="shared" si="1"/>
        <v>0.26530612244897961</v>
      </c>
      <c r="M20" s="11" t="s">
        <v>26</v>
      </c>
    </row>
    <row r="21" spans="1:13" x14ac:dyDescent="0.3">
      <c r="A21" s="7" t="s">
        <v>78</v>
      </c>
      <c r="B21" s="8" t="s">
        <v>79</v>
      </c>
      <c r="C21" s="7" t="s">
        <v>47</v>
      </c>
      <c r="D21" s="7">
        <v>88</v>
      </c>
      <c r="E21" s="7">
        <v>30</v>
      </c>
      <c r="F21" s="9">
        <v>850</v>
      </c>
      <c r="G21" s="9">
        <v>1250</v>
      </c>
      <c r="H21" s="7">
        <v>41</v>
      </c>
      <c r="I21" s="7" t="s">
        <v>15</v>
      </c>
      <c r="J21" s="7" t="s">
        <v>22</v>
      </c>
      <c r="K21" s="9">
        <f t="shared" si="0"/>
        <v>74800</v>
      </c>
      <c r="L21" s="10">
        <f t="shared" si="1"/>
        <v>0.32</v>
      </c>
      <c r="M21" s="6" t="s">
        <v>17</v>
      </c>
    </row>
    <row r="22" spans="1:13" x14ac:dyDescent="0.3">
      <c r="A22" s="2" t="s">
        <v>80</v>
      </c>
      <c r="B22" s="3" t="s">
        <v>81</v>
      </c>
      <c r="C22" s="2" t="s">
        <v>40</v>
      </c>
      <c r="D22" s="2">
        <v>3100</v>
      </c>
      <c r="E22" s="2">
        <v>600</v>
      </c>
      <c r="F22" s="4">
        <v>9</v>
      </c>
      <c r="G22" s="4">
        <v>16</v>
      </c>
      <c r="H22" s="2">
        <v>71</v>
      </c>
      <c r="I22" s="2" t="s">
        <v>21</v>
      </c>
      <c r="J22" s="2" t="s">
        <v>41</v>
      </c>
      <c r="K22" s="4">
        <f t="shared" si="0"/>
        <v>27900</v>
      </c>
      <c r="L22" s="5">
        <f t="shared" si="1"/>
        <v>0.4375</v>
      </c>
      <c r="M22" s="6" t="s">
        <v>17</v>
      </c>
    </row>
    <row r="23" spans="1:13" x14ac:dyDescent="0.3">
      <c r="A23" s="7" t="s">
        <v>82</v>
      </c>
      <c r="B23" s="8" t="s">
        <v>83</v>
      </c>
      <c r="C23" s="7" t="s">
        <v>14</v>
      </c>
      <c r="D23" s="7">
        <v>12</v>
      </c>
      <c r="E23" s="7">
        <v>20</v>
      </c>
      <c r="F23" s="9">
        <v>6800</v>
      </c>
      <c r="G23" s="9">
        <v>9500</v>
      </c>
      <c r="H23" s="7">
        <v>7</v>
      </c>
      <c r="I23" s="7" t="s">
        <v>15</v>
      </c>
      <c r="J23" s="7" t="s">
        <v>16</v>
      </c>
      <c r="K23" s="9">
        <f t="shared" si="0"/>
        <v>81600</v>
      </c>
      <c r="L23" s="10">
        <f t="shared" si="1"/>
        <v>0.28421052631578947</v>
      </c>
      <c r="M23" s="12" t="s">
        <v>53</v>
      </c>
    </row>
    <row r="24" spans="1:13" x14ac:dyDescent="0.3">
      <c r="A24" s="2" t="s">
        <v>84</v>
      </c>
      <c r="B24" s="3" t="s">
        <v>85</v>
      </c>
      <c r="C24" s="2" t="s">
        <v>62</v>
      </c>
      <c r="D24" s="2">
        <v>230</v>
      </c>
      <c r="E24" s="2">
        <v>70</v>
      </c>
      <c r="F24" s="4">
        <v>420</v>
      </c>
      <c r="G24" s="4">
        <v>680</v>
      </c>
      <c r="H24" s="2">
        <v>46</v>
      </c>
      <c r="I24" s="2" t="s">
        <v>21</v>
      </c>
      <c r="J24" s="2" t="s">
        <v>41</v>
      </c>
      <c r="K24" s="4">
        <f t="shared" si="0"/>
        <v>96600</v>
      </c>
      <c r="L24" s="5">
        <f t="shared" si="1"/>
        <v>0.38235294117647056</v>
      </c>
      <c r="M24" s="6" t="s">
        <v>17</v>
      </c>
    </row>
    <row r="25" spans="1:13" x14ac:dyDescent="0.3">
      <c r="A25" s="7" t="s">
        <v>86</v>
      </c>
      <c r="B25" s="8" t="s">
        <v>87</v>
      </c>
      <c r="C25" s="7" t="s">
        <v>65</v>
      </c>
      <c r="D25" s="7">
        <v>166</v>
      </c>
      <c r="E25" s="7">
        <v>50</v>
      </c>
      <c r="F25" s="9">
        <v>280</v>
      </c>
      <c r="G25" s="9">
        <v>420</v>
      </c>
      <c r="H25" s="7">
        <v>46</v>
      </c>
      <c r="I25" s="7" t="s">
        <v>15</v>
      </c>
      <c r="J25" s="7" t="s">
        <v>22</v>
      </c>
      <c r="K25" s="9">
        <f t="shared" si="0"/>
        <v>46480</v>
      </c>
      <c r="L25" s="10">
        <f t="shared" si="1"/>
        <v>0.33333333333333331</v>
      </c>
      <c r="M25" s="6" t="s">
        <v>17</v>
      </c>
    </row>
    <row r="26" spans="1:13" x14ac:dyDescent="0.3">
      <c r="A26" s="2" t="s">
        <v>88</v>
      </c>
      <c r="B26" s="3" t="s">
        <v>89</v>
      </c>
      <c r="C26" s="2" t="s">
        <v>59</v>
      </c>
      <c r="D26" s="2">
        <v>6</v>
      </c>
      <c r="E26" s="2">
        <v>10</v>
      </c>
      <c r="F26" s="4">
        <v>22000</v>
      </c>
      <c r="G26" s="4">
        <v>30000</v>
      </c>
      <c r="H26" s="2">
        <v>5</v>
      </c>
      <c r="I26" s="2" t="s">
        <v>15</v>
      </c>
      <c r="J26" s="2" t="s">
        <v>16</v>
      </c>
      <c r="K26" s="4">
        <f t="shared" si="0"/>
        <v>132000</v>
      </c>
      <c r="L26" s="5">
        <f t="shared" si="1"/>
        <v>0.26666666666666666</v>
      </c>
      <c r="M26" s="12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Maadhav Agarwal</dc:creator>
  <cp:lastModifiedBy>Maadhav Agarwal</cp:lastModifiedBy>
  <dcterms:created xsi:type="dcterms:W3CDTF">2026-03-29T12:38:31Z</dcterms:created>
  <dcterms:modified xsi:type="dcterms:W3CDTF">2026-03-29T12:49:46Z</dcterms:modified>
</cp:coreProperties>
</file>