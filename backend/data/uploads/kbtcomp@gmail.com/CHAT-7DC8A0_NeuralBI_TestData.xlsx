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a\Downloads\"/>
    </mc:Choice>
  </mc:AlternateContent>
  <xr:revisionPtr revIDLastSave="0" documentId="13_ncr:1_{EFCB2E1E-53CB-4E52-8D3C-452CEF38DA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voices" sheetId="2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2" i="2" l="1"/>
  <c r="J52" i="2"/>
  <c r="I52" i="2"/>
  <c r="G52" i="2"/>
</calcChain>
</file>

<file path=xl/sharedStrings.xml><?xml version="1.0" encoding="utf-8"?>
<sst xmlns="http://schemas.openxmlformats.org/spreadsheetml/2006/main" count="445" uniqueCount="279">
  <si>
    <t>Customer ID</t>
  </si>
  <si>
    <t>CUST001</t>
  </si>
  <si>
    <t>Mehta Textiles Pvt Ltd</t>
  </si>
  <si>
    <t>2026-03-15</t>
  </si>
  <si>
    <t>CUST002</t>
  </si>
  <si>
    <t>Sharma Electronics Ltd</t>
  </si>
  <si>
    <t>CUST003</t>
  </si>
  <si>
    <t>Patel Pharma Works</t>
  </si>
  <si>
    <t>CUST004</t>
  </si>
  <si>
    <t>Reddy Agro Industries</t>
  </si>
  <si>
    <t>CUST005</t>
  </si>
  <si>
    <t>Kapoor Steel &amp; Alloys</t>
  </si>
  <si>
    <t>2026-03-18</t>
  </si>
  <si>
    <t>CUST006</t>
  </si>
  <si>
    <t>Nair Logistics Solutions</t>
  </si>
  <si>
    <t>CUST007</t>
  </si>
  <si>
    <t>Joshi Construction Co</t>
  </si>
  <si>
    <t>CUST008</t>
  </si>
  <si>
    <t>Iyer Software Solutions</t>
  </si>
  <si>
    <t>CUST009</t>
  </si>
  <si>
    <t>Gupta Food Products Ltd</t>
  </si>
  <si>
    <t>2026-03-12</t>
  </si>
  <si>
    <t>CUST010</t>
  </si>
  <si>
    <t>Singh Auto Components</t>
  </si>
  <si>
    <t>CUST011</t>
  </si>
  <si>
    <t>Verma Chemical Industries</t>
  </si>
  <si>
    <t>CUST012</t>
  </si>
  <si>
    <t>Krishnan Exports Pvt Ltd</t>
  </si>
  <si>
    <t>CUST013</t>
  </si>
  <si>
    <t>Agarwal Plastics Mfg</t>
  </si>
  <si>
    <t>CUST014</t>
  </si>
  <si>
    <t>Bose Engineering Works</t>
  </si>
  <si>
    <t>2026-03-20</t>
  </si>
  <si>
    <t>CUST015</t>
  </si>
  <si>
    <t>Chandra Renewable Energy</t>
  </si>
  <si>
    <t>2026-01-15</t>
  </si>
  <si>
    <t>CUST016</t>
  </si>
  <si>
    <t>Rao Paper Mills Ltd</t>
  </si>
  <si>
    <t>2026-02-10</t>
  </si>
  <si>
    <t>CUST017</t>
  </si>
  <si>
    <t>Malhotra Jewellers Pvt Ltd</t>
  </si>
  <si>
    <t>CUST018</t>
  </si>
  <si>
    <t>Desai Healthcare Systems</t>
  </si>
  <si>
    <t>2026-01-25</t>
  </si>
  <si>
    <t>CUST019</t>
  </si>
  <si>
    <t>Pillai Media Group</t>
  </si>
  <si>
    <t>2026-01-30</t>
  </si>
  <si>
    <t>Customer Name</t>
  </si>
  <si>
    <t>Product / Service</t>
  </si>
  <si>
    <t>Qty</t>
  </si>
  <si>
    <t>Unit Rate (₹)</t>
  </si>
  <si>
    <t>Subtotal (₹)</t>
  </si>
  <si>
    <t>GST %</t>
  </si>
  <si>
    <t>CGST (₹)</t>
  </si>
  <si>
    <t>SGST (₹)</t>
  </si>
  <si>
    <t>Total (₹)</t>
  </si>
  <si>
    <t>Invoice Date</t>
  </si>
  <si>
    <t>Due Date</t>
  </si>
  <si>
    <t>Status</t>
  </si>
  <si>
    <t>Payment Date</t>
  </si>
  <si>
    <t>IRN</t>
  </si>
  <si>
    <t>INV-2026-1001</t>
  </si>
  <si>
    <t>Software Licence Annual</t>
  </si>
  <si>
    <t>2847-06-15</t>
  </si>
  <si>
    <t>Paid</t>
  </si>
  <si>
    <t>IRN826600539</t>
  </si>
  <si>
    <t>INV-2026-1002</t>
  </si>
  <si>
    <t>Consulting Services</t>
  </si>
  <si>
    <t>2026-01-06</t>
  </si>
  <si>
    <t>3121-03-07</t>
  </si>
  <si>
    <t>2026-01-16</t>
  </si>
  <si>
    <t>IRN334760738</t>
  </si>
  <si>
    <t>INV-2026-1003</t>
  </si>
  <si>
    <t>Food Grade Packaging</t>
  </si>
  <si>
    <t>2026-03-14</t>
  </si>
  <si>
    <t>2436-11-19</t>
  </si>
  <si>
    <t>2026-04-22</t>
  </si>
  <si>
    <t>IRN550455977</t>
  </si>
  <si>
    <t>INV-2026-1004</t>
  </si>
  <si>
    <t>Pharma Ingredients</t>
  </si>
  <si>
    <t>2026-01-02</t>
  </si>
  <si>
    <t>2436-09-09</t>
  </si>
  <si>
    <t>Draft</t>
  </si>
  <si>
    <t>INV-2026-1005</t>
  </si>
  <si>
    <t>Marketing Campaign Mgmt</t>
  </si>
  <si>
    <t>2026-02-06</t>
  </si>
  <si>
    <t>2573-09-06</t>
  </si>
  <si>
    <t>2026-02-24</t>
  </si>
  <si>
    <t>IRN919795579</t>
  </si>
  <si>
    <t>INV-2026-1006</t>
  </si>
  <si>
    <t>2026-01-14</t>
  </si>
  <si>
    <t>2710-07-08</t>
  </si>
  <si>
    <t>IRN748245888</t>
  </si>
  <si>
    <t>INV-2026-1007</t>
  </si>
  <si>
    <t>2026-01-17</t>
  </si>
  <si>
    <t>2984-04-24</t>
  </si>
  <si>
    <t>2026-01-27</t>
  </si>
  <si>
    <t>IRN692749116</t>
  </si>
  <si>
    <t>INV-2026-1008</t>
  </si>
  <si>
    <t>Auto Parts Kit</t>
  </si>
  <si>
    <t>2026-03-16</t>
  </si>
  <si>
    <t>4216-07-13</t>
  </si>
  <si>
    <t>2026-03-25</t>
  </si>
  <si>
    <t>IRN149203558</t>
  </si>
  <si>
    <t>INV-2026-1009</t>
  </si>
  <si>
    <t>Steel Rods (50 units)</t>
  </si>
  <si>
    <t>2436-09-21</t>
  </si>
  <si>
    <t>2026-02-05</t>
  </si>
  <si>
    <t>IRN586845604</t>
  </si>
  <si>
    <t>INV-2026-1010</t>
  </si>
  <si>
    <t>Machine Parts - Batch</t>
  </si>
  <si>
    <t>2026-01-28</t>
  </si>
  <si>
    <t>3258-02-18</t>
  </si>
  <si>
    <t>Sent</t>
  </si>
  <si>
    <t>IRN386665249</t>
  </si>
  <si>
    <t>INV-2026-1011</t>
  </si>
  <si>
    <t>Solar Panel Installation</t>
  </si>
  <si>
    <t>2026-02-02</t>
  </si>
  <si>
    <t>3121-04-03</t>
  </si>
  <si>
    <t>2026-03-08</t>
  </si>
  <si>
    <t>IRN507437181</t>
  </si>
  <si>
    <t>INV-2026-1012</t>
  </si>
  <si>
    <t>2026-02-12</t>
  </si>
  <si>
    <t>2984-05-20</t>
  </si>
  <si>
    <t>INV-2026-1013</t>
  </si>
  <si>
    <t>Raw Cotton Bales</t>
  </si>
  <si>
    <t>2026-02-22</t>
  </si>
  <si>
    <t>4079-07-29</t>
  </si>
  <si>
    <t>2026-03-03</t>
  </si>
  <si>
    <t>IRN326541099</t>
  </si>
  <si>
    <t>INV-2026-1014</t>
  </si>
  <si>
    <t>2026-03-06</t>
  </si>
  <si>
    <t>2354-09-23</t>
  </si>
  <si>
    <t>2026-04-09</t>
  </si>
  <si>
    <t>IRN253407200</t>
  </si>
  <si>
    <t>INV-2026-1015</t>
  </si>
  <si>
    <t>2026-03-11</t>
  </si>
  <si>
    <t>2984-06-16</t>
  </si>
  <si>
    <t>2026-04-12</t>
  </si>
  <si>
    <t>IRN726563708</t>
  </si>
  <si>
    <t>INV-2026-1016</t>
  </si>
  <si>
    <t>Logistics - Monthly</t>
  </si>
  <si>
    <t>2519-01-03</t>
  </si>
  <si>
    <t>IRN911514914</t>
  </si>
  <si>
    <t>INV-2026-1017</t>
  </si>
  <si>
    <t>2026-01-22</t>
  </si>
  <si>
    <t>4079-06-28</t>
  </si>
  <si>
    <t>INV-2026-1018</t>
  </si>
  <si>
    <t>2026-02-19</t>
  </si>
  <si>
    <t>3942-09-03</t>
  </si>
  <si>
    <t>IRN602564736</t>
  </si>
  <si>
    <t>INV-2026-1019</t>
  </si>
  <si>
    <t>4763-12-14</t>
  </si>
  <si>
    <t>IRN676567501</t>
  </si>
  <si>
    <t>INV-2026-1020</t>
  </si>
  <si>
    <t>2026-02-08</t>
  </si>
  <si>
    <t>2984-05-16</t>
  </si>
  <si>
    <t>2026-02-23</t>
  </si>
  <si>
    <t>IRN587182120</t>
  </si>
  <si>
    <t>INV-2026-1021</t>
  </si>
  <si>
    <t>2026-01-24</t>
  </si>
  <si>
    <t>3395-01-07</t>
  </si>
  <si>
    <t>IRN214257751</t>
  </si>
  <si>
    <t>INV-2026-1022</t>
  </si>
  <si>
    <t>4216-05-26</t>
  </si>
  <si>
    <t>IRN918739736</t>
  </si>
  <si>
    <t>INV-2026-1023</t>
  </si>
  <si>
    <t>2026-03-19</t>
  </si>
  <si>
    <t>2573-10-17</t>
  </si>
  <si>
    <t>2026-04-24</t>
  </si>
  <si>
    <t>IRN120912992</t>
  </si>
  <si>
    <t>INV-2026-1024</t>
  </si>
  <si>
    <t>2026-01-09</t>
  </si>
  <si>
    <t>2847-05-25</t>
  </si>
  <si>
    <t>2026-01-19</t>
  </si>
  <si>
    <t>IRN191969690</t>
  </si>
  <si>
    <t>INV-2026-1025</t>
  </si>
  <si>
    <t>2026-01-18</t>
  </si>
  <si>
    <t>2847-06-03</t>
  </si>
  <si>
    <t>IRN610330567</t>
  </si>
  <si>
    <t>INV-2026-1026</t>
  </si>
  <si>
    <t>3121-05-19</t>
  </si>
  <si>
    <t>2026-04-07</t>
  </si>
  <si>
    <t>IRN679064766</t>
  </si>
  <si>
    <t>INV-2026-1027</t>
  </si>
  <si>
    <t>2026-02-18</t>
  </si>
  <si>
    <t>3668-11-16</t>
  </si>
  <si>
    <t>2026-03-28</t>
  </si>
  <si>
    <t>IRN584779555</t>
  </si>
  <si>
    <t>INV-2026-1028</t>
  </si>
  <si>
    <t>2026-02-14</t>
  </si>
  <si>
    <t>2847-06-30</t>
  </si>
  <si>
    <t>2026-03-26</t>
  </si>
  <si>
    <t>IRN347083812</t>
  </si>
  <si>
    <t>INV-2026-1029</t>
  </si>
  <si>
    <t>2026-03-23</t>
  </si>
  <si>
    <t>2354-10-10</t>
  </si>
  <si>
    <t>2026-04-11</t>
  </si>
  <si>
    <t>IRN172370545</t>
  </si>
  <si>
    <t>INV-2026-1030</t>
  </si>
  <si>
    <t>2026-02-01</t>
  </si>
  <si>
    <t>4079-07-08</t>
  </si>
  <si>
    <t>2026-03-09</t>
  </si>
  <si>
    <t>IRN330035022</t>
  </si>
  <si>
    <t>INV-2026-1031</t>
  </si>
  <si>
    <t>3121-05-02</t>
  </si>
  <si>
    <t>IRN967043303</t>
  </si>
  <si>
    <t>INV-2026-1032</t>
  </si>
  <si>
    <t>2026-02-26</t>
  </si>
  <si>
    <t>3942-09-10</t>
  </si>
  <si>
    <t>2026-03-30</t>
  </si>
  <si>
    <t>IRN541417711</t>
  </si>
  <si>
    <t>INV-2026-1033</t>
  </si>
  <si>
    <t>3532-01-30</t>
  </si>
  <si>
    <t>2026-04-02</t>
  </si>
  <si>
    <t>IRN532311310</t>
  </si>
  <si>
    <t>INV-2026-1034</t>
  </si>
  <si>
    <t>2026-01-26</t>
  </si>
  <si>
    <t>2710-07-20</t>
  </si>
  <si>
    <t>IRN581695135</t>
  </si>
  <si>
    <t>INV-2026-1035</t>
  </si>
  <si>
    <t>API Integration Module</t>
  </si>
  <si>
    <t>2026-03-02</t>
  </si>
  <si>
    <t>4490-04-13</t>
  </si>
  <si>
    <t>IRN575808013</t>
  </si>
  <si>
    <t>INV-2026-1036</t>
  </si>
  <si>
    <t>3121-05-11</t>
  </si>
  <si>
    <t>INV-2026-1037</t>
  </si>
  <si>
    <t>3395-02-06</t>
  </si>
  <si>
    <t>IRN329509408</t>
  </si>
  <si>
    <t>INV-2026-1038</t>
  </si>
  <si>
    <t>2518-10-30</t>
  </si>
  <si>
    <t>2026-01-23</t>
  </si>
  <si>
    <t>IRN941889393</t>
  </si>
  <si>
    <t>INV-2026-1039</t>
  </si>
  <si>
    <t>3532-01-19</t>
  </si>
  <si>
    <t>IRN871385010</t>
  </si>
  <si>
    <t>INV-2026-1040</t>
  </si>
  <si>
    <t>2026-01-29</t>
  </si>
  <si>
    <t>2847-06-14</t>
  </si>
  <si>
    <t>IRN165452690</t>
  </si>
  <si>
    <t>INV-2026-1041</t>
  </si>
  <si>
    <t>2026-03-04</t>
  </si>
  <si>
    <t>2710-08-26</t>
  </si>
  <si>
    <t>IRN670292350</t>
  </si>
  <si>
    <t>INV-2026-1042</t>
  </si>
  <si>
    <t>2573-08-25</t>
  </si>
  <si>
    <t>2026-02-03</t>
  </si>
  <si>
    <t>IRN825003955</t>
  </si>
  <si>
    <t>INV-2026-1043</t>
  </si>
  <si>
    <t>2436-10-10</t>
  </si>
  <si>
    <t>IRN738360085</t>
  </si>
  <si>
    <t>INV-2026-1044</t>
  </si>
  <si>
    <t>2026-03-17</t>
  </si>
  <si>
    <t>4079-08-21</t>
  </si>
  <si>
    <t>IRN661333669</t>
  </si>
  <si>
    <t>INV-2026-1045</t>
  </si>
  <si>
    <t>2026-02-11</t>
  </si>
  <si>
    <t>2710-08-05</t>
  </si>
  <si>
    <t>IRN524971817</t>
  </si>
  <si>
    <t>INV-2026-1046</t>
  </si>
  <si>
    <t>4490-03-25</t>
  </si>
  <si>
    <t>INV-2026-1047</t>
  </si>
  <si>
    <t>3121-05-14</t>
  </si>
  <si>
    <t>2026-03-24</t>
  </si>
  <si>
    <t>IRN677280546</t>
  </si>
  <si>
    <t>INV-2026-1048</t>
  </si>
  <si>
    <t>2026-02-15</t>
  </si>
  <si>
    <t>3668-11-13</t>
  </si>
  <si>
    <t>2026-03-07</t>
  </si>
  <si>
    <t>IRN496776692</t>
  </si>
  <si>
    <t>INV-2026-1049</t>
  </si>
  <si>
    <t>2026-02-09</t>
  </si>
  <si>
    <t>4216-06-08</t>
  </si>
  <si>
    <t>IRN966616964</t>
  </si>
  <si>
    <t>INV-2026-1050</t>
  </si>
  <si>
    <t>4763-12-13</t>
  </si>
  <si>
    <t>IRN223940587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</si>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</sst>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2FF"/>
        <bgColor rgb="FFFFFFFF"/>
      </patternFill>
    </fill>
    <fill>
      <patternFill patternType="solid">
        <fgColor rgb="FFD4EDDA"/>
        <bgColor rgb="FFEBF2FF"/>
      </patternFill>
    </fill>
    <fill>
      <patternFill patternType="solid">
        <fgColor rgb="FFFFFFFF"/>
        <bgColor rgb="FFEBF2FF"/>
      </patternFill>
    </fill>
    <fill>
      <patternFill patternType="solid">
        <fgColor rgb="FFFFF3CD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B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"/>
  <sheetViews>
    <sheetView tabSelected="1" zoomScaleNormal="100" workbookViewId="0">
      <pane ySplit="1" topLeftCell="A2" activePane="bottomLeft" state="frozen"/>
      <selection pane="bottomLeft" activeCell="G18" sqref="G18"/>
    </sheetView>
  </sheetViews>
  <sheetFormatPr defaultColWidth="8.6640625" defaultRowHeight="14.4" x14ac:dyDescent="0.3"/>
  <cols>
    <col min="1" max="1" width="16" customWidth="1"/>
    <col min="2" max="2" width="12" customWidth="1"/>
    <col min="3" max="3" width="28" customWidth="1"/>
    <col min="4" max="4" width="26" customWidth="1"/>
    <col min="5" max="5" width="6" customWidth="1"/>
    <col min="6" max="7" width="16" customWidth="1"/>
    <col min="8" max="8" width="8" customWidth="1"/>
    <col min="9" max="13" width="14" customWidth="1"/>
    <col min="14" max="14" width="10" customWidth="1"/>
    <col min="15" max="15" width="14" customWidth="1"/>
    <col min="16" max="16" width="22" customWidth="1"/>
  </cols>
  <sheetData>
    <row r="1" spans="1:16" ht="27.6" x14ac:dyDescent="0.3">
      <c r="A1" s="1"/>
      <c r="B1" s="1" t="s">
        <v>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3">
      <c r="A2" s="2" t="s">
        <v>61</v>
      </c>
      <c r="B2" s="2" t="s">
        <v>8</v>
      </c>
      <c r="C2" s="3" t="s">
        <v>9</v>
      </c>
      <c r="D2" s="3" t="s">
        <v>62</v>
      </c>
      <c r="E2" s="10">
        <v>9</v>
      </c>
      <c r="F2" s="4">
        <v>18049</v>
      </c>
      <c r="G2" s="4">
        <v>162441</v>
      </c>
      <c r="H2" s="2">
        <v>18</v>
      </c>
      <c r="I2" s="4">
        <v>14619.69</v>
      </c>
      <c r="J2" s="4">
        <v>14619.69</v>
      </c>
      <c r="K2" s="4">
        <v>191680.38</v>
      </c>
      <c r="L2" s="2" t="s">
        <v>46</v>
      </c>
      <c r="M2" s="2" t="s">
        <v>63</v>
      </c>
      <c r="N2" s="5" t="s">
        <v>64</v>
      </c>
      <c r="O2" s="2" t="s">
        <v>38</v>
      </c>
      <c r="P2" s="2" t="s">
        <v>65</v>
      </c>
    </row>
    <row r="3" spans="1:16" x14ac:dyDescent="0.3">
      <c r="A3" s="6" t="s">
        <v>66</v>
      </c>
      <c r="B3" s="6" t="s">
        <v>41</v>
      </c>
      <c r="C3" s="7" t="s">
        <v>42</v>
      </c>
      <c r="D3" s="7" t="s">
        <v>67</v>
      </c>
      <c r="E3" s="11">
        <v>19</v>
      </c>
      <c r="F3" s="8">
        <v>29651</v>
      </c>
      <c r="G3" s="8">
        <v>563369</v>
      </c>
      <c r="H3" s="6">
        <v>18</v>
      </c>
      <c r="I3" s="8">
        <v>50703.21</v>
      </c>
      <c r="J3" s="8">
        <v>50703.21</v>
      </c>
      <c r="K3" s="8">
        <v>664775.42000000004</v>
      </c>
      <c r="L3" s="6" t="s">
        <v>68</v>
      </c>
      <c r="M3" s="6" t="s">
        <v>69</v>
      </c>
      <c r="N3" s="5" t="s">
        <v>64</v>
      </c>
      <c r="O3" s="6" t="s">
        <v>70</v>
      </c>
      <c r="P3" s="6" t="s">
        <v>71</v>
      </c>
    </row>
    <row r="4" spans="1:16" x14ac:dyDescent="0.3">
      <c r="A4" s="2" t="s">
        <v>72</v>
      </c>
      <c r="B4" s="2" t="s">
        <v>17</v>
      </c>
      <c r="C4" s="3" t="s">
        <v>18</v>
      </c>
      <c r="D4" s="3" t="s">
        <v>73</v>
      </c>
      <c r="E4" s="10">
        <v>20</v>
      </c>
      <c r="F4" s="4">
        <v>3739</v>
      </c>
      <c r="G4" s="4">
        <v>74780</v>
      </c>
      <c r="H4" s="2">
        <v>12</v>
      </c>
      <c r="I4" s="4">
        <v>4486.8</v>
      </c>
      <c r="J4" s="4">
        <v>4486.8</v>
      </c>
      <c r="K4" s="4">
        <v>83753.600000000006</v>
      </c>
      <c r="L4" s="2" t="s">
        <v>74</v>
      </c>
      <c r="M4" s="2" t="s">
        <v>75</v>
      </c>
      <c r="N4" s="5" t="s">
        <v>64</v>
      </c>
      <c r="O4" s="2" t="s">
        <v>76</v>
      </c>
      <c r="P4" s="2" t="s">
        <v>77</v>
      </c>
    </row>
    <row r="5" spans="1:16" x14ac:dyDescent="0.3">
      <c r="A5" s="6" t="s">
        <v>78</v>
      </c>
      <c r="B5" s="6" t="s">
        <v>17</v>
      </c>
      <c r="C5" s="7" t="s">
        <v>18</v>
      </c>
      <c r="D5" s="7" t="s">
        <v>79</v>
      </c>
      <c r="E5" s="11">
        <v>19</v>
      </c>
      <c r="F5" s="8">
        <v>20231</v>
      </c>
      <c r="G5" s="8">
        <v>384389</v>
      </c>
      <c r="H5" s="6">
        <v>5</v>
      </c>
      <c r="I5" s="8">
        <v>9609.73</v>
      </c>
      <c r="J5" s="8">
        <v>9609.73</v>
      </c>
      <c r="K5" s="8">
        <v>403608.46</v>
      </c>
      <c r="L5" s="6" t="s">
        <v>80</v>
      </c>
      <c r="M5" s="6" t="s">
        <v>81</v>
      </c>
      <c r="N5" s="6" t="s">
        <v>82</v>
      </c>
      <c r="O5" s="6"/>
      <c r="P5" s="6"/>
    </row>
    <row r="6" spans="1:16" x14ac:dyDescent="0.3">
      <c r="A6" s="2" t="s">
        <v>83</v>
      </c>
      <c r="B6" s="2" t="s">
        <v>13</v>
      </c>
      <c r="C6" s="3" t="s">
        <v>14</v>
      </c>
      <c r="D6" s="3" t="s">
        <v>84</v>
      </c>
      <c r="E6" s="10">
        <v>14</v>
      </c>
      <c r="F6" s="4">
        <v>24298</v>
      </c>
      <c r="G6" s="4">
        <v>340172</v>
      </c>
      <c r="H6" s="2">
        <v>18</v>
      </c>
      <c r="I6" s="4">
        <v>30615.48</v>
      </c>
      <c r="J6" s="4">
        <v>30615.48</v>
      </c>
      <c r="K6" s="4">
        <v>401402.96</v>
      </c>
      <c r="L6" s="2" t="s">
        <v>85</v>
      </c>
      <c r="M6" s="2" t="s">
        <v>86</v>
      </c>
      <c r="N6" s="5" t="s">
        <v>64</v>
      </c>
      <c r="O6" s="2" t="s">
        <v>87</v>
      </c>
      <c r="P6" s="2" t="s">
        <v>88</v>
      </c>
    </row>
    <row r="7" spans="1:16" x14ac:dyDescent="0.3">
      <c r="A7" s="6" t="s">
        <v>89</v>
      </c>
      <c r="B7" s="6" t="s">
        <v>24</v>
      </c>
      <c r="C7" s="7" t="s">
        <v>25</v>
      </c>
      <c r="D7" s="7" t="s">
        <v>67</v>
      </c>
      <c r="E7" s="11">
        <v>3</v>
      </c>
      <c r="F7" s="8">
        <v>26898</v>
      </c>
      <c r="G7" s="8">
        <v>80694</v>
      </c>
      <c r="H7" s="6">
        <v>18</v>
      </c>
      <c r="I7" s="8">
        <v>7262.46</v>
      </c>
      <c r="J7" s="8">
        <v>7262.46</v>
      </c>
      <c r="K7" s="8">
        <v>95218.92</v>
      </c>
      <c r="L7" s="6" t="s">
        <v>90</v>
      </c>
      <c r="M7" s="6" t="s">
        <v>91</v>
      </c>
      <c r="N7" s="5" t="s">
        <v>64</v>
      </c>
      <c r="O7" s="6" t="s">
        <v>38</v>
      </c>
      <c r="P7" s="6" t="s">
        <v>92</v>
      </c>
    </row>
    <row r="8" spans="1:16" x14ac:dyDescent="0.3">
      <c r="A8" s="2" t="s">
        <v>93</v>
      </c>
      <c r="B8" s="2" t="s">
        <v>19</v>
      </c>
      <c r="C8" s="3" t="s">
        <v>20</v>
      </c>
      <c r="D8" s="3" t="s">
        <v>62</v>
      </c>
      <c r="E8" s="10">
        <v>15</v>
      </c>
      <c r="F8" s="4">
        <v>37142</v>
      </c>
      <c r="G8" s="4">
        <v>557130</v>
      </c>
      <c r="H8" s="2">
        <v>18</v>
      </c>
      <c r="I8" s="4">
        <v>50141.7</v>
      </c>
      <c r="J8" s="4">
        <v>50141.7</v>
      </c>
      <c r="K8" s="4">
        <v>657413.4</v>
      </c>
      <c r="L8" s="2" t="s">
        <v>94</v>
      </c>
      <c r="M8" s="2" t="s">
        <v>95</v>
      </c>
      <c r="N8" s="5" t="s">
        <v>64</v>
      </c>
      <c r="O8" s="2" t="s">
        <v>96</v>
      </c>
      <c r="P8" s="2" t="s">
        <v>97</v>
      </c>
    </row>
    <row r="9" spans="1:16" x14ac:dyDescent="0.3">
      <c r="A9" s="6" t="s">
        <v>98</v>
      </c>
      <c r="B9" s="6" t="s">
        <v>22</v>
      </c>
      <c r="C9" s="7" t="s">
        <v>23</v>
      </c>
      <c r="D9" s="7" t="s">
        <v>99</v>
      </c>
      <c r="E9" s="11">
        <v>20</v>
      </c>
      <c r="F9" s="8">
        <v>25700</v>
      </c>
      <c r="G9" s="8">
        <v>514000</v>
      </c>
      <c r="H9" s="6">
        <v>28</v>
      </c>
      <c r="I9" s="8">
        <v>71960</v>
      </c>
      <c r="J9" s="8">
        <v>71960</v>
      </c>
      <c r="K9" s="8">
        <v>657920</v>
      </c>
      <c r="L9" s="6" t="s">
        <v>100</v>
      </c>
      <c r="M9" s="6" t="s">
        <v>101</v>
      </c>
      <c r="N9" s="5" t="s">
        <v>64</v>
      </c>
      <c r="O9" s="6" t="s">
        <v>102</v>
      </c>
      <c r="P9" s="6" t="s">
        <v>103</v>
      </c>
    </row>
    <row r="10" spans="1:16" x14ac:dyDescent="0.3">
      <c r="A10" s="2" t="s">
        <v>104</v>
      </c>
      <c r="B10" s="2" t="s">
        <v>17</v>
      </c>
      <c r="C10" s="3" t="s">
        <v>18</v>
      </c>
      <c r="D10" s="3" t="s">
        <v>105</v>
      </c>
      <c r="E10" s="10">
        <v>3</v>
      </c>
      <c r="F10" s="4">
        <v>17256</v>
      </c>
      <c r="G10" s="4">
        <v>51768</v>
      </c>
      <c r="H10" s="2">
        <v>18</v>
      </c>
      <c r="I10" s="4">
        <v>4659.12</v>
      </c>
      <c r="J10" s="4">
        <v>4659.12</v>
      </c>
      <c r="K10" s="4">
        <v>61086.239999999998</v>
      </c>
      <c r="L10" s="2" t="s">
        <v>90</v>
      </c>
      <c r="M10" s="2" t="s">
        <v>106</v>
      </c>
      <c r="N10" s="5" t="s">
        <v>64</v>
      </c>
      <c r="O10" s="2" t="s">
        <v>107</v>
      </c>
      <c r="P10" s="2" t="s">
        <v>108</v>
      </c>
    </row>
    <row r="11" spans="1:16" x14ac:dyDescent="0.3">
      <c r="A11" s="6" t="s">
        <v>109</v>
      </c>
      <c r="B11" s="6" t="s">
        <v>26</v>
      </c>
      <c r="C11" s="7" t="s">
        <v>27</v>
      </c>
      <c r="D11" s="7" t="s">
        <v>110</v>
      </c>
      <c r="E11" s="11">
        <v>12</v>
      </c>
      <c r="F11" s="8">
        <v>25283</v>
      </c>
      <c r="G11" s="8">
        <v>303396</v>
      </c>
      <c r="H11" s="6">
        <v>12</v>
      </c>
      <c r="I11" s="8">
        <v>18203.759999999998</v>
      </c>
      <c r="J11" s="8">
        <v>18203.759999999998</v>
      </c>
      <c r="K11" s="8">
        <v>339803.52</v>
      </c>
      <c r="L11" s="6" t="s">
        <v>111</v>
      </c>
      <c r="M11" s="6" t="s">
        <v>112</v>
      </c>
      <c r="N11" s="9" t="s">
        <v>113</v>
      </c>
      <c r="O11" s="6"/>
      <c r="P11" s="6" t="s">
        <v>114</v>
      </c>
    </row>
    <row r="12" spans="1:16" x14ac:dyDescent="0.3">
      <c r="A12" s="2" t="s">
        <v>115</v>
      </c>
      <c r="B12" s="2" t="s">
        <v>6</v>
      </c>
      <c r="C12" s="3" t="s">
        <v>7</v>
      </c>
      <c r="D12" s="3" t="s">
        <v>116</v>
      </c>
      <c r="E12" s="10">
        <v>6</v>
      </c>
      <c r="F12" s="4">
        <v>37005</v>
      </c>
      <c r="G12" s="4">
        <v>222030</v>
      </c>
      <c r="H12" s="2">
        <v>18</v>
      </c>
      <c r="I12" s="4">
        <v>19982.7</v>
      </c>
      <c r="J12" s="4">
        <v>19982.7</v>
      </c>
      <c r="K12" s="4">
        <v>261995.4</v>
      </c>
      <c r="L12" s="2" t="s">
        <v>117</v>
      </c>
      <c r="M12" s="2" t="s">
        <v>118</v>
      </c>
      <c r="N12" s="5" t="s">
        <v>64</v>
      </c>
      <c r="O12" s="2" t="s">
        <v>119</v>
      </c>
      <c r="P12" s="2" t="s">
        <v>120</v>
      </c>
    </row>
    <row r="13" spans="1:16" x14ac:dyDescent="0.3">
      <c r="A13" s="6" t="s">
        <v>121</v>
      </c>
      <c r="B13" s="6" t="s">
        <v>19</v>
      </c>
      <c r="C13" s="7" t="s">
        <v>20</v>
      </c>
      <c r="D13" s="7" t="s">
        <v>99</v>
      </c>
      <c r="E13" s="11">
        <v>18</v>
      </c>
      <c r="F13" s="8">
        <v>16392</v>
      </c>
      <c r="G13" s="8">
        <v>295056</v>
      </c>
      <c r="H13" s="6">
        <v>28</v>
      </c>
      <c r="I13" s="8">
        <v>41307.839999999997</v>
      </c>
      <c r="J13" s="8">
        <v>41307.839999999997</v>
      </c>
      <c r="K13" s="8">
        <v>377671.67999999999</v>
      </c>
      <c r="L13" s="6" t="s">
        <v>122</v>
      </c>
      <c r="M13" s="6" t="s">
        <v>123</v>
      </c>
      <c r="N13" s="6" t="s">
        <v>82</v>
      </c>
      <c r="O13" s="6"/>
      <c r="P13" s="6"/>
    </row>
    <row r="14" spans="1:16" x14ac:dyDescent="0.3">
      <c r="A14" s="2" t="s">
        <v>124</v>
      </c>
      <c r="B14" s="2" t="s">
        <v>4</v>
      </c>
      <c r="C14" s="3" t="s">
        <v>5</v>
      </c>
      <c r="D14" s="3" t="s">
        <v>125</v>
      </c>
      <c r="E14" s="10">
        <v>2</v>
      </c>
      <c r="F14" s="4">
        <v>22673</v>
      </c>
      <c r="G14" s="4">
        <v>45346</v>
      </c>
      <c r="H14" s="2">
        <v>5</v>
      </c>
      <c r="I14" s="4">
        <v>1133.6500000000001</v>
      </c>
      <c r="J14" s="4">
        <v>1133.6500000000001</v>
      </c>
      <c r="K14" s="4">
        <v>47613.3</v>
      </c>
      <c r="L14" s="2" t="s">
        <v>126</v>
      </c>
      <c r="M14" s="2" t="s">
        <v>127</v>
      </c>
      <c r="N14" s="5" t="s">
        <v>64</v>
      </c>
      <c r="O14" s="2" t="s">
        <v>128</v>
      </c>
      <c r="P14" s="2" t="s">
        <v>129</v>
      </c>
    </row>
    <row r="15" spans="1:16" x14ac:dyDescent="0.3">
      <c r="A15" s="6" t="s">
        <v>130</v>
      </c>
      <c r="B15" s="6" t="s">
        <v>44</v>
      </c>
      <c r="C15" s="7" t="s">
        <v>45</v>
      </c>
      <c r="D15" s="7" t="s">
        <v>84</v>
      </c>
      <c r="E15" s="11">
        <v>11</v>
      </c>
      <c r="F15" s="8">
        <v>15934</v>
      </c>
      <c r="G15" s="8">
        <v>175274</v>
      </c>
      <c r="H15" s="6">
        <v>18</v>
      </c>
      <c r="I15" s="8">
        <v>15774.66</v>
      </c>
      <c r="J15" s="8">
        <v>15774.66</v>
      </c>
      <c r="K15" s="8">
        <v>206823.32</v>
      </c>
      <c r="L15" s="6" t="s">
        <v>131</v>
      </c>
      <c r="M15" s="6" t="s">
        <v>132</v>
      </c>
      <c r="N15" s="5" t="s">
        <v>64</v>
      </c>
      <c r="O15" s="6" t="s">
        <v>133</v>
      </c>
      <c r="P15" s="6" t="s">
        <v>134</v>
      </c>
    </row>
    <row r="16" spans="1:16" x14ac:dyDescent="0.3">
      <c r="A16" s="2" t="s">
        <v>135</v>
      </c>
      <c r="B16" s="2" t="s">
        <v>19</v>
      </c>
      <c r="C16" s="3" t="s">
        <v>20</v>
      </c>
      <c r="D16" s="3" t="s">
        <v>110</v>
      </c>
      <c r="E16" s="10">
        <v>8</v>
      </c>
      <c r="F16" s="4">
        <v>38789</v>
      </c>
      <c r="G16" s="4">
        <v>310312</v>
      </c>
      <c r="H16" s="2">
        <v>12</v>
      </c>
      <c r="I16" s="4">
        <v>18618.72</v>
      </c>
      <c r="J16" s="4">
        <v>18618.72</v>
      </c>
      <c r="K16" s="4">
        <v>347549.44</v>
      </c>
      <c r="L16" s="2" t="s">
        <v>136</v>
      </c>
      <c r="M16" s="2" t="s">
        <v>137</v>
      </c>
      <c r="N16" s="5" t="s">
        <v>64</v>
      </c>
      <c r="O16" s="2" t="s">
        <v>138</v>
      </c>
      <c r="P16" s="2" t="s">
        <v>139</v>
      </c>
    </row>
    <row r="17" spans="1:16" x14ac:dyDescent="0.3">
      <c r="A17" s="6" t="s">
        <v>140</v>
      </c>
      <c r="B17" s="6" t="s">
        <v>28</v>
      </c>
      <c r="C17" s="7" t="s">
        <v>29</v>
      </c>
      <c r="D17" s="7" t="s">
        <v>141</v>
      </c>
      <c r="E17" s="11">
        <v>8</v>
      </c>
      <c r="F17" s="8">
        <v>11065</v>
      </c>
      <c r="G17" s="8">
        <v>88520</v>
      </c>
      <c r="H17" s="6">
        <v>18</v>
      </c>
      <c r="I17" s="8">
        <v>7966.8</v>
      </c>
      <c r="J17" s="8">
        <v>7966.8</v>
      </c>
      <c r="K17" s="8">
        <v>104453.6</v>
      </c>
      <c r="L17" s="6" t="s">
        <v>119</v>
      </c>
      <c r="M17" s="6" t="s">
        <v>142</v>
      </c>
      <c r="N17" s="5" t="s">
        <v>64</v>
      </c>
      <c r="O17" s="6" t="s">
        <v>12</v>
      </c>
      <c r="P17" s="6" t="s">
        <v>143</v>
      </c>
    </row>
    <row r="18" spans="1:16" x14ac:dyDescent="0.3">
      <c r="A18" s="2" t="s">
        <v>144</v>
      </c>
      <c r="B18" s="2" t="s">
        <v>4</v>
      </c>
      <c r="C18" s="3" t="s">
        <v>5</v>
      </c>
      <c r="D18" s="3" t="s">
        <v>67</v>
      </c>
      <c r="E18" s="10">
        <v>5</v>
      </c>
      <c r="F18" s="4">
        <v>43120</v>
      </c>
      <c r="G18" s="4">
        <v>215600</v>
      </c>
      <c r="H18" s="2">
        <v>18</v>
      </c>
      <c r="I18" s="4">
        <v>19404</v>
      </c>
      <c r="J18" s="4">
        <v>19404</v>
      </c>
      <c r="K18" s="4">
        <v>254408</v>
      </c>
      <c r="L18" s="2" t="s">
        <v>145</v>
      </c>
      <c r="M18" s="2" t="s">
        <v>146</v>
      </c>
      <c r="N18" s="2" t="s">
        <v>82</v>
      </c>
      <c r="O18" s="2"/>
      <c r="P18" s="2"/>
    </row>
    <row r="19" spans="1:16" x14ac:dyDescent="0.3">
      <c r="A19" s="6" t="s">
        <v>147</v>
      </c>
      <c r="B19" s="6" t="s">
        <v>30</v>
      </c>
      <c r="C19" s="7" t="s">
        <v>31</v>
      </c>
      <c r="D19" s="7" t="s">
        <v>116</v>
      </c>
      <c r="E19" s="11">
        <v>3</v>
      </c>
      <c r="F19" s="8">
        <v>27216</v>
      </c>
      <c r="G19" s="8">
        <v>81648</v>
      </c>
      <c r="H19" s="6">
        <v>18</v>
      </c>
      <c r="I19" s="8">
        <v>7348.32</v>
      </c>
      <c r="J19" s="8">
        <v>7348.32</v>
      </c>
      <c r="K19" s="8">
        <v>96344.639999999999</v>
      </c>
      <c r="L19" s="6" t="s">
        <v>148</v>
      </c>
      <c r="M19" s="6" t="s">
        <v>149</v>
      </c>
      <c r="N19" s="9" t="s">
        <v>113</v>
      </c>
      <c r="O19" s="6"/>
      <c r="P19" s="6" t="s">
        <v>150</v>
      </c>
    </row>
    <row r="20" spans="1:16" x14ac:dyDescent="0.3">
      <c r="A20" s="2" t="s">
        <v>151</v>
      </c>
      <c r="B20" s="2" t="s">
        <v>39</v>
      </c>
      <c r="C20" s="3" t="s">
        <v>40</v>
      </c>
      <c r="D20" s="3" t="s">
        <v>105</v>
      </c>
      <c r="E20" s="10">
        <v>18</v>
      </c>
      <c r="F20" s="4">
        <v>2752</v>
      </c>
      <c r="G20" s="4">
        <v>49536</v>
      </c>
      <c r="H20" s="2">
        <v>18</v>
      </c>
      <c r="I20" s="4">
        <v>4458.24</v>
      </c>
      <c r="J20" s="4">
        <v>4458.24</v>
      </c>
      <c r="K20" s="4">
        <v>58452.480000000003</v>
      </c>
      <c r="L20" s="2" t="s">
        <v>70</v>
      </c>
      <c r="M20" s="2" t="s">
        <v>152</v>
      </c>
      <c r="N20" s="9" t="s">
        <v>113</v>
      </c>
      <c r="O20" s="2"/>
      <c r="P20" s="2" t="s">
        <v>153</v>
      </c>
    </row>
    <row r="21" spans="1:16" x14ac:dyDescent="0.3">
      <c r="A21" s="6" t="s">
        <v>154</v>
      </c>
      <c r="B21" s="6" t="s">
        <v>19</v>
      </c>
      <c r="C21" s="7" t="s">
        <v>20</v>
      </c>
      <c r="D21" s="7" t="s">
        <v>99</v>
      </c>
      <c r="E21" s="11">
        <v>11</v>
      </c>
      <c r="F21" s="8">
        <v>9310</v>
      </c>
      <c r="G21" s="8">
        <v>102410</v>
      </c>
      <c r="H21" s="6">
        <v>28</v>
      </c>
      <c r="I21" s="8">
        <v>14337.4</v>
      </c>
      <c r="J21" s="8">
        <v>14337.4</v>
      </c>
      <c r="K21" s="8">
        <v>131084.79999999999</v>
      </c>
      <c r="L21" s="6" t="s">
        <v>155</v>
      </c>
      <c r="M21" s="6" t="s">
        <v>156</v>
      </c>
      <c r="N21" s="5" t="s">
        <v>64</v>
      </c>
      <c r="O21" s="6" t="s">
        <v>157</v>
      </c>
      <c r="P21" s="6" t="s">
        <v>158</v>
      </c>
    </row>
    <row r="22" spans="1:16" x14ac:dyDescent="0.3">
      <c r="A22" s="2" t="s">
        <v>159</v>
      </c>
      <c r="B22" s="2" t="s">
        <v>1</v>
      </c>
      <c r="C22" s="3" t="s">
        <v>2</v>
      </c>
      <c r="D22" s="3" t="s">
        <v>84</v>
      </c>
      <c r="E22" s="10">
        <v>9</v>
      </c>
      <c r="F22" s="4">
        <v>34806</v>
      </c>
      <c r="G22" s="4">
        <v>313254</v>
      </c>
      <c r="H22" s="2">
        <v>18</v>
      </c>
      <c r="I22" s="4">
        <v>28192.86</v>
      </c>
      <c r="J22" s="4">
        <v>28192.86</v>
      </c>
      <c r="K22" s="4">
        <v>369639.72</v>
      </c>
      <c r="L22" s="2" t="s">
        <v>160</v>
      </c>
      <c r="M22" s="2" t="s">
        <v>161</v>
      </c>
      <c r="N22" s="9" t="s">
        <v>113</v>
      </c>
      <c r="O22" s="2"/>
      <c r="P22" s="2" t="s">
        <v>162</v>
      </c>
    </row>
    <row r="23" spans="1:16" x14ac:dyDescent="0.3">
      <c r="A23" s="6" t="s">
        <v>163</v>
      </c>
      <c r="B23" s="6" t="s">
        <v>22</v>
      </c>
      <c r="C23" s="7" t="s">
        <v>23</v>
      </c>
      <c r="D23" s="7" t="s">
        <v>99</v>
      </c>
      <c r="E23" s="11">
        <v>17</v>
      </c>
      <c r="F23" s="8">
        <v>41909</v>
      </c>
      <c r="G23" s="8">
        <v>712453</v>
      </c>
      <c r="H23" s="6">
        <v>28</v>
      </c>
      <c r="I23" s="8">
        <v>99743.42</v>
      </c>
      <c r="J23" s="8">
        <v>99743.42</v>
      </c>
      <c r="K23" s="8">
        <v>911939.84</v>
      </c>
      <c r="L23" s="6" t="s">
        <v>96</v>
      </c>
      <c r="M23" s="6" t="s">
        <v>164</v>
      </c>
      <c r="N23" s="5" t="s">
        <v>64</v>
      </c>
      <c r="O23" s="6" t="s">
        <v>87</v>
      </c>
      <c r="P23" s="6" t="s">
        <v>165</v>
      </c>
    </row>
    <row r="24" spans="1:16" x14ac:dyDescent="0.3">
      <c r="A24" s="2" t="s">
        <v>166</v>
      </c>
      <c r="B24" s="2" t="s">
        <v>13</v>
      </c>
      <c r="C24" s="3" t="s">
        <v>14</v>
      </c>
      <c r="D24" s="3" t="s">
        <v>73</v>
      </c>
      <c r="E24" s="10">
        <v>17</v>
      </c>
      <c r="F24" s="4">
        <v>2037</v>
      </c>
      <c r="G24" s="4">
        <v>34629</v>
      </c>
      <c r="H24" s="2">
        <v>12</v>
      </c>
      <c r="I24" s="4">
        <v>2077.7399999999998</v>
      </c>
      <c r="J24" s="4">
        <v>2077.7399999999998</v>
      </c>
      <c r="K24" s="4">
        <v>38784.480000000003</v>
      </c>
      <c r="L24" s="2" t="s">
        <v>167</v>
      </c>
      <c r="M24" s="2" t="s">
        <v>168</v>
      </c>
      <c r="N24" s="5" t="s">
        <v>64</v>
      </c>
      <c r="O24" s="2" t="s">
        <v>169</v>
      </c>
      <c r="P24" s="2" t="s">
        <v>170</v>
      </c>
    </row>
    <row r="25" spans="1:16" x14ac:dyDescent="0.3">
      <c r="A25" s="6" t="s">
        <v>171</v>
      </c>
      <c r="B25" s="6" t="s">
        <v>8</v>
      </c>
      <c r="C25" s="7" t="s">
        <v>9</v>
      </c>
      <c r="D25" s="7" t="s">
        <v>141</v>
      </c>
      <c r="E25" s="11">
        <v>10</v>
      </c>
      <c r="F25" s="8">
        <v>17692</v>
      </c>
      <c r="G25" s="8">
        <v>176920</v>
      </c>
      <c r="H25" s="6">
        <v>18</v>
      </c>
      <c r="I25" s="8">
        <v>15922.8</v>
      </c>
      <c r="J25" s="8">
        <v>15922.8</v>
      </c>
      <c r="K25" s="8">
        <v>208765.6</v>
      </c>
      <c r="L25" s="6" t="s">
        <v>172</v>
      </c>
      <c r="M25" s="6" t="s">
        <v>173</v>
      </c>
      <c r="N25" s="5" t="s">
        <v>64</v>
      </c>
      <c r="O25" s="6" t="s">
        <v>174</v>
      </c>
      <c r="P25" s="6" t="s">
        <v>175</v>
      </c>
    </row>
    <row r="26" spans="1:16" x14ac:dyDescent="0.3">
      <c r="A26" s="2" t="s">
        <v>176</v>
      </c>
      <c r="B26" s="2" t="s">
        <v>36</v>
      </c>
      <c r="C26" s="3" t="s">
        <v>37</v>
      </c>
      <c r="D26" s="3" t="s">
        <v>67</v>
      </c>
      <c r="E26" s="10">
        <v>18</v>
      </c>
      <c r="F26" s="4">
        <v>10241</v>
      </c>
      <c r="G26" s="4">
        <v>184338</v>
      </c>
      <c r="H26" s="2">
        <v>18</v>
      </c>
      <c r="I26" s="4">
        <v>16590.419999999998</v>
      </c>
      <c r="J26" s="4">
        <v>16590.419999999998</v>
      </c>
      <c r="K26" s="4">
        <v>217518.84</v>
      </c>
      <c r="L26" s="2" t="s">
        <v>177</v>
      </c>
      <c r="M26" s="2" t="s">
        <v>178</v>
      </c>
      <c r="N26" s="9" t="s">
        <v>113</v>
      </c>
      <c r="O26" s="2"/>
      <c r="P26" s="2" t="s">
        <v>179</v>
      </c>
    </row>
    <row r="27" spans="1:16" x14ac:dyDescent="0.3">
      <c r="A27" s="6" t="s">
        <v>180</v>
      </c>
      <c r="B27" s="6" t="s">
        <v>41</v>
      </c>
      <c r="C27" s="7" t="s">
        <v>42</v>
      </c>
      <c r="D27" s="7" t="s">
        <v>110</v>
      </c>
      <c r="E27" s="11">
        <v>9</v>
      </c>
      <c r="F27" s="8">
        <v>36581</v>
      </c>
      <c r="G27" s="8">
        <v>329229</v>
      </c>
      <c r="H27" s="6">
        <v>12</v>
      </c>
      <c r="I27" s="8">
        <v>19753.740000000002</v>
      </c>
      <c r="J27" s="8">
        <v>19753.740000000002</v>
      </c>
      <c r="K27" s="8">
        <v>368736.48</v>
      </c>
      <c r="L27" s="6" t="s">
        <v>32</v>
      </c>
      <c r="M27" s="6" t="s">
        <v>181</v>
      </c>
      <c r="N27" s="5" t="s">
        <v>64</v>
      </c>
      <c r="O27" s="6" t="s">
        <v>182</v>
      </c>
      <c r="P27" s="6" t="s">
        <v>183</v>
      </c>
    </row>
    <row r="28" spans="1:16" x14ac:dyDescent="0.3">
      <c r="A28" s="2" t="s">
        <v>184</v>
      </c>
      <c r="B28" s="2" t="s">
        <v>15</v>
      </c>
      <c r="C28" s="3" t="s">
        <v>16</v>
      </c>
      <c r="D28" s="3" t="s">
        <v>84</v>
      </c>
      <c r="E28" s="10">
        <v>10</v>
      </c>
      <c r="F28" s="4">
        <v>28148</v>
      </c>
      <c r="G28" s="4">
        <v>281480</v>
      </c>
      <c r="H28" s="2">
        <v>18</v>
      </c>
      <c r="I28" s="4">
        <v>25333.200000000001</v>
      </c>
      <c r="J28" s="4">
        <v>25333.200000000001</v>
      </c>
      <c r="K28" s="4">
        <v>332146.40000000002</v>
      </c>
      <c r="L28" s="2" t="s">
        <v>185</v>
      </c>
      <c r="M28" s="2" t="s">
        <v>186</v>
      </c>
      <c r="N28" s="5" t="s">
        <v>64</v>
      </c>
      <c r="O28" s="2" t="s">
        <v>187</v>
      </c>
      <c r="P28" s="2" t="s">
        <v>188</v>
      </c>
    </row>
    <row r="29" spans="1:16" x14ac:dyDescent="0.3">
      <c r="A29" s="6" t="s">
        <v>189</v>
      </c>
      <c r="B29" s="6" t="s">
        <v>8</v>
      </c>
      <c r="C29" s="7" t="s">
        <v>9</v>
      </c>
      <c r="D29" s="7" t="s">
        <v>125</v>
      </c>
      <c r="E29" s="11">
        <v>8</v>
      </c>
      <c r="F29" s="8">
        <v>6196</v>
      </c>
      <c r="G29" s="8">
        <v>49568</v>
      </c>
      <c r="H29" s="6">
        <v>5</v>
      </c>
      <c r="I29" s="8">
        <v>1239.2</v>
      </c>
      <c r="J29" s="8">
        <v>1239.2</v>
      </c>
      <c r="K29" s="8">
        <v>52046.400000000001</v>
      </c>
      <c r="L29" s="6" t="s">
        <v>190</v>
      </c>
      <c r="M29" s="6" t="s">
        <v>191</v>
      </c>
      <c r="N29" s="5" t="s">
        <v>64</v>
      </c>
      <c r="O29" s="6" t="s">
        <v>192</v>
      </c>
      <c r="P29" s="6" t="s">
        <v>193</v>
      </c>
    </row>
    <row r="30" spans="1:16" x14ac:dyDescent="0.3">
      <c r="A30" s="2" t="s">
        <v>194</v>
      </c>
      <c r="B30" s="2" t="s">
        <v>44</v>
      </c>
      <c r="C30" s="3" t="s">
        <v>45</v>
      </c>
      <c r="D30" s="3" t="s">
        <v>125</v>
      </c>
      <c r="E30" s="10">
        <v>1</v>
      </c>
      <c r="F30" s="4">
        <v>6652</v>
      </c>
      <c r="G30" s="4">
        <v>6652</v>
      </c>
      <c r="H30" s="2">
        <v>5</v>
      </c>
      <c r="I30" s="4">
        <v>166.3</v>
      </c>
      <c r="J30" s="4">
        <v>166.3</v>
      </c>
      <c r="K30" s="4">
        <v>6984.6</v>
      </c>
      <c r="L30" s="2" t="s">
        <v>195</v>
      </c>
      <c r="M30" s="2" t="s">
        <v>196</v>
      </c>
      <c r="N30" s="5" t="s">
        <v>64</v>
      </c>
      <c r="O30" s="2" t="s">
        <v>197</v>
      </c>
      <c r="P30" s="2" t="s">
        <v>198</v>
      </c>
    </row>
    <row r="31" spans="1:16" x14ac:dyDescent="0.3">
      <c r="A31" s="6" t="s">
        <v>199</v>
      </c>
      <c r="B31" s="6" t="s">
        <v>4</v>
      </c>
      <c r="C31" s="7" t="s">
        <v>5</v>
      </c>
      <c r="D31" s="7" t="s">
        <v>141</v>
      </c>
      <c r="E31" s="11">
        <v>3</v>
      </c>
      <c r="F31" s="8">
        <v>35695</v>
      </c>
      <c r="G31" s="8">
        <v>107085</v>
      </c>
      <c r="H31" s="6">
        <v>18</v>
      </c>
      <c r="I31" s="8">
        <v>9637.65</v>
      </c>
      <c r="J31" s="8">
        <v>9637.65</v>
      </c>
      <c r="K31" s="8">
        <v>126360.3</v>
      </c>
      <c r="L31" s="6" t="s">
        <v>200</v>
      </c>
      <c r="M31" s="6" t="s">
        <v>201</v>
      </c>
      <c r="N31" s="5" t="s">
        <v>64</v>
      </c>
      <c r="O31" s="6" t="s">
        <v>202</v>
      </c>
      <c r="P31" s="6" t="s">
        <v>203</v>
      </c>
    </row>
    <row r="32" spans="1:16" x14ac:dyDescent="0.3">
      <c r="A32" s="2" t="s">
        <v>204</v>
      </c>
      <c r="B32" s="2" t="s">
        <v>41</v>
      </c>
      <c r="C32" s="3" t="s">
        <v>42</v>
      </c>
      <c r="D32" s="3" t="s">
        <v>110</v>
      </c>
      <c r="E32" s="10">
        <v>19</v>
      </c>
      <c r="F32" s="4">
        <v>39762</v>
      </c>
      <c r="G32" s="4">
        <v>755478</v>
      </c>
      <c r="H32" s="2">
        <v>12</v>
      </c>
      <c r="I32" s="4">
        <v>45328.68</v>
      </c>
      <c r="J32" s="4">
        <v>45328.68</v>
      </c>
      <c r="K32" s="4">
        <v>846135.36</v>
      </c>
      <c r="L32" s="2" t="s">
        <v>128</v>
      </c>
      <c r="M32" s="2" t="s">
        <v>205</v>
      </c>
      <c r="N32" s="5" t="s">
        <v>64</v>
      </c>
      <c r="O32" s="2" t="s">
        <v>182</v>
      </c>
      <c r="P32" s="2" t="s">
        <v>206</v>
      </c>
    </row>
    <row r="33" spans="1:16" x14ac:dyDescent="0.3">
      <c r="A33" s="6" t="s">
        <v>207</v>
      </c>
      <c r="B33" s="6" t="s">
        <v>30</v>
      </c>
      <c r="C33" s="7" t="s">
        <v>31</v>
      </c>
      <c r="D33" s="7" t="s">
        <v>125</v>
      </c>
      <c r="E33" s="11">
        <v>4</v>
      </c>
      <c r="F33" s="8">
        <v>8352</v>
      </c>
      <c r="G33" s="8">
        <v>33408</v>
      </c>
      <c r="H33" s="6">
        <v>5</v>
      </c>
      <c r="I33" s="8">
        <v>835.2</v>
      </c>
      <c r="J33" s="8">
        <v>835.2</v>
      </c>
      <c r="K33" s="8">
        <v>35078.400000000001</v>
      </c>
      <c r="L33" s="6" t="s">
        <v>208</v>
      </c>
      <c r="M33" s="6" t="s">
        <v>209</v>
      </c>
      <c r="N33" s="5" t="s">
        <v>64</v>
      </c>
      <c r="O33" s="6" t="s">
        <v>210</v>
      </c>
      <c r="P33" s="6" t="s">
        <v>211</v>
      </c>
    </row>
    <row r="34" spans="1:16" x14ac:dyDescent="0.3">
      <c r="A34" s="2" t="s">
        <v>212</v>
      </c>
      <c r="B34" s="2" t="s">
        <v>33</v>
      </c>
      <c r="C34" s="3" t="s">
        <v>34</v>
      </c>
      <c r="D34" s="3" t="s">
        <v>84</v>
      </c>
      <c r="E34" s="10">
        <v>2</v>
      </c>
      <c r="F34" s="4">
        <v>46129</v>
      </c>
      <c r="G34" s="4">
        <v>92258</v>
      </c>
      <c r="H34" s="2">
        <v>18</v>
      </c>
      <c r="I34" s="4">
        <v>8303.2199999999993</v>
      </c>
      <c r="J34" s="4">
        <v>8303.2199999999993</v>
      </c>
      <c r="K34" s="4">
        <v>108864.44</v>
      </c>
      <c r="L34" s="2" t="s">
        <v>102</v>
      </c>
      <c r="M34" s="2" t="s">
        <v>213</v>
      </c>
      <c r="N34" s="5" t="s">
        <v>64</v>
      </c>
      <c r="O34" s="2" t="s">
        <v>214</v>
      </c>
      <c r="P34" s="2" t="s">
        <v>215</v>
      </c>
    </row>
    <row r="35" spans="1:16" x14ac:dyDescent="0.3">
      <c r="A35" s="6" t="s">
        <v>216</v>
      </c>
      <c r="B35" s="6" t="s">
        <v>24</v>
      </c>
      <c r="C35" s="7" t="s">
        <v>25</v>
      </c>
      <c r="D35" s="7" t="s">
        <v>67</v>
      </c>
      <c r="E35" s="11">
        <v>8</v>
      </c>
      <c r="F35" s="8">
        <v>14556</v>
      </c>
      <c r="G35" s="8">
        <v>116448</v>
      </c>
      <c r="H35" s="6">
        <v>18</v>
      </c>
      <c r="I35" s="8">
        <v>10480.32</v>
      </c>
      <c r="J35" s="8">
        <v>10480.32</v>
      </c>
      <c r="K35" s="8">
        <v>137408.64000000001</v>
      </c>
      <c r="L35" s="6" t="s">
        <v>217</v>
      </c>
      <c r="M35" s="6" t="s">
        <v>218</v>
      </c>
      <c r="N35" s="9" t="s">
        <v>113</v>
      </c>
      <c r="O35" s="6"/>
      <c r="P35" s="6" t="s">
        <v>219</v>
      </c>
    </row>
    <row r="36" spans="1:16" x14ac:dyDescent="0.3">
      <c r="A36" s="2" t="s">
        <v>220</v>
      </c>
      <c r="B36" s="2" t="s">
        <v>10</v>
      </c>
      <c r="C36" s="3" t="s">
        <v>11</v>
      </c>
      <c r="D36" s="3" t="s">
        <v>221</v>
      </c>
      <c r="E36" s="10">
        <v>6</v>
      </c>
      <c r="F36" s="4">
        <v>20254</v>
      </c>
      <c r="G36" s="4">
        <v>121524</v>
      </c>
      <c r="H36" s="2">
        <v>18</v>
      </c>
      <c r="I36" s="4">
        <v>10937.16</v>
      </c>
      <c r="J36" s="4">
        <v>10937.16</v>
      </c>
      <c r="K36" s="4">
        <v>143398.32</v>
      </c>
      <c r="L36" s="2" t="s">
        <v>222</v>
      </c>
      <c r="M36" s="2" t="s">
        <v>223</v>
      </c>
      <c r="N36" s="5" t="s">
        <v>64</v>
      </c>
      <c r="O36" s="2" t="s">
        <v>136</v>
      </c>
      <c r="P36" s="2" t="s">
        <v>224</v>
      </c>
    </row>
    <row r="37" spans="1:16" x14ac:dyDescent="0.3">
      <c r="A37" s="6" t="s">
        <v>225</v>
      </c>
      <c r="B37" s="6" t="s">
        <v>41</v>
      </c>
      <c r="C37" s="7" t="s">
        <v>42</v>
      </c>
      <c r="D37" s="7" t="s">
        <v>67</v>
      </c>
      <c r="E37" s="11">
        <v>2</v>
      </c>
      <c r="F37" s="8">
        <v>44738</v>
      </c>
      <c r="G37" s="8">
        <v>89476</v>
      </c>
      <c r="H37" s="6">
        <v>18</v>
      </c>
      <c r="I37" s="8">
        <v>8052.84</v>
      </c>
      <c r="J37" s="8">
        <v>8052.84</v>
      </c>
      <c r="K37" s="8">
        <v>105581.68</v>
      </c>
      <c r="L37" s="6" t="s">
        <v>21</v>
      </c>
      <c r="M37" s="6" t="s">
        <v>226</v>
      </c>
      <c r="N37" s="6" t="s">
        <v>82</v>
      </c>
      <c r="O37" s="6"/>
      <c r="P37" s="6"/>
    </row>
    <row r="38" spans="1:16" x14ac:dyDescent="0.3">
      <c r="A38" s="2" t="s">
        <v>227</v>
      </c>
      <c r="B38" s="2" t="s">
        <v>1</v>
      </c>
      <c r="C38" s="3" t="s">
        <v>2</v>
      </c>
      <c r="D38" s="3" t="s">
        <v>67</v>
      </c>
      <c r="E38" s="10">
        <v>8</v>
      </c>
      <c r="F38" s="4">
        <v>12899</v>
      </c>
      <c r="G38" s="4">
        <v>103192</v>
      </c>
      <c r="H38" s="2">
        <v>18</v>
      </c>
      <c r="I38" s="4">
        <v>9287.2800000000007</v>
      </c>
      <c r="J38" s="4">
        <v>9287.2800000000007</v>
      </c>
      <c r="K38" s="4">
        <v>121766.56</v>
      </c>
      <c r="L38" s="2" t="s">
        <v>157</v>
      </c>
      <c r="M38" s="2" t="s">
        <v>228</v>
      </c>
      <c r="N38" s="5" t="s">
        <v>64</v>
      </c>
      <c r="O38" s="2" t="s">
        <v>210</v>
      </c>
      <c r="P38" s="2" t="s">
        <v>229</v>
      </c>
    </row>
    <row r="39" spans="1:16" x14ac:dyDescent="0.3">
      <c r="A39" s="6" t="s">
        <v>230</v>
      </c>
      <c r="B39" s="6" t="s">
        <v>28</v>
      </c>
      <c r="C39" s="7" t="s">
        <v>29</v>
      </c>
      <c r="D39" s="7" t="s">
        <v>62</v>
      </c>
      <c r="E39" s="11">
        <v>6</v>
      </c>
      <c r="F39" s="8">
        <v>26836</v>
      </c>
      <c r="G39" s="8">
        <v>161016</v>
      </c>
      <c r="H39" s="6">
        <v>18</v>
      </c>
      <c r="I39" s="8">
        <v>14491.44</v>
      </c>
      <c r="J39" s="8">
        <v>14491.44</v>
      </c>
      <c r="K39" s="8">
        <v>189998.88</v>
      </c>
      <c r="L39" s="6" t="s">
        <v>80</v>
      </c>
      <c r="M39" s="6" t="s">
        <v>231</v>
      </c>
      <c r="N39" s="5" t="s">
        <v>64</v>
      </c>
      <c r="O39" s="6" t="s">
        <v>232</v>
      </c>
      <c r="P39" s="6" t="s">
        <v>233</v>
      </c>
    </row>
    <row r="40" spans="1:16" x14ac:dyDescent="0.3">
      <c r="A40" s="2" t="s">
        <v>234</v>
      </c>
      <c r="B40" s="2" t="s">
        <v>33</v>
      </c>
      <c r="C40" s="3" t="s">
        <v>34</v>
      </c>
      <c r="D40" s="3" t="s">
        <v>105</v>
      </c>
      <c r="E40" s="10">
        <v>14</v>
      </c>
      <c r="F40" s="4">
        <v>47651</v>
      </c>
      <c r="G40" s="4">
        <v>667114</v>
      </c>
      <c r="H40" s="2">
        <v>18</v>
      </c>
      <c r="I40" s="4">
        <v>60040.26</v>
      </c>
      <c r="J40" s="4">
        <v>60040.26</v>
      </c>
      <c r="K40" s="4">
        <v>787194.52</v>
      </c>
      <c r="L40" s="2" t="s">
        <v>74</v>
      </c>
      <c r="M40" s="2" t="s">
        <v>235</v>
      </c>
      <c r="N40" s="9" t="s">
        <v>113</v>
      </c>
      <c r="O40" s="2"/>
      <c r="P40" s="2" t="s">
        <v>236</v>
      </c>
    </row>
    <row r="41" spans="1:16" x14ac:dyDescent="0.3">
      <c r="A41" s="6" t="s">
        <v>237</v>
      </c>
      <c r="B41" s="6" t="s">
        <v>36</v>
      </c>
      <c r="C41" s="7" t="s">
        <v>37</v>
      </c>
      <c r="D41" s="7" t="s">
        <v>110</v>
      </c>
      <c r="E41" s="11">
        <v>7</v>
      </c>
      <c r="F41" s="8">
        <v>21445</v>
      </c>
      <c r="G41" s="8">
        <v>150115</v>
      </c>
      <c r="H41" s="6">
        <v>12</v>
      </c>
      <c r="I41" s="8">
        <v>9006.9</v>
      </c>
      <c r="J41" s="8">
        <v>9006.9</v>
      </c>
      <c r="K41" s="8">
        <v>168128.8</v>
      </c>
      <c r="L41" s="6" t="s">
        <v>238</v>
      </c>
      <c r="M41" s="6" t="s">
        <v>239</v>
      </c>
      <c r="N41" s="5" t="s">
        <v>64</v>
      </c>
      <c r="O41" s="6" t="s">
        <v>202</v>
      </c>
      <c r="P41" s="6" t="s">
        <v>240</v>
      </c>
    </row>
    <row r="42" spans="1:16" x14ac:dyDescent="0.3">
      <c r="A42" s="2" t="s">
        <v>241</v>
      </c>
      <c r="B42" s="2" t="s">
        <v>24</v>
      </c>
      <c r="C42" s="3" t="s">
        <v>25</v>
      </c>
      <c r="D42" s="3" t="s">
        <v>62</v>
      </c>
      <c r="E42" s="10">
        <v>2</v>
      </c>
      <c r="F42" s="4">
        <v>40284</v>
      </c>
      <c r="G42" s="4">
        <v>80568</v>
      </c>
      <c r="H42" s="2">
        <v>18</v>
      </c>
      <c r="I42" s="4">
        <v>7251.12</v>
      </c>
      <c r="J42" s="4">
        <v>7251.12</v>
      </c>
      <c r="K42" s="4">
        <v>95070.24</v>
      </c>
      <c r="L42" s="2" t="s">
        <v>242</v>
      </c>
      <c r="M42" s="2" t="s">
        <v>243</v>
      </c>
      <c r="N42" s="9" t="s">
        <v>113</v>
      </c>
      <c r="O42" s="2"/>
      <c r="P42" s="2" t="s">
        <v>244</v>
      </c>
    </row>
    <row r="43" spans="1:16" x14ac:dyDescent="0.3">
      <c r="A43" s="6" t="s">
        <v>245</v>
      </c>
      <c r="B43" s="6" t="s">
        <v>13</v>
      </c>
      <c r="C43" s="7" t="s">
        <v>14</v>
      </c>
      <c r="D43" s="7" t="s">
        <v>62</v>
      </c>
      <c r="E43" s="11">
        <v>17</v>
      </c>
      <c r="F43" s="8">
        <v>7250</v>
      </c>
      <c r="G43" s="8">
        <v>123250</v>
      </c>
      <c r="H43" s="6">
        <v>18</v>
      </c>
      <c r="I43" s="8">
        <v>11092.5</v>
      </c>
      <c r="J43" s="8">
        <v>11092.5</v>
      </c>
      <c r="K43" s="8">
        <v>145435</v>
      </c>
      <c r="L43" s="6" t="s">
        <v>43</v>
      </c>
      <c r="M43" s="6" t="s">
        <v>246</v>
      </c>
      <c r="N43" s="5" t="s">
        <v>64</v>
      </c>
      <c r="O43" s="6" t="s">
        <v>247</v>
      </c>
      <c r="P43" s="6" t="s">
        <v>248</v>
      </c>
    </row>
    <row r="44" spans="1:16" x14ac:dyDescent="0.3">
      <c r="A44" s="2" t="s">
        <v>249</v>
      </c>
      <c r="B44" s="2" t="s">
        <v>17</v>
      </c>
      <c r="C44" s="3" t="s">
        <v>18</v>
      </c>
      <c r="D44" s="3" t="s">
        <v>221</v>
      </c>
      <c r="E44" s="10">
        <v>4</v>
      </c>
      <c r="F44" s="4">
        <v>39334</v>
      </c>
      <c r="G44" s="4">
        <v>157336</v>
      </c>
      <c r="H44" s="2">
        <v>18</v>
      </c>
      <c r="I44" s="4">
        <v>14160.24</v>
      </c>
      <c r="J44" s="4">
        <v>14160.24</v>
      </c>
      <c r="K44" s="4">
        <v>185656.48</v>
      </c>
      <c r="L44" s="2" t="s">
        <v>117</v>
      </c>
      <c r="M44" s="2" t="s">
        <v>250</v>
      </c>
      <c r="N44" s="9" t="s">
        <v>113</v>
      </c>
      <c r="O44" s="2"/>
      <c r="P44" s="2" t="s">
        <v>251</v>
      </c>
    </row>
    <row r="45" spans="1:16" x14ac:dyDescent="0.3">
      <c r="A45" s="6" t="s">
        <v>252</v>
      </c>
      <c r="B45" s="6" t="s">
        <v>4</v>
      </c>
      <c r="C45" s="7" t="s">
        <v>5</v>
      </c>
      <c r="D45" s="7" t="s">
        <v>116</v>
      </c>
      <c r="E45" s="11">
        <v>3</v>
      </c>
      <c r="F45" s="8">
        <v>29474</v>
      </c>
      <c r="G45" s="8">
        <v>88422</v>
      </c>
      <c r="H45" s="6">
        <v>18</v>
      </c>
      <c r="I45" s="8">
        <v>7957.98</v>
      </c>
      <c r="J45" s="8">
        <v>7957.98</v>
      </c>
      <c r="K45" s="8">
        <v>104337.96</v>
      </c>
      <c r="L45" s="6" t="s">
        <v>253</v>
      </c>
      <c r="M45" s="6" t="s">
        <v>254</v>
      </c>
      <c r="N45" s="9" t="s">
        <v>113</v>
      </c>
      <c r="O45" s="6"/>
      <c r="P45" s="6" t="s">
        <v>255</v>
      </c>
    </row>
    <row r="46" spans="1:16" x14ac:dyDescent="0.3">
      <c r="A46" s="2" t="s">
        <v>256</v>
      </c>
      <c r="B46" s="2" t="s">
        <v>24</v>
      </c>
      <c r="C46" s="3" t="s">
        <v>25</v>
      </c>
      <c r="D46" s="3" t="s">
        <v>105</v>
      </c>
      <c r="E46" s="10">
        <v>7</v>
      </c>
      <c r="F46" s="4">
        <v>45891</v>
      </c>
      <c r="G46" s="4">
        <v>321237</v>
      </c>
      <c r="H46" s="2">
        <v>18</v>
      </c>
      <c r="I46" s="4">
        <v>28911.33</v>
      </c>
      <c r="J46" s="4">
        <v>28911.33</v>
      </c>
      <c r="K46" s="4">
        <v>379059.66</v>
      </c>
      <c r="L46" s="2" t="s">
        <v>257</v>
      </c>
      <c r="M46" s="2" t="s">
        <v>258</v>
      </c>
      <c r="N46" s="5" t="s">
        <v>64</v>
      </c>
      <c r="O46" s="2" t="s">
        <v>242</v>
      </c>
      <c r="P46" s="2" t="s">
        <v>259</v>
      </c>
    </row>
    <row r="47" spans="1:16" x14ac:dyDescent="0.3">
      <c r="A47" s="6" t="s">
        <v>260</v>
      </c>
      <c r="B47" s="6" t="s">
        <v>10</v>
      </c>
      <c r="C47" s="7" t="s">
        <v>11</v>
      </c>
      <c r="D47" s="7" t="s">
        <v>99</v>
      </c>
      <c r="E47" s="11">
        <v>10</v>
      </c>
      <c r="F47" s="8">
        <v>31964</v>
      </c>
      <c r="G47" s="8">
        <v>319640</v>
      </c>
      <c r="H47" s="6">
        <v>28</v>
      </c>
      <c r="I47" s="8">
        <v>44749.599999999999</v>
      </c>
      <c r="J47" s="8">
        <v>44749.599999999999</v>
      </c>
      <c r="K47" s="8">
        <v>409139.20000000001</v>
      </c>
      <c r="L47" s="6" t="s">
        <v>257</v>
      </c>
      <c r="M47" s="6" t="s">
        <v>261</v>
      </c>
      <c r="N47" s="6" t="s">
        <v>82</v>
      </c>
      <c r="O47" s="6"/>
      <c r="P47" s="6"/>
    </row>
    <row r="48" spans="1:16" x14ac:dyDescent="0.3">
      <c r="A48" s="2" t="s">
        <v>262</v>
      </c>
      <c r="B48" s="2" t="s">
        <v>6</v>
      </c>
      <c r="C48" s="3" t="s">
        <v>7</v>
      </c>
      <c r="D48" s="3" t="s">
        <v>62</v>
      </c>
      <c r="E48" s="10">
        <v>15</v>
      </c>
      <c r="F48" s="4">
        <v>42708</v>
      </c>
      <c r="G48" s="4">
        <v>640620</v>
      </c>
      <c r="H48" s="2">
        <v>18</v>
      </c>
      <c r="I48" s="4">
        <v>57655.8</v>
      </c>
      <c r="J48" s="4">
        <v>57655.8</v>
      </c>
      <c r="K48" s="4">
        <v>755931.6</v>
      </c>
      <c r="L48" s="2" t="s">
        <v>3</v>
      </c>
      <c r="M48" s="2" t="s">
        <v>263</v>
      </c>
      <c r="N48" s="5" t="s">
        <v>64</v>
      </c>
      <c r="O48" s="2" t="s">
        <v>264</v>
      </c>
      <c r="P48" s="2" t="s">
        <v>265</v>
      </c>
    </row>
    <row r="49" spans="1:16" x14ac:dyDescent="0.3">
      <c r="A49" s="6" t="s">
        <v>266</v>
      </c>
      <c r="B49" s="6" t="s">
        <v>15</v>
      </c>
      <c r="C49" s="7" t="s">
        <v>16</v>
      </c>
      <c r="D49" s="7" t="s">
        <v>73</v>
      </c>
      <c r="E49" s="11">
        <v>9</v>
      </c>
      <c r="F49" s="8">
        <v>10680</v>
      </c>
      <c r="G49" s="8">
        <v>96120</v>
      </c>
      <c r="H49" s="6">
        <v>12</v>
      </c>
      <c r="I49" s="8">
        <v>5767.2</v>
      </c>
      <c r="J49" s="8">
        <v>5767.2</v>
      </c>
      <c r="K49" s="8">
        <v>107654.39999999999</v>
      </c>
      <c r="L49" s="6" t="s">
        <v>267</v>
      </c>
      <c r="M49" s="6" t="s">
        <v>268</v>
      </c>
      <c r="N49" s="5" t="s">
        <v>64</v>
      </c>
      <c r="O49" s="6" t="s">
        <v>269</v>
      </c>
      <c r="P49" s="6" t="s">
        <v>270</v>
      </c>
    </row>
    <row r="50" spans="1:16" x14ac:dyDescent="0.3">
      <c r="A50" s="2" t="s">
        <v>271</v>
      </c>
      <c r="B50" s="2" t="s">
        <v>22</v>
      </c>
      <c r="C50" s="3" t="s">
        <v>23</v>
      </c>
      <c r="D50" s="3" t="s">
        <v>110</v>
      </c>
      <c r="E50" s="10">
        <v>15</v>
      </c>
      <c r="F50" s="4">
        <v>37600</v>
      </c>
      <c r="G50" s="4">
        <v>564000</v>
      </c>
      <c r="H50" s="2">
        <v>12</v>
      </c>
      <c r="I50" s="4">
        <v>33840</v>
      </c>
      <c r="J50" s="4">
        <v>33840</v>
      </c>
      <c r="K50" s="4">
        <v>631680</v>
      </c>
      <c r="L50" s="2" t="s">
        <v>272</v>
      </c>
      <c r="M50" s="2" t="s">
        <v>273</v>
      </c>
      <c r="N50" s="9" t="s">
        <v>113</v>
      </c>
      <c r="O50" s="2"/>
      <c r="P50" s="2" t="s">
        <v>274</v>
      </c>
    </row>
    <row r="51" spans="1:16" x14ac:dyDescent="0.3">
      <c r="A51" s="6" t="s">
        <v>275</v>
      </c>
      <c r="B51" s="6" t="s">
        <v>39</v>
      </c>
      <c r="C51" s="7" t="s">
        <v>40</v>
      </c>
      <c r="D51" s="7" t="s">
        <v>62</v>
      </c>
      <c r="E51" s="11">
        <v>18</v>
      </c>
      <c r="F51" s="8">
        <v>21620</v>
      </c>
      <c r="G51" s="8">
        <v>389160</v>
      </c>
      <c r="H51" s="6">
        <v>18</v>
      </c>
      <c r="I51" s="8">
        <v>35024.400000000001</v>
      </c>
      <c r="J51" s="8">
        <v>35024.400000000001</v>
      </c>
      <c r="K51" s="8">
        <v>459208.8</v>
      </c>
      <c r="L51" s="6" t="s">
        <v>35</v>
      </c>
      <c r="M51" s="6" t="s">
        <v>276</v>
      </c>
      <c r="N51" s="5" t="s">
        <v>64</v>
      </c>
      <c r="O51" s="6" t="s">
        <v>107</v>
      </c>
      <c r="P51" s="6" t="s">
        <v>277</v>
      </c>
    </row>
    <row r="52" spans="1:16" x14ac:dyDescent="0.3">
      <c r="A52" s="12" t="s">
        <v>278</v>
      </c>
      <c r="G52" s="13">
        <f>SUM(G2:G51)</f>
        <v>11883861</v>
      </c>
      <c r="I52" s="13">
        <f>SUM(I2:I51)</f>
        <v>1054425.0799999998</v>
      </c>
      <c r="J52" s="13">
        <f>SUM(J2:J51)</f>
        <v>1054425.0799999998</v>
      </c>
      <c r="K52" s="13">
        <f>SUM(K2:K51)</f>
        <v>13992711.160000004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Maadhav Agarwal</cp:lastModifiedBy>
  <cp:revision>0</cp:revision>
  <dcterms:created xsi:type="dcterms:W3CDTF">2026-03-29T12:28:57Z</dcterms:created>
  <dcterms:modified xsi:type="dcterms:W3CDTF">2026-03-29T12:40:12Z</dcterms:modified>
  <dc:language>en-US</dc:language>
</cp:coreProperties>
</file>